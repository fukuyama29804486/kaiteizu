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30\server共有\本社\保守\定期点検・設定関係\01設定値\R7新設・改良・受取分\受取\2-25関連\切替後現示階梯図（これが最終）\"/>
    </mc:Choice>
  </mc:AlternateContent>
  <xr:revisionPtr revIDLastSave="0" documentId="13_ncr:1_{7109792F-B5AF-4B0C-940D-28D7C1BB61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10" sheetId="2" r:id="rId1"/>
    <sheet name="420029" sheetId="1" r:id="rId2"/>
  </sheets>
  <definedNames>
    <definedName name="_xlnm.Print_Area" localSheetId="0">'2026-02-10'!$A$1:$X$38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5" i="2" l="1"/>
  <c r="AD15" i="2" s="1"/>
  <c r="AA14" i="2"/>
  <c r="AD14" i="2" s="1"/>
  <c r="AA35" i="2"/>
  <c r="AA34" i="2"/>
  <c r="C34" i="2"/>
  <c r="C35" i="2"/>
  <c r="C33" i="1"/>
</calcChain>
</file>

<file path=xl/sharedStrings.xml><?xml version="1.0" encoding="utf-8"?>
<sst xmlns="http://schemas.openxmlformats.org/spreadsheetml/2006/main" count="106" uniqueCount="60">
  <si>
    <t>規制番号　名称</t>
    <rPh sb="0" eb="2">
      <t>キセイ</t>
    </rPh>
    <rPh sb="2" eb="4">
      <t>バンゴウ</t>
    </rPh>
    <rPh sb="5" eb="7">
      <t>メイショウ</t>
    </rPh>
    <phoneticPr fontId="2"/>
  </si>
  <si>
    <t>引野交番前</t>
    <rPh sb="0" eb="2">
      <t>ヒキノ</t>
    </rPh>
    <rPh sb="2" eb="4">
      <t>コウバン</t>
    </rPh>
    <rPh sb="4" eb="5">
      <t>マエ</t>
    </rPh>
    <phoneticPr fontId="2"/>
  </si>
  <si>
    <t>運　用</t>
    <rPh sb="0" eb="1">
      <t>ウン</t>
    </rPh>
    <rPh sb="2" eb="3">
      <t>ヨウ</t>
    </rPh>
    <phoneticPr fontId="2"/>
  </si>
  <si>
    <t>製造番号</t>
    <rPh sb="0" eb="2">
      <t>セイゾウ</t>
    </rPh>
    <rPh sb="2" eb="4">
      <t>バンゴウ</t>
    </rPh>
    <phoneticPr fontId="2"/>
  </si>
  <si>
    <t>管制番号　名称</t>
    <rPh sb="0" eb="2">
      <t>カンセイ</t>
    </rPh>
    <rPh sb="2" eb="4">
      <t>バンゴウ</t>
    </rPh>
    <rPh sb="5" eb="7">
      <t>メイショウ</t>
    </rPh>
    <phoneticPr fontId="2"/>
  </si>
  <si>
    <t>開始日時</t>
    <rPh sb="0" eb="2">
      <t>カイシ</t>
    </rPh>
    <rPh sb="2" eb="4">
      <t>ニチジ</t>
    </rPh>
    <phoneticPr fontId="2"/>
  </si>
  <si>
    <t>製造年月</t>
    <rPh sb="0" eb="2">
      <t>セイゾウ</t>
    </rPh>
    <rPh sb="2" eb="4">
      <t>ネンゲツ</t>
    </rPh>
    <phoneticPr fontId="2"/>
  </si>
  <si>
    <t>ステップ番号</t>
    <rPh sb="4" eb="6">
      <t>バンゴウ</t>
    </rPh>
    <phoneticPr fontId="2"/>
  </si>
  <si>
    <t>ステップ名称</t>
    <rPh sb="4" eb="6">
      <t>メイショウ</t>
    </rPh>
    <phoneticPr fontId="2"/>
  </si>
  <si>
    <t>1PG</t>
    <phoneticPr fontId="2"/>
  </si>
  <si>
    <t>1PW</t>
    <phoneticPr fontId="2"/>
  </si>
  <si>
    <t>1 G</t>
    <phoneticPr fontId="2"/>
  </si>
  <si>
    <t>1 Y</t>
    <phoneticPr fontId="2"/>
  </si>
  <si>
    <t>1A</t>
    <phoneticPr fontId="2"/>
  </si>
  <si>
    <t>1 R</t>
    <phoneticPr fontId="2"/>
  </si>
  <si>
    <t>2PG</t>
    <phoneticPr fontId="2"/>
  </si>
  <si>
    <t>2PW</t>
    <phoneticPr fontId="2"/>
  </si>
  <si>
    <t>2 G</t>
    <phoneticPr fontId="2"/>
  </si>
  <si>
    <t>2 Y</t>
    <phoneticPr fontId="2"/>
  </si>
  <si>
    <t>2 R</t>
    <phoneticPr fontId="2"/>
  </si>
  <si>
    <t xml:space="preserve">  １Ｐ</t>
    <phoneticPr fontId="2"/>
  </si>
  <si>
    <t>[ 1P ]</t>
    <phoneticPr fontId="2"/>
  </si>
  <si>
    <t>１</t>
    <phoneticPr fontId="2"/>
  </si>
  <si>
    <t>[ 1V ]</t>
    <phoneticPr fontId="2"/>
  </si>
  <si>
    <t>[ 1A ]</t>
    <phoneticPr fontId="2"/>
  </si>
  <si>
    <t xml:space="preserve">  ２Ｐ</t>
    <phoneticPr fontId="2"/>
  </si>
  <si>
    <t>[ 2P ]</t>
    <phoneticPr fontId="2"/>
  </si>
  <si>
    <t>２</t>
    <phoneticPr fontId="2"/>
  </si>
  <si>
    <t>[ 2V ]</t>
    <phoneticPr fontId="2"/>
  </si>
  <si>
    <t>保安秒時</t>
    <rPh sb="0" eb="2">
      <t>ホアン</t>
    </rPh>
    <rPh sb="2" eb="4">
      <t>ビョウジ</t>
    </rPh>
    <phoneticPr fontId="2"/>
  </si>
  <si>
    <t>(</t>
    <phoneticPr fontId="2"/>
  </si>
  <si>
    <t>)</t>
    <phoneticPr fontId="2"/>
  </si>
  <si>
    <t>最長時間（秒）</t>
    <rPh sb="0" eb="2">
      <t>サイチョウ</t>
    </rPh>
    <rPh sb="2" eb="4">
      <t>ジカン</t>
    </rPh>
    <rPh sb="5" eb="6">
      <t>ビョウ</t>
    </rPh>
    <phoneticPr fontId="2"/>
  </si>
  <si>
    <t>最短時間（秒）</t>
    <rPh sb="0" eb="2">
      <t>サイタン</t>
    </rPh>
    <rPh sb="2" eb="4">
      <t>ジカン</t>
    </rPh>
    <rPh sb="5" eb="6">
      <t>ビョウ</t>
    </rPh>
    <phoneticPr fontId="2"/>
  </si>
  <si>
    <t>ＡＢ連動出力</t>
    <rPh sb="2" eb="4">
      <t>レンドウ</t>
    </rPh>
    <rPh sb="4" eb="6">
      <t>シュツリョク</t>
    </rPh>
    <phoneticPr fontId="2"/>
  </si>
  <si>
    <t>A</t>
    <phoneticPr fontId="2"/>
  </si>
  <si>
    <t>B</t>
    <phoneticPr fontId="2"/>
  </si>
  <si>
    <t xml:space="preserve">7-0029 </t>
    <phoneticPr fontId="2"/>
  </si>
  <si>
    <t>070029</t>
    <phoneticPr fontId="2"/>
  </si>
  <si>
    <t>　</t>
    <phoneticPr fontId="2"/>
  </si>
  <si>
    <t>１Ａ</t>
    <phoneticPr fontId="2"/>
  </si>
  <si>
    <t>ＵＣ－ＵＤ（ルータ）</t>
    <phoneticPr fontId="2"/>
  </si>
  <si>
    <t>4A1950</t>
    <phoneticPr fontId="2"/>
  </si>
  <si>
    <t>10:06～</t>
    <phoneticPr fontId="2"/>
  </si>
  <si>
    <t>(UD-RTR)</t>
    <phoneticPr fontId="2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</si>
  <si>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2"/>
  </si>
  <si>
    <t>1012号「版6」</t>
    <phoneticPr fontId="2"/>
  </si>
  <si>
    <t>～</t>
    <phoneticPr fontId="2"/>
  </si>
  <si>
    <t>メーカー</t>
    <phoneticPr fontId="2"/>
  </si>
  <si>
    <t>Int№：</t>
    <phoneticPr fontId="2"/>
  </si>
  <si>
    <t>引野交番前</t>
    <phoneticPr fontId="2"/>
  </si>
  <si>
    <t>07-0029</t>
    <phoneticPr fontId="2"/>
  </si>
  <si>
    <t>70029</t>
    <phoneticPr fontId="2"/>
  </si>
  <si>
    <t>ＰＵ</t>
    <phoneticPr fontId="2"/>
  </si>
  <si>
    <t>ＰＬ</t>
    <phoneticPr fontId="2"/>
  </si>
  <si>
    <t>１Ｐ</t>
    <phoneticPr fontId="2"/>
  </si>
  <si>
    <t>２Ｐ</t>
    <phoneticPr fontId="2"/>
  </si>
  <si>
    <t>１右矢</t>
    <rPh sb="1" eb="2">
      <t>ミギ</t>
    </rPh>
    <rPh sb="2" eb="3">
      <t>ヤ</t>
    </rPh>
    <phoneticPr fontId="2"/>
  </si>
  <si>
    <t>日本信号</t>
    <rPh sb="0" eb="4">
      <t>ニホンシンゴウ</t>
    </rPh>
    <phoneticPr fontId="2"/>
  </si>
  <si>
    <t>K0000016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</si>
</sst>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\(#,##0\)"/>
    <numFmt numFmtId="177" formatCode="###&quot;秒&quot;"/>
    <numFmt numFmtId="178" formatCode="yyyy&quot;年&quot;m&quot;月&quot;d&quot;日&quot;;@"/>
    <numFmt numFmtId="179" formatCode="yyyy&quot;年&quot;m&quot;月&quot;;@"/>
    <numFmt numFmtId="180" formatCode="h&quot;時&quot;mm&quot;分&quot;;@"/>
    <numFmt numFmtId="181" formatCode="0.0"/>
  </numFmts>
  <fonts count="1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8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left" vertical="center"/>
    </xf>
    <xf numFmtId="49" fontId="8" fillId="0" borderId="10" xfId="0" applyNumberFormat="1" applyFont="1" applyBorder="1" applyAlignment="1">
      <alignment horizontal="right" vertical="center"/>
    </xf>
    <xf numFmtId="177" fontId="3" fillId="0" borderId="10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vertical="center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177" fontId="10" fillId="0" borderId="10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49" fontId="9" fillId="0" borderId="0" xfId="0" applyNumberFormat="1" applyFont="1" applyAlignment="1">
      <alignment vertical="center"/>
    </xf>
    <xf numFmtId="49" fontId="10" fillId="0" borderId="10" xfId="0" applyNumberFormat="1" applyFont="1" applyBorder="1" applyAlignment="1">
      <alignment horizontal="right" vertical="center"/>
    </xf>
    <xf numFmtId="176" fontId="10" fillId="0" borderId="7" xfId="0" applyNumberFormat="1" applyFont="1" applyBorder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right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49" fontId="10" fillId="0" borderId="18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right" vertical="center"/>
    </xf>
    <xf numFmtId="49" fontId="10" fillId="0" borderId="7" xfId="0" applyNumberFormat="1" applyFont="1" applyBorder="1" applyAlignment="1">
      <alignment vertical="center"/>
    </xf>
    <xf numFmtId="0" fontId="9" fillId="0" borderId="1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9" fillId="0" borderId="1" xfId="0" applyFont="1" applyBorder="1" applyAlignment="1">
      <alignment vertical="center" shrinkToFit="1"/>
    </xf>
    <xf numFmtId="176" fontId="10" fillId="0" borderId="7" xfId="0" applyNumberFormat="1" applyFont="1" applyBorder="1" applyAlignment="1">
      <alignment vertical="center"/>
    </xf>
    <xf numFmtId="181" fontId="9" fillId="0" borderId="0" xfId="0" applyNumberFormat="1" applyFont="1" applyAlignment="1">
      <alignment vertical="center"/>
    </xf>
    <xf numFmtId="49" fontId="9" fillId="0" borderId="17" xfId="0" applyNumberFormat="1" applyFont="1" applyBorder="1" applyAlignment="1">
      <alignment vertical="center"/>
    </xf>
    <xf numFmtId="49" fontId="9" fillId="0" borderId="3" xfId="0" applyNumberFormat="1" applyFont="1" applyBorder="1" applyAlignment="1">
      <alignment vertical="center"/>
    </xf>
    <xf numFmtId="49" fontId="9" fillId="0" borderId="14" xfId="0" applyNumberFormat="1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49" fontId="9" fillId="0" borderId="14" xfId="0" applyNumberFormat="1" applyFont="1" applyBorder="1" applyAlignment="1">
      <alignment horizontal="right" vertical="center"/>
    </xf>
    <xf numFmtId="49" fontId="9" fillId="0" borderId="0" xfId="0" applyNumberFormat="1" applyFont="1" applyAlignment="1">
      <alignment horizontal="right" vertical="center"/>
    </xf>
    <xf numFmtId="49" fontId="9" fillId="0" borderId="18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17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vertical="center"/>
    </xf>
    <xf numFmtId="49" fontId="10" fillId="0" borderId="9" xfId="0" applyNumberFormat="1" applyFont="1" applyBorder="1" applyAlignment="1">
      <alignment vertical="center"/>
    </xf>
    <xf numFmtId="49" fontId="10" fillId="0" borderId="10" xfId="0" applyNumberFormat="1" applyFont="1" applyBorder="1" applyAlignment="1">
      <alignment vertical="center"/>
    </xf>
    <xf numFmtId="49" fontId="10" fillId="0" borderId="7" xfId="0" applyNumberFormat="1" applyFont="1" applyBorder="1" applyAlignment="1">
      <alignment vertical="center"/>
    </xf>
    <xf numFmtId="49" fontId="10" fillId="0" borderId="6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49" fontId="9" fillId="0" borderId="17" xfId="0" quotePrefix="1" applyNumberFormat="1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9" fillId="0" borderId="20" xfId="0" applyFont="1" applyBorder="1" applyAlignment="1">
      <alignment horizontal="right" vertical="center"/>
    </xf>
    <xf numFmtId="0" fontId="9" fillId="0" borderId="21" xfId="0" applyFont="1" applyBorder="1" applyAlignment="1">
      <alignment horizontal="right" vertical="center"/>
    </xf>
    <xf numFmtId="49" fontId="10" fillId="0" borderId="18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79" fontId="9" fillId="0" borderId="17" xfId="0" applyNumberFormat="1" applyFont="1" applyBorder="1" applyAlignment="1">
      <alignment horizontal="center" vertical="center"/>
    </xf>
    <xf numFmtId="179" fontId="9" fillId="0" borderId="3" xfId="0" applyNumberFormat="1" applyFont="1" applyBorder="1" applyAlignment="1">
      <alignment horizontal="center" vertical="center"/>
    </xf>
    <xf numFmtId="179" fontId="9" fillId="0" borderId="4" xfId="0" applyNumberFormat="1" applyFont="1" applyBorder="1" applyAlignment="1">
      <alignment horizontal="center" vertical="center"/>
    </xf>
    <xf numFmtId="179" fontId="9" fillId="0" borderId="18" xfId="0" applyNumberFormat="1" applyFont="1" applyBorder="1" applyAlignment="1">
      <alignment horizontal="center" vertical="center"/>
    </xf>
    <xf numFmtId="179" fontId="9" fillId="0" borderId="6" xfId="0" applyNumberFormat="1" applyFont="1" applyBorder="1" applyAlignment="1">
      <alignment horizontal="center" vertical="center"/>
    </xf>
    <xf numFmtId="179" fontId="9" fillId="0" borderId="2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49" fontId="9" fillId="0" borderId="23" xfId="0" applyNumberFormat="1" applyFont="1" applyBorder="1" applyAlignment="1">
      <alignment horizontal="right" vertical="center"/>
    </xf>
    <xf numFmtId="0" fontId="9" fillId="0" borderId="24" xfId="0" applyFont="1" applyBorder="1" applyAlignment="1">
      <alignment horizontal="right" vertical="center"/>
    </xf>
    <xf numFmtId="0" fontId="9" fillId="0" borderId="18" xfId="0" applyFont="1" applyBorder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0" fontId="9" fillId="0" borderId="24" xfId="0" applyFont="1" applyBorder="1" applyAlignment="1">
      <alignment horizontal="left" vertical="center" shrinkToFit="1"/>
    </xf>
    <xf numFmtId="0" fontId="9" fillId="0" borderId="6" xfId="0" applyFont="1" applyBorder="1" applyAlignment="1">
      <alignment horizontal="left" vertical="center" shrinkToFit="1"/>
    </xf>
    <xf numFmtId="0" fontId="9" fillId="0" borderId="24" xfId="0" applyFont="1" applyBorder="1" applyAlignment="1">
      <alignment horizontal="center" vertical="center" shrinkToFit="1"/>
    </xf>
    <xf numFmtId="0" fontId="9" fillId="0" borderId="25" xfId="0" applyFont="1" applyBorder="1" applyAlignment="1">
      <alignment horizontal="center" vertical="center" shrinkToFit="1"/>
    </xf>
    <xf numFmtId="0" fontId="9" fillId="0" borderId="6" xfId="0" applyFont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 shrinkToFit="1"/>
    </xf>
    <xf numFmtId="180" fontId="9" fillId="0" borderId="23" xfId="0" applyNumberFormat="1" applyFont="1" applyBorder="1" applyAlignment="1">
      <alignment horizontal="center" vertical="center"/>
    </xf>
    <xf numFmtId="180" fontId="9" fillId="0" borderId="24" xfId="0" applyNumberFormat="1" applyFont="1" applyBorder="1" applyAlignment="1">
      <alignment horizontal="center" vertical="center"/>
    </xf>
    <xf numFmtId="180" fontId="9" fillId="0" borderId="18" xfId="0" applyNumberFormat="1" applyFont="1" applyBorder="1" applyAlignment="1">
      <alignment horizontal="center" vertical="center"/>
    </xf>
    <xf numFmtId="180" fontId="9" fillId="0" borderId="6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 shrinkToFit="1"/>
    </xf>
    <xf numFmtId="0" fontId="9" fillId="0" borderId="21" xfId="0" applyFont="1" applyBorder="1" applyAlignment="1">
      <alignment horizontal="left" vertical="center" shrinkToFit="1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178" fontId="9" fillId="0" borderId="17" xfId="0" applyNumberFormat="1" applyFont="1" applyBorder="1" applyAlignment="1">
      <alignment horizontal="center" vertical="center"/>
    </xf>
    <xf numFmtId="178" fontId="9" fillId="0" borderId="3" xfId="0" applyNumberFormat="1" applyFont="1" applyBorder="1" applyAlignment="1">
      <alignment horizontal="center" vertical="center"/>
    </xf>
    <xf numFmtId="178" fontId="9" fillId="0" borderId="4" xfId="0" applyNumberFormat="1" applyFont="1" applyBorder="1" applyAlignment="1">
      <alignment horizontal="center" vertical="center"/>
    </xf>
    <xf numFmtId="178" fontId="9" fillId="0" borderId="20" xfId="0" applyNumberFormat="1" applyFont="1" applyBorder="1" applyAlignment="1">
      <alignment horizontal="center" vertical="center"/>
    </xf>
    <xf numFmtId="178" fontId="9" fillId="0" borderId="21" xfId="0" applyNumberFormat="1" applyFont="1" applyBorder="1" applyAlignment="1">
      <alignment horizontal="center" vertical="center"/>
    </xf>
    <xf numFmtId="178" fontId="9" fillId="0" borderId="22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14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32" fontId="1" fillId="0" borderId="11" xfId="0" applyNumberFormat="1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57" fontId="1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238126</xdr:colOff>
      <xdr:row>4</xdr:row>
      <xdr:rowOff>161926</xdr:rowOff>
    </xdr:from>
    <xdr:to>
      <xdr:col>21</xdr:col>
      <xdr:colOff>228601</xdr:colOff>
      <xdr:row>14</xdr:row>
      <xdr:rowOff>58949</xdr:rowOff>
    </xdr:to>
    <xdr:grpSp>
      <xdr:nvGrpSpPr>
        <xdr:cNvPr id="145" name="グループ化 144">
          <a:extLst>
            <a:ext uri="{FF2B5EF4-FFF2-40B4-BE49-F238E27FC236}">
              <a16:creationId xmlns:a16="http://schemas.microsoft.com/office/drawing/2014/main" id="{35847F77-5BC3-4492-AC9E-57A592317E3A}"/>
            </a:ext>
          </a:extLst>
        </xdr:cNvPr>
        <xdr:cNvGrpSpPr>
          <a:grpSpLocks noChangeAspect="1"/>
        </xdr:cNvGrpSpPr>
      </xdr:nvGrpSpPr>
      <xdr:grpSpPr>
        <a:xfrm>
          <a:off x="978145" y="733426"/>
          <a:ext cx="5917956" cy="3816927"/>
          <a:chOff x="8286750" y="4733925"/>
          <a:chExt cx="12009524" cy="7790476"/>
        </a:xfrm>
      </xdr:grpSpPr>
      <xdr:pic>
        <xdr:nvPicPr>
          <xdr:cNvPr id="143" name="図 142">
            <a:extLst>
              <a:ext uri="{FF2B5EF4-FFF2-40B4-BE49-F238E27FC236}">
                <a16:creationId xmlns:a16="http://schemas.microsoft.com/office/drawing/2014/main" id="{32A760F1-1E2E-447F-9F6F-1E1E334C72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286750" y="4733925"/>
            <a:ext cx="12009524" cy="7790476"/>
          </a:xfrm>
          <a:prstGeom prst="rect">
            <a:avLst/>
          </a:prstGeom>
        </xdr:spPr>
      </xdr:pic>
      <xdr:sp macro="" textlink="">
        <xdr:nvSpPr>
          <xdr:cNvPr id="144" name="正方形/長方形 143">
            <a:extLst>
              <a:ext uri="{FF2B5EF4-FFF2-40B4-BE49-F238E27FC236}">
                <a16:creationId xmlns:a16="http://schemas.microsoft.com/office/drawing/2014/main" id="{B6D801DE-C089-478A-8E9E-6DB881E99CEA}"/>
              </a:ext>
            </a:extLst>
          </xdr:cNvPr>
          <xdr:cNvSpPr/>
        </xdr:nvSpPr>
        <xdr:spPr bwMode="auto">
          <a:xfrm>
            <a:off x="8286750" y="4743450"/>
            <a:ext cx="3257550" cy="139065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2A375E24-338D-409F-95CA-EE1B0F943FDC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6</xdr:col>
      <xdr:colOff>0</xdr:colOff>
      <xdr:row>18</xdr:row>
      <xdr:rowOff>95250</xdr:rowOff>
    </xdr:from>
    <xdr:to>
      <xdr:col>16</xdr:col>
      <xdr:colOff>0</xdr:colOff>
      <xdr:row>18</xdr:row>
      <xdr:rowOff>142875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D7488A7D-B6DD-42B2-A5B7-357AA64A19CE}"/>
            </a:ext>
          </a:extLst>
        </xdr:cNvPr>
        <xdr:cNvGrpSpPr>
          <a:grpSpLocks/>
        </xdr:cNvGrpSpPr>
      </xdr:nvGrpSpPr>
      <xdr:grpSpPr bwMode="auto">
        <a:xfrm>
          <a:off x="1941635" y="6850673"/>
          <a:ext cx="3150577" cy="47625"/>
          <a:chOff x="158" y="715"/>
          <a:chExt cx="33" cy="5"/>
        </a:xfrm>
      </xdr:grpSpPr>
      <xdr:sp macro="" textlink="">
        <xdr:nvSpPr>
          <xdr:cNvPr id="4" name="Line 3">
            <a:extLst>
              <a:ext uri="{FF2B5EF4-FFF2-40B4-BE49-F238E27FC236}">
                <a16:creationId xmlns:a16="http://schemas.microsoft.com/office/drawing/2014/main" id="{69CC6A58-DBC8-493D-8439-ED9454462E3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id="{5E836748-9DD1-4AF9-8FCB-622F80113BA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19</xdr:row>
      <xdr:rowOff>95250</xdr:rowOff>
    </xdr:from>
    <xdr:to>
      <xdr:col>16</xdr:col>
      <xdr:colOff>0</xdr:colOff>
      <xdr:row>19</xdr:row>
      <xdr:rowOff>142875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E7CEE42F-7FA1-4BE0-8F2D-6DEED9FBC6D1}"/>
            </a:ext>
          </a:extLst>
        </xdr:cNvPr>
        <xdr:cNvGrpSpPr>
          <a:grpSpLocks/>
        </xdr:cNvGrpSpPr>
      </xdr:nvGrpSpPr>
      <xdr:grpSpPr bwMode="auto">
        <a:xfrm>
          <a:off x="3201865" y="7077808"/>
          <a:ext cx="1890347" cy="47625"/>
          <a:chOff x="158" y="715"/>
          <a:chExt cx="33" cy="5"/>
        </a:xfrm>
      </xdr:grpSpPr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4F0A727B-8CB5-4845-B68F-708AF6C1154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FBC254AE-559D-45E8-BEC6-5DBE3930923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9525</xdr:colOff>
      <xdr:row>22</xdr:row>
      <xdr:rowOff>38100</xdr:rowOff>
    </xdr:from>
    <xdr:to>
      <xdr:col>14</xdr:col>
      <xdr:colOff>304800</xdr:colOff>
      <xdr:row>22</xdr:row>
      <xdr:rowOff>180975</xdr:rowOff>
    </xdr:to>
    <xdr:sp macro="" textlink="">
      <xdr:nvSpPr>
        <xdr:cNvPr id="9" name="Freeform 8">
          <a:extLst>
            <a:ext uri="{FF2B5EF4-FFF2-40B4-BE49-F238E27FC236}">
              <a16:creationId xmlns:a16="http://schemas.microsoft.com/office/drawing/2014/main" id="{48ACD415-2E95-4045-A497-EACD6061FD4C}"/>
            </a:ext>
          </a:extLst>
        </xdr:cNvPr>
        <xdr:cNvSpPr>
          <a:spLocks/>
        </xdr:cNvSpPr>
      </xdr:nvSpPr>
      <xdr:spPr bwMode="auto">
        <a:xfrm>
          <a:off x="4029075" y="7648575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57150</xdr:colOff>
      <xdr:row>21</xdr:row>
      <xdr:rowOff>38100</xdr:rowOff>
    </xdr:from>
    <xdr:to>
      <xdr:col>12</xdr:col>
      <xdr:colOff>276225</xdr:colOff>
      <xdr:row>21</xdr:row>
      <xdr:rowOff>190500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9934C53-644E-4C64-B438-ECF8AC907092}"/>
            </a:ext>
          </a:extLst>
        </xdr:cNvPr>
        <xdr:cNvGrpSpPr>
          <a:grpSpLocks/>
        </xdr:cNvGrpSpPr>
      </xdr:nvGrpSpPr>
      <xdr:grpSpPr bwMode="auto">
        <a:xfrm>
          <a:off x="3889131" y="7474927"/>
          <a:ext cx="219075" cy="152400"/>
          <a:chOff x="132" y="708"/>
          <a:chExt cx="20" cy="14"/>
        </a:xfrm>
      </xdr:grpSpPr>
      <xdr:sp macro="" textlink="">
        <xdr:nvSpPr>
          <xdr:cNvPr id="11" name="Line 10">
            <a:extLst>
              <a:ext uri="{FF2B5EF4-FFF2-40B4-BE49-F238E27FC236}">
                <a16:creationId xmlns:a16="http://schemas.microsoft.com/office/drawing/2014/main" id="{409D989E-D8DF-42EA-B585-3C54AADE89EE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1">
            <a:extLst>
              <a:ext uri="{FF2B5EF4-FFF2-40B4-BE49-F238E27FC236}">
                <a16:creationId xmlns:a16="http://schemas.microsoft.com/office/drawing/2014/main" id="{AD381943-F383-4A2F-8352-A3B8A91E691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2">
            <a:extLst>
              <a:ext uri="{FF2B5EF4-FFF2-40B4-BE49-F238E27FC236}">
                <a16:creationId xmlns:a16="http://schemas.microsoft.com/office/drawing/2014/main" id="{E535C7C3-9417-4B69-AD3E-C699D00CDE0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3">
            <a:extLst>
              <a:ext uri="{FF2B5EF4-FFF2-40B4-BE49-F238E27FC236}">
                <a16:creationId xmlns:a16="http://schemas.microsoft.com/office/drawing/2014/main" id="{25BD4E72-64FD-4CF3-8C54-1AAD028F7106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21</xdr:row>
      <xdr:rowOff>95250</xdr:rowOff>
    </xdr:from>
    <xdr:to>
      <xdr:col>16</xdr:col>
      <xdr:colOff>0</xdr:colOff>
      <xdr:row>21</xdr:row>
      <xdr:rowOff>142875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C816F343-F068-43F4-B859-2E450D2BBEDD}"/>
            </a:ext>
          </a:extLst>
        </xdr:cNvPr>
        <xdr:cNvGrpSpPr>
          <a:grpSpLocks/>
        </xdr:cNvGrpSpPr>
      </xdr:nvGrpSpPr>
      <xdr:grpSpPr bwMode="auto">
        <a:xfrm>
          <a:off x="4147038" y="7532077"/>
          <a:ext cx="945174" cy="47625"/>
          <a:chOff x="158" y="715"/>
          <a:chExt cx="33" cy="5"/>
        </a:xfrm>
      </xdr:grpSpPr>
      <xdr:sp macro="" textlink="">
        <xdr:nvSpPr>
          <xdr:cNvPr id="16" name="Line 15">
            <a:extLst>
              <a:ext uri="{FF2B5EF4-FFF2-40B4-BE49-F238E27FC236}">
                <a16:creationId xmlns:a16="http://schemas.microsoft.com/office/drawing/2014/main" id="{50CC622B-7995-4F26-8BBB-ABE8C93C7B1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6">
            <a:extLst>
              <a:ext uri="{FF2B5EF4-FFF2-40B4-BE49-F238E27FC236}">
                <a16:creationId xmlns:a16="http://schemas.microsoft.com/office/drawing/2014/main" id="{C3BC28CF-4BCA-4F03-BA85-4B99340231E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0</xdr:colOff>
      <xdr:row>22</xdr:row>
      <xdr:rowOff>95250</xdr:rowOff>
    </xdr:from>
    <xdr:to>
      <xdr:col>16</xdr:col>
      <xdr:colOff>0</xdr:colOff>
      <xdr:row>22</xdr:row>
      <xdr:rowOff>142875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1D4C7031-13D3-4F5C-8891-166D173C6C91}"/>
            </a:ext>
          </a:extLst>
        </xdr:cNvPr>
        <xdr:cNvGrpSpPr>
          <a:grpSpLocks/>
        </xdr:cNvGrpSpPr>
      </xdr:nvGrpSpPr>
      <xdr:grpSpPr bwMode="auto">
        <a:xfrm>
          <a:off x="4777154" y="7759212"/>
          <a:ext cx="315058" cy="47625"/>
          <a:chOff x="158" y="715"/>
          <a:chExt cx="33" cy="5"/>
        </a:xfrm>
      </xdr:grpSpPr>
      <xdr:sp macro="" textlink="">
        <xdr:nvSpPr>
          <xdr:cNvPr id="19" name="Line 18">
            <a:extLst>
              <a:ext uri="{FF2B5EF4-FFF2-40B4-BE49-F238E27FC236}">
                <a16:creationId xmlns:a16="http://schemas.microsoft.com/office/drawing/2014/main" id="{D27427EC-9217-4CBC-B184-452CDF33528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19">
            <a:extLst>
              <a:ext uri="{FF2B5EF4-FFF2-40B4-BE49-F238E27FC236}">
                <a16:creationId xmlns:a16="http://schemas.microsoft.com/office/drawing/2014/main" id="{D13F7B81-7DDF-4DA0-8933-654D5709FA3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21</xdr:row>
      <xdr:rowOff>104775</xdr:rowOff>
    </xdr:from>
    <xdr:to>
      <xdr:col>11</xdr:col>
      <xdr:colOff>13725</xdr:colOff>
      <xdr:row>21</xdr:row>
      <xdr:rowOff>152400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4A5DB1F4-7CEC-4BB3-96D8-AA5C2923B04E}"/>
            </a:ext>
          </a:extLst>
        </xdr:cNvPr>
        <xdr:cNvGrpSpPr>
          <a:grpSpLocks/>
        </xdr:cNvGrpSpPr>
      </xdr:nvGrpSpPr>
      <xdr:grpSpPr bwMode="auto">
        <a:xfrm>
          <a:off x="1311519" y="7541602"/>
          <a:ext cx="2219129" cy="47625"/>
          <a:chOff x="158" y="715"/>
          <a:chExt cx="33" cy="5"/>
        </a:xfrm>
      </xdr:grpSpPr>
      <xdr:sp macro="" textlink="">
        <xdr:nvSpPr>
          <xdr:cNvPr id="22" name="Line 21">
            <a:extLst>
              <a:ext uri="{FF2B5EF4-FFF2-40B4-BE49-F238E27FC236}">
                <a16:creationId xmlns:a16="http://schemas.microsoft.com/office/drawing/2014/main" id="{E6A71D62-C811-4289-95BF-C80D9C7F5CB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2">
            <a:extLst>
              <a:ext uri="{FF2B5EF4-FFF2-40B4-BE49-F238E27FC236}">
                <a16:creationId xmlns:a16="http://schemas.microsoft.com/office/drawing/2014/main" id="{983A5635-DBC8-4FC9-A731-25750D194B4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21</xdr:row>
      <xdr:rowOff>123825</xdr:rowOff>
    </xdr:from>
    <xdr:to>
      <xdr:col>12</xdr:col>
      <xdr:colOff>0</xdr:colOff>
      <xdr:row>21</xdr:row>
      <xdr:rowOff>123825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8157E24E-0298-4088-9A1F-2612BE307B51}"/>
            </a:ext>
          </a:extLst>
        </xdr:cNvPr>
        <xdr:cNvSpPr>
          <a:spLocks noChangeShapeType="1"/>
        </xdr:cNvSpPr>
      </xdr:nvSpPr>
      <xdr:spPr bwMode="auto">
        <a:xfrm>
          <a:off x="3076575" y="75057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22</xdr:row>
      <xdr:rowOff>123825</xdr:rowOff>
    </xdr:from>
    <xdr:to>
      <xdr:col>14</xdr:col>
      <xdr:colOff>0</xdr:colOff>
      <xdr:row>22</xdr:row>
      <xdr:rowOff>123825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514EF841-A5C5-49F7-8EE2-F5B2D263C4F2}"/>
            </a:ext>
          </a:extLst>
        </xdr:cNvPr>
        <xdr:cNvSpPr>
          <a:spLocks noChangeShapeType="1"/>
        </xdr:cNvSpPr>
      </xdr:nvSpPr>
      <xdr:spPr bwMode="auto">
        <a:xfrm>
          <a:off x="3076575" y="77343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38100</xdr:colOff>
      <xdr:row>22</xdr:row>
      <xdr:rowOff>95250</xdr:rowOff>
    </xdr:from>
    <xdr:to>
      <xdr:col>11</xdr:col>
      <xdr:colOff>0</xdr:colOff>
      <xdr:row>22</xdr:row>
      <xdr:rowOff>142875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2D8F40F7-B4DE-43CE-AEA5-719D78F2B73D}"/>
            </a:ext>
          </a:extLst>
        </xdr:cNvPr>
        <xdr:cNvGrpSpPr>
          <a:grpSpLocks/>
        </xdr:cNvGrpSpPr>
      </xdr:nvGrpSpPr>
      <xdr:grpSpPr bwMode="auto">
        <a:xfrm>
          <a:off x="1349619" y="7759212"/>
          <a:ext cx="2167304" cy="47625"/>
          <a:chOff x="158" y="715"/>
          <a:chExt cx="33" cy="5"/>
        </a:xfrm>
      </xdr:grpSpPr>
      <xdr:sp macro="" textlink="">
        <xdr:nvSpPr>
          <xdr:cNvPr id="27" name="Line 26">
            <a:extLst>
              <a:ext uri="{FF2B5EF4-FFF2-40B4-BE49-F238E27FC236}">
                <a16:creationId xmlns:a16="http://schemas.microsoft.com/office/drawing/2014/main" id="{AFD4AE33-9B56-45CA-AF1B-2B9A5BC388C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27">
            <a:extLst>
              <a:ext uri="{FF2B5EF4-FFF2-40B4-BE49-F238E27FC236}">
                <a16:creationId xmlns:a16="http://schemas.microsoft.com/office/drawing/2014/main" id="{2313EA90-A0CB-489C-AF9B-4259B070CC5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19050</xdr:colOff>
      <xdr:row>18</xdr:row>
      <xdr:rowOff>123825</xdr:rowOff>
    </xdr:from>
    <xdr:to>
      <xdr:col>4</xdr:col>
      <xdr:colOff>307050</xdr:colOff>
      <xdr:row>18</xdr:row>
      <xdr:rowOff>123825</xdr:rowOff>
    </xdr:to>
    <xdr:sp macro="" textlink="">
      <xdr:nvSpPr>
        <xdr:cNvPr id="31" name="Line 30">
          <a:extLst>
            <a:ext uri="{FF2B5EF4-FFF2-40B4-BE49-F238E27FC236}">
              <a16:creationId xmlns:a16="http://schemas.microsoft.com/office/drawing/2014/main" id="{4D6E9E9F-763E-42E6-BF91-D0CF3ED1F578}"/>
            </a:ext>
          </a:extLst>
        </xdr:cNvPr>
        <xdr:cNvSpPr>
          <a:spLocks noChangeShapeType="1"/>
        </xdr:cNvSpPr>
      </xdr:nvSpPr>
      <xdr:spPr bwMode="auto">
        <a:xfrm>
          <a:off x="1333500" y="6896100"/>
          <a:ext cx="2880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19</xdr:row>
      <xdr:rowOff>123825</xdr:rowOff>
    </xdr:from>
    <xdr:to>
      <xdr:col>7</xdr:col>
      <xdr:colOff>0</xdr:colOff>
      <xdr:row>19</xdr:row>
      <xdr:rowOff>123825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81C2BDB4-C8DF-4187-82FB-E22FD541DACF}"/>
            </a:ext>
          </a:extLst>
        </xdr:cNvPr>
        <xdr:cNvSpPr>
          <a:spLocks noChangeShapeType="1"/>
        </xdr:cNvSpPr>
      </xdr:nvSpPr>
      <xdr:spPr bwMode="auto">
        <a:xfrm>
          <a:off x="885825" y="7048500"/>
          <a:ext cx="93345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47625</xdr:colOff>
      <xdr:row>18</xdr:row>
      <xdr:rowOff>38100</xdr:rowOff>
    </xdr:from>
    <xdr:to>
      <xdr:col>5</xdr:col>
      <xdr:colOff>266700</xdr:colOff>
      <xdr:row>18</xdr:row>
      <xdr:rowOff>190500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7F2B4A39-BF43-4D09-9B5B-04691C9797B3}"/>
            </a:ext>
          </a:extLst>
        </xdr:cNvPr>
        <xdr:cNvGrpSpPr>
          <a:grpSpLocks/>
        </xdr:cNvGrpSpPr>
      </xdr:nvGrpSpPr>
      <xdr:grpSpPr bwMode="auto">
        <a:xfrm>
          <a:off x="1674202" y="6793523"/>
          <a:ext cx="219075" cy="152400"/>
          <a:chOff x="132" y="708"/>
          <a:chExt cx="20" cy="14"/>
        </a:xfrm>
      </xdr:grpSpPr>
      <xdr:sp macro="" textlink="">
        <xdr:nvSpPr>
          <xdr:cNvPr id="34" name="Line 33">
            <a:extLst>
              <a:ext uri="{FF2B5EF4-FFF2-40B4-BE49-F238E27FC236}">
                <a16:creationId xmlns:a16="http://schemas.microsoft.com/office/drawing/2014/main" id="{4D83C40C-0AD6-45DD-96EC-08368E33E653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34">
            <a:extLst>
              <a:ext uri="{FF2B5EF4-FFF2-40B4-BE49-F238E27FC236}">
                <a16:creationId xmlns:a16="http://schemas.microsoft.com/office/drawing/2014/main" id="{2676B46E-26C3-4E5E-BFA3-7F4EF859E45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35">
            <a:extLst>
              <a:ext uri="{FF2B5EF4-FFF2-40B4-BE49-F238E27FC236}">
                <a16:creationId xmlns:a16="http://schemas.microsoft.com/office/drawing/2014/main" id="{C66FC135-424B-4B73-B43C-B60849918B4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36">
            <a:extLst>
              <a:ext uri="{FF2B5EF4-FFF2-40B4-BE49-F238E27FC236}">
                <a16:creationId xmlns:a16="http://schemas.microsoft.com/office/drawing/2014/main" id="{E141E9F3-4E1D-4218-963C-992B0FB74B81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9525</xdr:colOff>
      <xdr:row>19</xdr:row>
      <xdr:rowOff>47625</xdr:rowOff>
    </xdr:from>
    <xdr:to>
      <xdr:col>7</xdr:col>
      <xdr:colOff>304800</xdr:colOff>
      <xdr:row>19</xdr:row>
      <xdr:rowOff>190500</xdr:rowOff>
    </xdr:to>
    <xdr:sp macro="" textlink="">
      <xdr:nvSpPr>
        <xdr:cNvPr id="38" name="Freeform 37">
          <a:extLst>
            <a:ext uri="{FF2B5EF4-FFF2-40B4-BE49-F238E27FC236}">
              <a16:creationId xmlns:a16="http://schemas.microsoft.com/office/drawing/2014/main" id="{623AB1A8-3152-4DF6-91C2-B40421733625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180975</xdr:colOff>
      <xdr:row>17</xdr:row>
      <xdr:rowOff>304800</xdr:rowOff>
    </xdr:from>
    <xdr:to>
      <xdr:col>6</xdr:col>
      <xdr:colOff>285750</xdr:colOff>
      <xdr:row>17</xdr:row>
      <xdr:rowOff>361950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A10EB905-26CA-4B5B-82EC-53302E273986}"/>
            </a:ext>
          </a:extLst>
        </xdr:cNvPr>
        <xdr:cNvGrpSpPr>
          <a:grpSpLocks/>
        </xdr:cNvGrpSpPr>
      </xdr:nvGrpSpPr>
      <xdr:grpSpPr bwMode="auto">
        <a:xfrm>
          <a:off x="1492494" y="5477608"/>
          <a:ext cx="734891" cy="57150"/>
          <a:chOff x="123" y="549"/>
          <a:chExt cx="77" cy="6"/>
        </a:xfrm>
      </xdr:grpSpPr>
      <xdr:sp macro="" textlink="">
        <xdr:nvSpPr>
          <xdr:cNvPr id="40" name="Line 39">
            <a:extLst>
              <a:ext uri="{FF2B5EF4-FFF2-40B4-BE49-F238E27FC236}">
                <a16:creationId xmlns:a16="http://schemas.microsoft.com/office/drawing/2014/main" id="{3DB7EF5E-9826-42EE-8E39-04790079439E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Freeform 40">
            <a:extLst>
              <a:ext uri="{FF2B5EF4-FFF2-40B4-BE49-F238E27FC236}">
                <a16:creationId xmlns:a16="http://schemas.microsoft.com/office/drawing/2014/main" id="{B3FB1941-87A9-4F73-9E77-A0B08C77D5D1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2" name="Freeform 41">
            <a:extLst>
              <a:ext uri="{FF2B5EF4-FFF2-40B4-BE49-F238E27FC236}">
                <a16:creationId xmlns:a16="http://schemas.microsoft.com/office/drawing/2014/main" id="{8CA0B4C3-DC0F-4BAE-8081-0B95C11AEA9B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171450</xdr:colOff>
      <xdr:row>17</xdr:row>
      <xdr:rowOff>866775</xdr:rowOff>
    </xdr:from>
    <xdr:to>
      <xdr:col>7</xdr:col>
      <xdr:colOff>238125</xdr:colOff>
      <xdr:row>17</xdr:row>
      <xdr:rowOff>1171575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A10791D-15CC-498F-B61C-8E625183032D}"/>
            </a:ext>
          </a:extLst>
        </xdr:cNvPr>
        <xdr:cNvGrpSpPr>
          <a:grpSpLocks/>
        </xdr:cNvGrpSpPr>
      </xdr:nvGrpSpPr>
      <xdr:grpSpPr bwMode="auto">
        <a:xfrm>
          <a:off x="1482969" y="6039583"/>
          <a:ext cx="1011848" cy="304800"/>
          <a:chOff x="105" y="627"/>
          <a:chExt cx="106" cy="32"/>
        </a:xfrm>
      </xdr:grpSpPr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9949883C-5809-4CC5-9C84-9636EE0BF0E6}"/>
              </a:ext>
            </a:extLst>
          </xdr:cNvPr>
          <xdr:cNvGrpSpPr>
            <a:grpSpLocks/>
          </xdr:cNvGrpSpPr>
        </xdr:nvGrpSpPr>
        <xdr:grpSpPr bwMode="auto">
          <a:xfrm>
            <a:off x="105" y="627"/>
            <a:ext cx="106" cy="19"/>
            <a:chOff x="122" y="627"/>
            <a:chExt cx="106" cy="19"/>
          </a:xfrm>
        </xdr:grpSpPr>
        <xdr:sp macro="" textlink="">
          <xdr:nvSpPr>
            <xdr:cNvPr id="49" name="Line 44">
              <a:extLst>
                <a:ext uri="{FF2B5EF4-FFF2-40B4-BE49-F238E27FC236}">
                  <a16:creationId xmlns:a16="http://schemas.microsoft.com/office/drawing/2014/main" id="{D4278403-595A-4E39-B8FA-84E2396FCACE}"/>
                </a:ext>
              </a:extLst>
            </xdr:cNvPr>
            <xdr:cNvSpPr>
              <a:spLocks noChangeShapeType="1"/>
            </xdr:cNvSpPr>
          </xdr:nvSpPr>
          <xdr:spPr bwMode="auto">
            <a:xfrm rot="-10800000">
              <a:off x="124" y="64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0" name="Freeform 45">
              <a:extLst>
                <a:ext uri="{FF2B5EF4-FFF2-40B4-BE49-F238E27FC236}">
                  <a16:creationId xmlns:a16="http://schemas.microsoft.com/office/drawing/2014/main" id="{E143BAF7-267D-45BA-A0FF-F763F4E2FD68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22" y="640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1" name="Freeform 46">
              <a:extLst>
                <a:ext uri="{FF2B5EF4-FFF2-40B4-BE49-F238E27FC236}">
                  <a16:creationId xmlns:a16="http://schemas.microsoft.com/office/drawing/2014/main" id="{BFED5316-B1D3-48C5-8B59-B5ECCE2A378E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85" y="636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" name="Line 47">
              <a:extLst>
                <a:ext uri="{FF2B5EF4-FFF2-40B4-BE49-F238E27FC236}">
                  <a16:creationId xmlns:a16="http://schemas.microsoft.com/office/drawing/2014/main" id="{A5AA9AF3-69ED-47C5-BADA-CE4D9A519D24}"/>
                </a:ext>
              </a:extLst>
            </xdr:cNvPr>
            <xdr:cNvSpPr>
              <a:spLocks noChangeShapeType="1"/>
            </xdr:cNvSpPr>
          </xdr:nvSpPr>
          <xdr:spPr bwMode="auto">
            <a:xfrm rot="-10800000">
              <a:off x="185" y="629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" name="Freeform 48">
              <a:extLst>
                <a:ext uri="{FF2B5EF4-FFF2-40B4-BE49-F238E27FC236}">
                  <a16:creationId xmlns:a16="http://schemas.microsoft.com/office/drawing/2014/main" id="{DBA50528-7EF8-4CDF-8869-14BF45AEDF29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81" y="627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45" name="Group 49">
            <a:extLst>
              <a:ext uri="{FF2B5EF4-FFF2-40B4-BE49-F238E27FC236}">
                <a16:creationId xmlns:a16="http://schemas.microsoft.com/office/drawing/2014/main" id="{1D183A11-CB7F-4EAA-B635-540A68B3BB06}"/>
              </a:ext>
            </a:extLst>
          </xdr:cNvPr>
          <xdr:cNvGrpSpPr>
            <a:grpSpLocks/>
          </xdr:cNvGrpSpPr>
        </xdr:nvGrpSpPr>
        <xdr:grpSpPr bwMode="auto">
          <a:xfrm>
            <a:off x="176" y="643"/>
            <a:ext cx="12" cy="16"/>
            <a:chOff x="181" y="640"/>
            <a:chExt cx="12" cy="16"/>
          </a:xfrm>
        </xdr:grpSpPr>
        <xdr:sp macro="" textlink="">
          <xdr:nvSpPr>
            <xdr:cNvPr id="46" name="Freeform 50">
              <a:extLst>
                <a:ext uri="{FF2B5EF4-FFF2-40B4-BE49-F238E27FC236}">
                  <a16:creationId xmlns:a16="http://schemas.microsoft.com/office/drawing/2014/main" id="{89FF0D7F-9BFF-48AB-8BB1-28ECD96A8700}"/>
                </a:ext>
              </a:extLst>
            </xdr:cNvPr>
            <xdr:cNvSpPr>
              <a:spLocks/>
            </xdr:cNvSpPr>
          </xdr:nvSpPr>
          <xdr:spPr bwMode="auto">
            <a:xfrm flipH="1">
              <a:off x="185" y="640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" name="Line 51">
              <a:extLst>
                <a:ext uri="{FF2B5EF4-FFF2-40B4-BE49-F238E27FC236}">
                  <a16:creationId xmlns:a16="http://schemas.microsoft.com/office/drawing/2014/main" id="{4C0856A3-0F8B-4AF9-9A31-B629D9C7EA2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85" y="648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8" name="Freeform 52">
              <a:extLst>
                <a:ext uri="{FF2B5EF4-FFF2-40B4-BE49-F238E27FC236}">
                  <a16:creationId xmlns:a16="http://schemas.microsoft.com/office/drawing/2014/main" id="{CE479C4B-4A48-484D-9EFE-655C47898AF9}"/>
                </a:ext>
              </a:extLst>
            </xdr:cNvPr>
            <xdr:cNvSpPr>
              <a:spLocks/>
            </xdr:cNvSpPr>
          </xdr:nvSpPr>
          <xdr:spPr bwMode="auto">
            <a:xfrm flipH="1">
              <a:off x="181" y="649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4</xdr:col>
      <xdr:colOff>152400</xdr:colOff>
      <xdr:row>17</xdr:row>
      <xdr:rowOff>495300</xdr:rowOff>
    </xdr:from>
    <xdr:to>
      <xdr:col>7</xdr:col>
      <xdr:colOff>209550</xdr:colOff>
      <xdr:row>17</xdr:row>
      <xdr:rowOff>800100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2FB47214-9A2B-435C-9960-481B47C499A5}"/>
            </a:ext>
          </a:extLst>
        </xdr:cNvPr>
        <xdr:cNvGrpSpPr>
          <a:grpSpLocks/>
        </xdr:cNvGrpSpPr>
      </xdr:nvGrpSpPr>
      <xdr:grpSpPr bwMode="auto">
        <a:xfrm>
          <a:off x="1463919" y="5668108"/>
          <a:ext cx="1002323" cy="304800"/>
          <a:chOff x="106" y="589"/>
          <a:chExt cx="105" cy="32"/>
        </a:xfrm>
      </xdr:grpSpPr>
      <xdr:grpSp>
        <xdr:nvGrpSpPr>
          <xdr:cNvPr id="55" name="Group 54">
            <a:extLst>
              <a:ext uri="{FF2B5EF4-FFF2-40B4-BE49-F238E27FC236}">
                <a16:creationId xmlns:a16="http://schemas.microsoft.com/office/drawing/2014/main" id="{C6742051-68E8-450E-85A7-10677DE6FE55}"/>
              </a:ext>
            </a:extLst>
          </xdr:cNvPr>
          <xdr:cNvGrpSpPr>
            <a:grpSpLocks/>
          </xdr:cNvGrpSpPr>
        </xdr:nvGrpSpPr>
        <xdr:grpSpPr bwMode="auto">
          <a:xfrm>
            <a:off x="106" y="589"/>
            <a:ext cx="105" cy="19"/>
            <a:chOff x="123" y="589"/>
            <a:chExt cx="105" cy="19"/>
          </a:xfrm>
        </xdr:grpSpPr>
        <xdr:sp macro="" textlink="">
          <xdr:nvSpPr>
            <xdr:cNvPr id="60" name="Line 55">
              <a:extLst>
                <a:ext uri="{FF2B5EF4-FFF2-40B4-BE49-F238E27FC236}">
                  <a16:creationId xmlns:a16="http://schemas.microsoft.com/office/drawing/2014/main" id="{812AECDD-4D84-4089-BC5B-41584AC1230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3" y="605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1" name="Freeform 56">
              <a:extLst>
                <a:ext uri="{FF2B5EF4-FFF2-40B4-BE49-F238E27FC236}">
                  <a16:creationId xmlns:a16="http://schemas.microsoft.com/office/drawing/2014/main" id="{5EC3915A-A267-48A5-BB71-D066AF62553E}"/>
                </a:ext>
              </a:extLst>
            </xdr:cNvPr>
            <xdr:cNvSpPr>
              <a:spLocks/>
            </xdr:cNvSpPr>
          </xdr:nvSpPr>
          <xdr:spPr bwMode="auto">
            <a:xfrm>
              <a:off x="221" y="602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2" name="Freeform 57">
              <a:extLst>
                <a:ext uri="{FF2B5EF4-FFF2-40B4-BE49-F238E27FC236}">
                  <a16:creationId xmlns:a16="http://schemas.microsoft.com/office/drawing/2014/main" id="{BE043B6B-C5F3-465E-A77E-5A28126D8899}"/>
                </a:ext>
              </a:extLst>
            </xdr:cNvPr>
            <xdr:cNvSpPr>
              <a:spLocks/>
            </xdr:cNvSpPr>
          </xdr:nvSpPr>
          <xdr:spPr bwMode="auto">
            <a:xfrm>
              <a:off x="147" y="597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3" name="Line 58">
              <a:extLst>
                <a:ext uri="{FF2B5EF4-FFF2-40B4-BE49-F238E27FC236}">
                  <a16:creationId xmlns:a16="http://schemas.microsoft.com/office/drawing/2014/main" id="{4A5AEEFE-9858-452C-9E8B-BDA1421A1B9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54" y="589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4" name="Freeform 59">
              <a:extLst>
                <a:ext uri="{FF2B5EF4-FFF2-40B4-BE49-F238E27FC236}">
                  <a16:creationId xmlns:a16="http://schemas.microsoft.com/office/drawing/2014/main" id="{D21E5CE4-8AA4-4599-9896-D98698780815}"/>
                </a:ext>
              </a:extLst>
            </xdr:cNvPr>
            <xdr:cNvSpPr>
              <a:spLocks/>
            </xdr:cNvSpPr>
          </xdr:nvSpPr>
          <xdr:spPr bwMode="auto">
            <a:xfrm>
              <a:off x="150" y="589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6" name="Group 60">
            <a:extLst>
              <a:ext uri="{FF2B5EF4-FFF2-40B4-BE49-F238E27FC236}">
                <a16:creationId xmlns:a16="http://schemas.microsoft.com/office/drawing/2014/main" id="{B1B4158E-0483-464B-BC15-964CE4EF542D}"/>
              </a:ext>
            </a:extLst>
          </xdr:cNvPr>
          <xdr:cNvGrpSpPr>
            <a:grpSpLocks/>
          </xdr:cNvGrpSpPr>
        </xdr:nvGrpSpPr>
        <xdr:grpSpPr bwMode="auto">
          <a:xfrm flipH="1">
            <a:off x="140" y="605"/>
            <a:ext cx="12" cy="16"/>
            <a:chOff x="181" y="640"/>
            <a:chExt cx="12" cy="16"/>
          </a:xfrm>
        </xdr:grpSpPr>
        <xdr:sp macro="" textlink="">
          <xdr:nvSpPr>
            <xdr:cNvPr id="57" name="Freeform 61">
              <a:extLst>
                <a:ext uri="{FF2B5EF4-FFF2-40B4-BE49-F238E27FC236}">
                  <a16:creationId xmlns:a16="http://schemas.microsoft.com/office/drawing/2014/main" id="{237BEDCE-BCA6-4621-A916-DB7C90EF4378}"/>
                </a:ext>
              </a:extLst>
            </xdr:cNvPr>
            <xdr:cNvSpPr>
              <a:spLocks/>
            </xdr:cNvSpPr>
          </xdr:nvSpPr>
          <xdr:spPr bwMode="auto">
            <a:xfrm flipH="1">
              <a:off x="185" y="640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" name="Line 62">
              <a:extLst>
                <a:ext uri="{FF2B5EF4-FFF2-40B4-BE49-F238E27FC236}">
                  <a16:creationId xmlns:a16="http://schemas.microsoft.com/office/drawing/2014/main" id="{C3AB2636-B349-4554-975A-C49C1C0EBF7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85" y="648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9" name="Freeform 63">
              <a:extLst>
                <a:ext uri="{FF2B5EF4-FFF2-40B4-BE49-F238E27FC236}">
                  <a16:creationId xmlns:a16="http://schemas.microsoft.com/office/drawing/2014/main" id="{F1D4CF04-D914-4A87-B786-7CEDB02C6EFB}"/>
                </a:ext>
              </a:extLst>
            </xdr:cNvPr>
            <xdr:cNvSpPr>
              <a:spLocks/>
            </xdr:cNvSpPr>
          </xdr:nvSpPr>
          <xdr:spPr bwMode="auto">
            <a:xfrm flipH="1">
              <a:off x="181" y="649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4</xdr:col>
      <xdr:colOff>219075</xdr:colOff>
      <xdr:row>17</xdr:row>
      <xdr:rowOff>1257300</xdr:rowOff>
    </xdr:from>
    <xdr:to>
      <xdr:col>7</xdr:col>
      <xdr:colOff>9525</xdr:colOff>
      <xdr:row>17</xdr:row>
      <xdr:rowOff>1314450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8AF2455D-0FE1-4568-A534-EECE097D9798}"/>
            </a:ext>
          </a:extLst>
        </xdr:cNvPr>
        <xdr:cNvGrpSpPr>
          <a:grpSpLocks/>
        </xdr:cNvGrpSpPr>
      </xdr:nvGrpSpPr>
      <xdr:grpSpPr bwMode="auto">
        <a:xfrm>
          <a:off x="1530594" y="6430108"/>
          <a:ext cx="735623" cy="57150"/>
          <a:chOff x="123" y="549"/>
          <a:chExt cx="77" cy="6"/>
        </a:xfrm>
      </xdr:grpSpPr>
      <xdr:sp macro="" textlink="">
        <xdr:nvSpPr>
          <xdr:cNvPr id="66" name="Line 65">
            <a:extLst>
              <a:ext uri="{FF2B5EF4-FFF2-40B4-BE49-F238E27FC236}">
                <a16:creationId xmlns:a16="http://schemas.microsoft.com/office/drawing/2014/main" id="{4701C552-3397-4061-B78B-CDCC93C7AE06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Freeform 66">
            <a:extLst>
              <a:ext uri="{FF2B5EF4-FFF2-40B4-BE49-F238E27FC236}">
                <a16:creationId xmlns:a16="http://schemas.microsoft.com/office/drawing/2014/main" id="{53511DC1-DAA1-4413-8339-EA6D6E1C1580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8" name="Freeform 67">
            <a:extLst>
              <a:ext uri="{FF2B5EF4-FFF2-40B4-BE49-F238E27FC236}">
                <a16:creationId xmlns:a16="http://schemas.microsoft.com/office/drawing/2014/main" id="{AD4570EE-B56D-4FB8-B488-CA16D34BBFF8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19</xdr:row>
      <xdr:rowOff>57150</xdr:rowOff>
    </xdr:from>
    <xdr:to>
      <xdr:col>9</xdr:col>
      <xdr:colOff>304800</xdr:colOff>
      <xdr:row>19</xdr:row>
      <xdr:rowOff>200025</xdr:rowOff>
    </xdr:to>
    <xdr:sp macro="" textlink="">
      <xdr:nvSpPr>
        <xdr:cNvPr id="69" name="Freeform 68">
          <a:extLst>
            <a:ext uri="{FF2B5EF4-FFF2-40B4-BE49-F238E27FC236}">
              <a16:creationId xmlns:a16="http://schemas.microsoft.com/office/drawing/2014/main" id="{5EE1A4CC-BB66-4416-BBBC-9B4996758883}"/>
            </a:ext>
          </a:extLst>
        </xdr:cNvPr>
        <xdr:cNvSpPr>
          <a:spLocks/>
        </xdr:cNvSpPr>
      </xdr:nvSpPr>
      <xdr:spPr bwMode="auto">
        <a:xfrm>
          <a:off x="2457450" y="6981825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19</xdr:row>
      <xdr:rowOff>95250</xdr:rowOff>
    </xdr:from>
    <xdr:to>
      <xdr:col>9</xdr:col>
      <xdr:colOff>9525</xdr:colOff>
      <xdr:row>19</xdr:row>
      <xdr:rowOff>142875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936BABE8-57D3-433C-9B66-3D073B4F34DB}"/>
            </a:ext>
          </a:extLst>
        </xdr:cNvPr>
        <xdr:cNvGrpSpPr>
          <a:grpSpLocks/>
        </xdr:cNvGrpSpPr>
      </xdr:nvGrpSpPr>
      <xdr:grpSpPr bwMode="auto">
        <a:xfrm>
          <a:off x="2571750" y="7077808"/>
          <a:ext cx="324583" cy="47625"/>
          <a:chOff x="158" y="715"/>
          <a:chExt cx="33" cy="5"/>
        </a:xfrm>
      </xdr:grpSpPr>
      <xdr:sp macro="" textlink="">
        <xdr:nvSpPr>
          <xdr:cNvPr id="71" name="Line 70">
            <a:extLst>
              <a:ext uri="{FF2B5EF4-FFF2-40B4-BE49-F238E27FC236}">
                <a16:creationId xmlns:a16="http://schemas.microsoft.com/office/drawing/2014/main" id="{EC109C6B-245F-47BF-B1C5-5A8AC80F9D5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71">
            <a:extLst>
              <a:ext uri="{FF2B5EF4-FFF2-40B4-BE49-F238E27FC236}">
                <a16:creationId xmlns:a16="http://schemas.microsoft.com/office/drawing/2014/main" id="{2A290D18-DB3F-4508-9EBE-8670008AA71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19050</xdr:colOff>
      <xdr:row>20</xdr:row>
      <xdr:rowOff>38100</xdr:rowOff>
    </xdr:from>
    <xdr:to>
      <xdr:col>8</xdr:col>
      <xdr:colOff>295275</xdr:colOff>
      <xdr:row>20</xdr:row>
      <xdr:rowOff>209550</xdr:rowOff>
    </xdr:to>
    <xdr:grpSp>
      <xdr:nvGrpSpPr>
        <xdr:cNvPr id="73" name="Group 72">
          <a:extLst>
            <a:ext uri="{FF2B5EF4-FFF2-40B4-BE49-F238E27FC236}">
              <a16:creationId xmlns:a16="http://schemas.microsoft.com/office/drawing/2014/main" id="{824431FA-B27C-494C-BD2B-BD98D2A01142}"/>
            </a:ext>
          </a:extLst>
        </xdr:cNvPr>
        <xdr:cNvGrpSpPr>
          <a:grpSpLocks/>
        </xdr:cNvGrpSpPr>
      </xdr:nvGrpSpPr>
      <xdr:grpSpPr bwMode="auto">
        <a:xfrm>
          <a:off x="2590800" y="7247792"/>
          <a:ext cx="276225" cy="171450"/>
          <a:chOff x="226" y="755"/>
          <a:chExt cx="29" cy="18"/>
        </a:xfrm>
      </xdr:grpSpPr>
      <xdr:sp macro="" textlink="">
        <xdr:nvSpPr>
          <xdr:cNvPr id="74" name="Oval 73">
            <a:extLst>
              <a:ext uri="{FF2B5EF4-FFF2-40B4-BE49-F238E27FC236}">
                <a16:creationId xmlns:a16="http://schemas.microsoft.com/office/drawing/2014/main" id="{77DBC8D9-13EE-4351-9A3E-E890646A9511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5" name="Line 74">
            <a:extLst>
              <a:ext uri="{FF2B5EF4-FFF2-40B4-BE49-F238E27FC236}">
                <a16:creationId xmlns:a16="http://schemas.microsoft.com/office/drawing/2014/main" id="{AE5D0A6C-586A-4597-A1B6-D74D09296B6D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Freeform 75">
            <a:extLst>
              <a:ext uri="{FF2B5EF4-FFF2-40B4-BE49-F238E27FC236}">
                <a16:creationId xmlns:a16="http://schemas.microsoft.com/office/drawing/2014/main" id="{24AFA381-7B63-4C6C-8062-529F1825344B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208 h 208"/>
              <a:gd name="T2" fmla="*/ 268 w 268"/>
              <a:gd name="T3" fmla="*/ 107 h 208"/>
              <a:gd name="T4" fmla="*/ 0 w 268"/>
              <a:gd name="T5" fmla="*/ 0 h 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0</xdr:col>
      <xdr:colOff>38100</xdr:colOff>
      <xdr:row>13</xdr:row>
      <xdr:rowOff>104775</xdr:rowOff>
    </xdr:from>
    <xdr:ext cx="844265" cy="336434"/>
    <xdr:sp macro="" textlink="">
      <xdr:nvSpPr>
        <xdr:cNvPr id="78" name="Text Box 77">
          <a:extLst>
            <a:ext uri="{FF2B5EF4-FFF2-40B4-BE49-F238E27FC236}">
              <a16:creationId xmlns:a16="http://schemas.microsoft.com/office/drawing/2014/main" id="{99D0CD4C-C74D-4C50-9608-4B60D4654B49}"/>
            </a:ext>
          </a:extLst>
        </xdr:cNvPr>
        <xdr:cNvSpPr txBox="1">
          <a:spLocks noChangeArrowheads="1"/>
        </xdr:cNvSpPr>
      </xdr:nvSpPr>
      <xdr:spPr bwMode="auto">
        <a:xfrm>
          <a:off x="38100" y="4381500"/>
          <a:ext cx="844265" cy="3364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</a:t>
          </a:r>
        </a:p>
      </xdr:txBody>
    </xdr:sp>
    <xdr:clientData/>
  </xdr:oneCellAnchor>
  <xdr:oneCellAnchor>
    <xdr:from>
      <xdr:col>5</xdr:col>
      <xdr:colOff>66675</xdr:colOff>
      <xdr:row>17</xdr:row>
      <xdr:rowOff>152400</xdr:rowOff>
    </xdr:from>
    <xdr:ext cx="361244" cy="150041"/>
    <xdr:sp macro="" textlink="">
      <xdr:nvSpPr>
        <xdr:cNvPr id="79" name="Text Box 78">
          <a:extLst>
            <a:ext uri="{FF2B5EF4-FFF2-40B4-BE49-F238E27FC236}">
              <a16:creationId xmlns:a16="http://schemas.microsoft.com/office/drawing/2014/main" id="{397ABC32-26C1-458C-B179-943503AAA1D2}"/>
            </a:ext>
          </a:extLst>
        </xdr:cNvPr>
        <xdr:cNvSpPr txBox="1">
          <a:spLocks noChangeArrowheads="1"/>
        </xdr:cNvSpPr>
      </xdr:nvSpPr>
      <xdr:spPr bwMode="auto">
        <a:xfrm>
          <a:off x="1695450" y="534352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4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.8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14</xdr:col>
      <xdr:colOff>142875</xdr:colOff>
      <xdr:row>17</xdr:row>
      <xdr:rowOff>1228725</xdr:rowOff>
    </xdr:from>
    <xdr:ext cx="361244" cy="150041"/>
    <xdr:sp macro="" textlink="">
      <xdr:nvSpPr>
        <xdr:cNvPr id="80" name="Text Box 79">
          <a:extLst>
            <a:ext uri="{FF2B5EF4-FFF2-40B4-BE49-F238E27FC236}">
              <a16:creationId xmlns:a16="http://schemas.microsoft.com/office/drawing/2014/main" id="{291CDA64-7787-46FC-B18F-2B743B8B036A}"/>
            </a:ext>
          </a:extLst>
        </xdr:cNvPr>
        <xdr:cNvSpPr txBox="1">
          <a:spLocks noChangeArrowheads="1"/>
        </xdr:cNvSpPr>
      </xdr:nvSpPr>
      <xdr:spPr bwMode="auto">
        <a:xfrm>
          <a:off x="4600575" y="64198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16.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4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twoCellAnchor>
    <xdr:from>
      <xdr:col>12</xdr:col>
      <xdr:colOff>123825</xdr:colOff>
      <xdr:row>17</xdr:row>
      <xdr:rowOff>266700</xdr:rowOff>
    </xdr:from>
    <xdr:to>
      <xdr:col>13</xdr:col>
      <xdr:colOff>114300</xdr:colOff>
      <xdr:row>17</xdr:row>
      <xdr:rowOff>1276350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35423B49-156D-4595-A075-B1C3454848F5}"/>
            </a:ext>
          </a:extLst>
        </xdr:cNvPr>
        <xdr:cNvGrpSpPr>
          <a:grpSpLocks/>
        </xdr:cNvGrpSpPr>
      </xdr:nvGrpSpPr>
      <xdr:grpSpPr bwMode="auto">
        <a:xfrm>
          <a:off x="3955806" y="5439508"/>
          <a:ext cx="305532" cy="1009650"/>
          <a:chOff x="369" y="565"/>
          <a:chExt cx="32" cy="106"/>
        </a:xfrm>
      </xdr:grpSpPr>
      <xdr:sp macro="" textlink="">
        <xdr:nvSpPr>
          <xdr:cNvPr id="83" name="Line 82">
            <a:extLst>
              <a:ext uri="{FF2B5EF4-FFF2-40B4-BE49-F238E27FC236}">
                <a16:creationId xmlns:a16="http://schemas.microsoft.com/office/drawing/2014/main" id="{F664ECF8-F017-4588-8CBA-2824093E9CBF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33" y="619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Freeform 83">
            <a:extLst>
              <a:ext uri="{FF2B5EF4-FFF2-40B4-BE49-F238E27FC236}">
                <a16:creationId xmlns:a16="http://schemas.microsoft.com/office/drawing/2014/main" id="{9382D38B-CAC5-4797-9D79-D1E765CA9BE7}"/>
              </a:ext>
            </a:extLst>
          </xdr:cNvPr>
          <xdr:cNvSpPr>
            <a:spLocks/>
          </xdr:cNvSpPr>
        </xdr:nvSpPr>
        <xdr:spPr bwMode="auto">
          <a:xfrm rot="-5400000">
            <a:off x="381" y="566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5" name="Freeform 84">
            <a:extLst>
              <a:ext uri="{FF2B5EF4-FFF2-40B4-BE49-F238E27FC236}">
                <a16:creationId xmlns:a16="http://schemas.microsoft.com/office/drawing/2014/main" id="{4C3C75DD-A797-4F68-9A24-E36E05D11F51}"/>
              </a:ext>
            </a:extLst>
          </xdr:cNvPr>
          <xdr:cNvSpPr>
            <a:spLocks/>
          </xdr:cNvSpPr>
        </xdr:nvSpPr>
        <xdr:spPr bwMode="auto">
          <a:xfrm rot="-5400000">
            <a:off x="377" y="639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6" name="Line 85">
            <a:extLst>
              <a:ext uri="{FF2B5EF4-FFF2-40B4-BE49-F238E27FC236}">
                <a16:creationId xmlns:a16="http://schemas.microsoft.com/office/drawing/2014/main" id="{8DDAEC3D-3F01-4EAB-B681-31620F0BDDDA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73" y="63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Freeform 86">
            <a:extLst>
              <a:ext uri="{FF2B5EF4-FFF2-40B4-BE49-F238E27FC236}">
                <a16:creationId xmlns:a16="http://schemas.microsoft.com/office/drawing/2014/main" id="{DDDC83D8-A1F0-445D-9AB1-86088436D0D9}"/>
              </a:ext>
            </a:extLst>
          </xdr:cNvPr>
          <xdr:cNvSpPr>
            <a:spLocks/>
          </xdr:cNvSpPr>
        </xdr:nvSpPr>
        <xdr:spPr bwMode="auto">
          <a:xfrm rot="-5400000">
            <a:off x="369" y="635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8" name="Freeform 87">
            <a:extLst>
              <a:ext uri="{FF2B5EF4-FFF2-40B4-BE49-F238E27FC236}">
                <a16:creationId xmlns:a16="http://schemas.microsoft.com/office/drawing/2014/main" id="{FA001A14-8DC4-426E-A429-24D11AFC2A8C}"/>
              </a:ext>
            </a:extLst>
          </xdr:cNvPr>
          <xdr:cNvSpPr>
            <a:spLocks/>
          </xdr:cNvSpPr>
        </xdr:nvSpPr>
        <xdr:spPr bwMode="auto">
          <a:xfrm rot="-5400000">
            <a:off x="385" y="628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9" name="Line 88">
            <a:extLst>
              <a:ext uri="{FF2B5EF4-FFF2-40B4-BE49-F238E27FC236}">
                <a16:creationId xmlns:a16="http://schemas.microsoft.com/office/drawing/2014/main" id="{0D0965B5-3EAB-4EF5-A2C9-FA94E50C9E67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96" y="62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Freeform 89">
            <a:extLst>
              <a:ext uri="{FF2B5EF4-FFF2-40B4-BE49-F238E27FC236}">
                <a16:creationId xmlns:a16="http://schemas.microsoft.com/office/drawing/2014/main" id="{55000339-9017-4E2B-AC1A-F44392D0E66E}"/>
              </a:ext>
            </a:extLst>
          </xdr:cNvPr>
          <xdr:cNvSpPr>
            <a:spLocks/>
          </xdr:cNvSpPr>
        </xdr:nvSpPr>
        <xdr:spPr bwMode="auto">
          <a:xfrm rot="-5400000">
            <a:off x="394" y="624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285750</xdr:colOff>
      <xdr:row>17</xdr:row>
      <xdr:rowOff>381000</xdr:rowOff>
    </xdr:from>
    <xdr:to>
      <xdr:col>15</xdr:col>
      <xdr:colOff>28575</xdr:colOff>
      <xdr:row>17</xdr:row>
      <xdr:rowOff>1143000</xdr:rowOff>
    </xdr:to>
    <xdr:grpSp>
      <xdr:nvGrpSpPr>
        <xdr:cNvPr id="91" name="Group 90">
          <a:extLst>
            <a:ext uri="{FF2B5EF4-FFF2-40B4-BE49-F238E27FC236}">
              <a16:creationId xmlns:a16="http://schemas.microsoft.com/office/drawing/2014/main" id="{ED6A855D-B0F8-40EE-9BF1-02AE81E66545}"/>
            </a:ext>
          </a:extLst>
        </xdr:cNvPr>
        <xdr:cNvGrpSpPr>
          <a:grpSpLocks/>
        </xdr:cNvGrpSpPr>
      </xdr:nvGrpSpPr>
      <xdr:grpSpPr bwMode="auto">
        <a:xfrm>
          <a:off x="4747846" y="5553808"/>
          <a:ext cx="57883" cy="762000"/>
          <a:chOff x="221" y="577"/>
          <a:chExt cx="6" cy="80"/>
        </a:xfrm>
      </xdr:grpSpPr>
      <xdr:sp macro="" textlink="">
        <xdr:nvSpPr>
          <xdr:cNvPr id="92" name="Line 91">
            <a:extLst>
              <a:ext uri="{FF2B5EF4-FFF2-40B4-BE49-F238E27FC236}">
                <a16:creationId xmlns:a16="http://schemas.microsoft.com/office/drawing/2014/main" id="{D814FB60-12DA-4683-8B81-1A288CAEC098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90" y="617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Freeform 92">
            <a:extLst>
              <a:ext uri="{FF2B5EF4-FFF2-40B4-BE49-F238E27FC236}">
                <a16:creationId xmlns:a16="http://schemas.microsoft.com/office/drawing/2014/main" id="{FC82F07D-7CC0-4CAA-91BA-2DE43D0AD864}"/>
              </a:ext>
            </a:extLst>
          </xdr:cNvPr>
          <xdr:cNvSpPr>
            <a:spLocks/>
          </xdr:cNvSpPr>
        </xdr:nvSpPr>
        <xdr:spPr bwMode="auto">
          <a:xfrm rot="5400000">
            <a:off x="220" y="651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4" name="Freeform 93">
            <a:extLst>
              <a:ext uri="{FF2B5EF4-FFF2-40B4-BE49-F238E27FC236}">
                <a16:creationId xmlns:a16="http://schemas.microsoft.com/office/drawing/2014/main" id="{FBBB08CE-6504-49D8-85FC-DECF873E0C90}"/>
              </a:ext>
            </a:extLst>
          </xdr:cNvPr>
          <xdr:cNvSpPr>
            <a:spLocks/>
          </xdr:cNvSpPr>
        </xdr:nvSpPr>
        <xdr:spPr bwMode="auto">
          <a:xfrm rot="-5400000">
            <a:off x="220" y="578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13</xdr:col>
      <xdr:colOff>200025</xdr:colOff>
      <xdr:row>17</xdr:row>
      <xdr:rowOff>276225</xdr:rowOff>
    </xdr:from>
    <xdr:to>
      <xdr:col>14</xdr:col>
      <xdr:colOff>190500</xdr:colOff>
      <xdr:row>17</xdr:row>
      <xdr:rowOff>1276350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B60CE1FC-70FD-46E6-ABBB-622089DE5109}"/>
            </a:ext>
          </a:extLst>
        </xdr:cNvPr>
        <xdr:cNvGrpSpPr>
          <a:grpSpLocks/>
        </xdr:cNvGrpSpPr>
      </xdr:nvGrpSpPr>
      <xdr:grpSpPr bwMode="auto">
        <a:xfrm>
          <a:off x="4347063" y="5449033"/>
          <a:ext cx="305533" cy="1000125"/>
          <a:chOff x="410" y="566"/>
          <a:chExt cx="32" cy="105"/>
        </a:xfrm>
      </xdr:grpSpPr>
      <xdr:sp macro="" textlink="">
        <xdr:nvSpPr>
          <xdr:cNvPr id="96" name="Line 95">
            <a:extLst>
              <a:ext uri="{FF2B5EF4-FFF2-40B4-BE49-F238E27FC236}">
                <a16:creationId xmlns:a16="http://schemas.microsoft.com/office/drawing/2014/main" id="{D6C136A7-41E2-4971-9D7F-F8879414721C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374" y="618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Freeform 96">
            <a:extLst>
              <a:ext uri="{FF2B5EF4-FFF2-40B4-BE49-F238E27FC236}">
                <a16:creationId xmlns:a16="http://schemas.microsoft.com/office/drawing/2014/main" id="{1B60A4F4-2BF9-4AC3-9751-1E83BE75FA5F}"/>
              </a:ext>
            </a:extLst>
          </xdr:cNvPr>
          <xdr:cNvSpPr>
            <a:spLocks/>
          </xdr:cNvSpPr>
        </xdr:nvSpPr>
        <xdr:spPr bwMode="auto">
          <a:xfrm rot="5400000">
            <a:off x="422" y="665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8" name="Freeform 97">
            <a:extLst>
              <a:ext uri="{FF2B5EF4-FFF2-40B4-BE49-F238E27FC236}">
                <a16:creationId xmlns:a16="http://schemas.microsoft.com/office/drawing/2014/main" id="{8BC21300-EBA9-4CE7-8C0F-77B27A7D1217}"/>
              </a:ext>
            </a:extLst>
          </xdr:cNvPr>
          <xdr:cNvSpPr>
            <a:spLocks/>
          </xdr:cNvSpPr>
        </xdr:nvSpPr>
        <xdr:spPr bwMode="auto">
          <a:xfrm rot="5400000">
            <a:off x="426" y="590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9" name="Line 98">
            <a:extLst>
              <a:ext uri="{FF2B5EF4-FFF2-40B4-BE49-F238E27FC236}">
                <a16:creationId xmlns:a16="http://schemas.microsoft.com/office/drawing/2014/main" id="{41CBCB22-EDA5-41E7-829D-6F563DB2B0A6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8" y="59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" name="Freeform 99">
            <a:extLst>
              <a:ext uri="{FF2B5EF4-FFF2-40B4-BE49-F238E27FC236}">
                <a16:creationId xmlns:a16="http://schemas.microsoft.com/office/drawing/2014/main" id="{E97900D3-31F6-4F79-A826-CE97581E592C}"/>
              </a:ext>
            </a:extLst>
          </xdr:cNvPr>
          <xdr:cNvSpPr>
            <a:spLocks/>
          </xdr:cNvSpPr>
        </xdr:nvSpPr>
        <xdr:spPr bwMode="auto">
          <a:xfrm rot="5400000">
            <a:off x="435" y="593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1" name="Freeform 100">
            <a:extLst>
              <a:ext uri="{FF2B5EF4-FFF2-40B4-BE49-F238E27FC236}">
                <a16:creationId xmlns:a16="http://schemas.microsoft.com/office/drawing/2014/main" id="{B827F6AE-B6D5-4658-8F1F-9B3A043A366D}"/>
              </a:ext>
            </a:extLst>
          </xdr:cNvPr>
          <xdr:cNvSpPr>
            <a:spLocks/>
          </xdr:cNvSpPr>
        </xdr:nvSpPr>
        <xdr:spPr bwMode="auto">
          <a:xfrm rot="5400000">
            <a:off x="419" y="601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2" name="Line 101">
            <a:extLst>
              <a:ext uri="{FF2B5EF4-FFF2-40B4-BE49-F238E27FC236}">
                <a16:creationId xmlns:a16="http://schemas.microsoft.com/office/drawing/2014/main" id="{A7FE8C9D-09DE-42E1-98C7-4BC0D56CFCFD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16" y="60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Freeform 102">
            <a:extLst>
              <a:ext uri="{FF2B5EF4-FFF2-40B4-BE49-F238E27FC236}">
                <a16:creationId xmlns:a16="http://schemas.microsoft.com/office/drawing/2014/main" id="{5FC62DC2-3192-4D36-96C3-F6BC7A06BDBA}"/>
              </a:ext>
            </a:extLst>
          </xdr:cNvPr>
          <xdr:cNvSpPr>
            <a:spLocks/>
          </xdr:cNvSpPr>
        </xdr:nvSpPr>
        <xdr:spPr bwMode="auto">
          <a:xfrm rot="5400000">
            <a:off x="410" y="605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285750</xdr:colOff>
      <xdr:row>17</xdr:row>
      <xdr:rowOff>381000</xdr:rowOff>
    </xdr:from>
    <xdr:to>
      <xdr:col>12</xdr:col>
      <xdr:colOff>28575</xdr:colOff>
      <xdr:row>17</xdr:row>
      <xdr:rowOff>1133475</xdr:rowOff>
    </xdr:to>
    <xdr:grpSp>
      <xdr:nvGrpSpPr>
        <xdr:cNvPr id="104" name="Group 103">
          <a:extLst>
            <a:ext uri="{FF2B5EF4-FFF2-40B4-BE49-F238E27FC236}">
              <a16:creationId xmlns:a16="http://schemas.microsoft.com/office/drawing/2014/main" id="{E0C73E4E-5FE9-4A0B-9679-E687C00A83AE}"/>
            </a:ext>
          </a:extLst>
        </xdr:cNvPr>
        <xdr:cNvGrpSpPr>
          <a:grpSpLocks/>
        </xdr:cNvGrpSpPr>
      </xdr:nvGrpSpPr>
      <xdr:grpSpPr bwMode="auto">
        <a:xfrm>
          <a:off x="3802673" y="5553808"/>
          <a:ext cx="57883" cy="752475"/>
          <a:chOff x="122" y="577"/>
          <a:chExt cx="6" cy="79"/>
        </a:xfrm>
      </xdr:grpSpPr>
      <xdr:sp macro="" textlink="">
        <xdr:nvSpPr>
          <xdr:cNvPr id="105" name="Line 104">
            <a:extLst>
              <a:ext uri="{FF2B5EF4-FFF2-40B4-BE49-F238E27FC236}">
                <a16:creationId xmlns:a16="http://schemas.microsoft.com/office/drawing/2014/main" id="{E8543FDD-1639-4EFE-BD28-4B82852E16EA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91" y="617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Freeform 105">
            <a:extLst>
              <a:ext uri="{FF2B5EF4-FFF2-40B4-BE49-F238E27FC236}">
                <a16:creationId xmlns:a16="http://schemas.microsoft.com/office/drawing/2014/main" id="{E60B5099-2CDD-4E04-A4ED-14BEA3E4FDD7}"/>
              </a:ext>
            </a:extLst>
          </xdr:cNvPr>
          <xdr:cNvSpPr>
            <a:spLocks/>
          </xdr:cNvSpPr>
        </xdr:nvSpPr>
        <xdr:spPr bwMode="auto">
          <a:xfrm rot="5400000">
            <a:off x="121" y="65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" name="Freeform 106">
            <a:extLst>
              <a:ext uri="{FF2B5EF4-FFF2-40B4-BE49-F238E27FC236}">
                <a16:creationId xmlns:a16="http://schemas.microsoft.com/office/drawing/2014/main" id="{99C6D6E1-FC22-44FA-BFB8-CBA60CE69FF6}"/>
              </a:ext>
            </a:extLst>
          </xdr:cNvPr>
          <xdr:cNvSpPr>
            <a:spLocks/>
          </xdr:cNvSpPr>
        </xdr:nvSpPr>
        <xdr:spPr bwMode="auto">
          <a:xfrm rot="-5400000">
            <a:off x="121" y="578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8</xdr:col>
      <xdr:colOff>180975</xdr:colOff>
      <xdr:row>17</xdr:row>
      <xdr:rowOff>638175</xdr:rowOff>
    </xdr:from>
    <xdr:to>
      <xdr:col>9</xdr:col>
      <xdr:colOff>133350</xdr:colOff>
      <xdr:row>17</xdr:row>
      <xdr:rowOff>790575</xdr:rowOff>
    </xdr:to>
    <xdr:grpSp>
      <xdr:nvGrpSpPr>
        <xdr:cNvPr id="108" name="Group 107">
          <a:extLst>
            <a:ext uri="{FF2B5EF4-FFF2-40B4-BE49-F238E27FC236}">
              <a16:creationId xmlns:a16="http://schemas.microsoft.com/office/drawing/2014/main" id="{0417CFE1-513F-49C9-818B-4C57A4C51626}"/>
            </a:ext>
          </a:extLst>
        </xdr:cNvPr>
        <xdr:cNvGrpSpPr>
          <a:grpSpLocks/>
        </xdr:cNvGrpSpPr>
      </xdr:nvGrpSpPr>
      <xdr:grpSpPr bwMode="auto">
        <a:xfrm>
          <a:off x="2752725" y="5810983"/>
          <a:ext cx="267433" cy="152400"/>
          <a:chOff x="248" y="601"/>
          <a:chExt cx="28" cy="16"/>
        </a:xfrm>
      </xdr:grpSpPr>
      <xdr:sp macro="" textlink="">
        <xdr:nvSpPr>
          <xdr:cNvPr id="109" name="Line 108">
            <a:extLst>
              <a:ext uri="{FF2B5EF4-FFF2-40B4-BE49-F238E27FC236}">
                <a16:creationId xmlns:a16="http://schemas.microsoft.com/office/drawing/2014/main" id="{DF7AD35F-11EA-4F51-8954-D697D60521A6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Freeform 109">
            <a:extLst>
              <a:ext uri="{FF2B5EF4-FFF2-40B4-BE49-F238E27FC236}">
                <a16:creationId xmlns:a16="http://schemas.microsoft.com/office/drawing/2014/main" id="{67A3D658-494C-4053-9F59-9E9EE0022955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2 w 193"/>
              <a:gd name="T1" fmla="*/ 0 h 199"/>
              <a:gd name="T2" fmla="*/ 7 w 193"/>
              <a:gd name="T3" fmla="*/ 1 h 199"/>
              <a:gd name="T4" fmla="*/ 12 w 193"/>
              <a:gd name="T5" fmla="*/ 1 h 199"/>
              <a:gd name="T6" fmla="*/ 17 w 193"/>
              <a:gd name="T7" fmla="*/ 2 h 199"/>
              <a:gd name="T8" fmla="*/ 22 w 193"/>
              <a:gd name="T9" fmla="*/ 2 h 199"/>
              <a:gd name="T10" fmla="*/ 27 w 193"/>
              <a:gd name="T11" fmla="*/ 3 h 199"/>
              <a:gd name="T12" fmla="*/ 32 w 193"/>
              <a:gd name="T13" fmla="*/ 4 h 199"/>
              <a:gd name="T14" fmla="*/ 36 w 193"/>
              <a:gd name="T15" fmla="*/ 5 h 199"/>
              <a:gd name="T16" fmla="*/ 41 w 193"/>
              <a:gd name="T17" fmla="*/ 6 h 199"/>
              <a:gd name="T18" fmla="*/ 46 w 193"/>
              <a:gd name="T19" fmla="*/ 7 h 199"/>
              <a:gd name="T20" fmla="*/ 51 w 193"/>
              <a:gd name="T21" fmla="*/ 9 h 199"/>
              <a:gd name="T22" fmla="*/ 55 w 193"/>
              <a:gd name="T23" fmla="*/ 10 h 199"/>
              <a:gd name="T24" fmla="*/ 60 w 193"/>
              <a:gd name="T25" fmla="*/ 12 h 199"/>
              <a:gd name="T26" fmla="*/ 65 w 193"/>
              <a:gd name="T27" fmla="*/ 14 h 199"/>
              <a:gd name="T28" fmla="*/ 69 w 193"/>
              <a:gd name="T29" fmla="*/ 15 h 199"/>
              <a:gd name="T30" fmla="*/ 74 w 193"/>
              <a:gd name="T31" fmla="*/ 17 h 199"/>
              <a:gd name="T32" fmla="*/ 78 w 193"/>
              <a:gd name="T33" fmla="*/ 19 h 199"/>
              <a:gd name="T34" fmla="*/ 83 w 193"/>
              <a:gd name="T35" fmla="*/ 22 h 199"/>
              <a:gd name="T36" fmla="*/ 87 w 193"/>
              <a:gd name="T37" fmla="*/ 24 h 199"/>
              <a:gd name="T38" fmla="*/ 91 w 193"/>
              <a:gd name="T39" fmla="*/ 26 h 199"/>
              <a:gd name="T40" fmla="*/ 95 w 193"/>
              <a:gd name="T41" fmla="*/ 29 h 199"/>
              <a:gd name="T42" fmla="*/ 100 w 193"/>
              <a:gd name="T43" fmla="*/ 31 h 199"/>
              <a:gd name="T44" fmla="*/ 104 w 193"/>
              <a:gd name="T45" fmla="*/ 35 h 199"/>
              <a:gd name="T46" fmla="*/ 108 w 193"/>
              <a:gd name="T47" fmla="*/ 38 h 199"/>
              <a:gd name="T48" fmla="*/ 112 w 193"/>
              <a:gd name="T49" fmla="*/ 41 h 199"/>
              <a:gd name="T50" fmla="*/ 116 w 193"/>
              <a:gd name="T51" fmla="*/ 44 h 199"/>
              <a:gd name="T52" fmla="*/ 119 w 193"/>
              <a:gd name="T53" fmla="*/ 47 h 199"/>
              <a:gd name="T54" fmla="*/ 123 w 193"/>
              <a:gd name="T55" fmla="*/ 50 h 199"/>
              <a:gd name="T56" fmla="*/ 127 w 193"/>
              <a:gd name="T57" fmla="*/ 53 h 199"/>
              <a:gd name="T58" fmla="*/ 130 w 193"/>
              <a:gd name="T59" fmla="*/ 56 h 199"/>
              <a:gd name="T60" fmla="*/ 134 w 193"/>
              <a:gd name="T61" fmla="*/ 60 h 199"/>
              <a:gd name="T62" fmla="*/ 137 w 193"/>
              <a:gd name="T63" fmla="*/ 63 h 199"/>
              <a:gd name="T64" fmla="*/ 141 w 193"/>
              <a:gd name="T65" fmla="*/ 67 h 199"/>
              <a:gd name="T66" fmla="*/ 144 w 193"/>
              <a:gd name="T67" fmla="*/ 71 h 199"/>
              <a:gd name="T68" fmla="*/ 147 w 193"/>
              <a:gd name="T69" fmla="*/ 74 h 199"/>
              <a:gd name="T70" fmla="*/ 150 w 193"/>
              <a:gd name="T71" fmla="*/ 78 h 199"/>
              <a:gd name="T72" fmla="*/ 153 w 193"/>
              <a:gd name="T73" fmla="*/ 82 h 199"/>
              <a:gd name="T74" fmla="*/ 156 w 193"/>
              <a:gd name="T75" fmla="*/ 86 h 199"/>
              <a:gd name="T76" fmla="*/ 159 w 193"/>
              <a:gd name="T77" fmla="*/ 90 h 199"/>
              <a:gd name="T78" fmla="*/ 161 w 193"/>
              <a:gd name="T79" fmla="*/ 94 h 199"/>
              <a:gd name="T80" fmla="*/ 165 w 193"/>
              <a:gd name="T81" fmla="*/ 98 h 199"/>
              <a:gd name="T82" fmla="*/ 167 w 193"/>
              <a:gd name="T83" fmla="*/ 103 h 199"/>
              <a:gd name="T84" fmla="*/ 170 w 193"/>
              <a:gd name="T85" fmla="*/ 107 h 199"/>
              <a:gd name="T86" fmla="*/ 172 w 193"/>
              <a:gd name="T87" fmla="*/ 111 h 199"/>
              <a:gd name="T88" fmla="*/ 174 w 193"/>
              <a:gd name="T89" fmla="*/ 116 h 199"/>
              <a:gd name="T90" fmla="*/ 176 w 193"/>
              <a:gd name="T91" fmla="*/ 121 h 199"/>
              <a:gd name="T92" fmla="*/ 178 w 193"/>
              <a:gd name="T93" fmla="*/ 126 h 199"/>
              <a:gd name="T94" fmla="*/ 180 w 193"/>
              <a:gd name="T95" fmla="*/ 130 h 199"/>
              <a:gd name="T96" fmla="*/ 182 w 193"/>
              <a:gd name="T97" fmla="*/ 135 h 199"/>
              <a:gd name="T98" fmla="*/ 183 w 193"/>
              <a:gd name="T99" fmla="*/ 140 h 199"/>
              <a:gd name="T100" fmla="*/ 185 w 193"/>
              <a:gd name="T101" fmla="*/ 144 h 199"/>
              <a:gd name="T102" fmla="*/ 186 w 193"/>
              <a:gd name="T103" fmla="*/ 149 h 199"/>
              <a:gd name="T104" fmla="*/ 187 w 193"/>
              <a:gd name="T105" fmla="*/ 154 h 199"/>
              <a:gd name="T106" fmla="*/ 188 w 193"/>
              <a:gd name="T107" fmla="*/ 158 h 199"/>
              <a:gd name="T108" fmla="*/ 189 w 193"/>
              <a:gd name="T109" fmla="*/ 163 h 199"/>
              <a:gd name="T110" fmla="*/ 190 w 193"/>
              <a:gd name="T111" fmla="*/ 168 h 199"/>
              <a:gd name="T112" fmla="*/ 191 w 193"/>
              <a:gd name="T113" fmla="*/ 173 h 199"/>
              <a:gd name="T114" fmla="*/ 192 w 193"/>
              <a:gd name="T115" fmla="*/ 178 h 199"/>
              <a:gd name="T116" fmla="*/ 192 w 193"/>
              <a:gd name="T117" fmla="*/ 183 h 199"/>
              <a:gd name="T118" fmla="*/ 193 w 193"/>
              <a:gd name="T119" fmla="*/ 187 h 199"/>
              <a:gd name="T120" fmla="*/ 193 w 193"/>
              <a:gd name="T121" fmla="*/ 192 h 199"/>
              <a:gd name="T122" fmla="*/ 193 w 193"/>
              <a:gd name="T123" fmla="*/ 197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" name="Line 110">
            <a:extLst>
              <a:ext uri="{FF2B5EF4-FFF2-40B4-BE49-F238E27FC236}">
                <a16:creationId xmlns:a16="http://schemas.microsoft.com/office/drawing/2014/main" id="{64CF5D0F-F8DD-4C52-B99C-91ECCE3BA1DF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Freeform 111">
            <a:extLst>
              <a:ext uri="{FF2B5EF4-FFF2-40B4-BE49-F238E27FC236}">
                <a16:creationId xmlns:a16="http://schemas.microsoft.com/office/drawing/2014/main" id="{E4783D40-CE6B-467B-8BB9-AC9B62A999F3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201 w 201"/>
              <a:gd name="T1" fmla="*/ 0 h 174"/>
              <a:gd name="T2" fmla="*/ 101 w 201"/>
              <a:gd name="T3" fmla="*/ 174 h 174"/>
              <a:gd name="T4" fmla="*/ 0 w 201"/>
              <a:gd name="T5" fmla="*/ 0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200025</xdr:colOff>
      <xdr:row>17</xdr:row>
      <xdr:rowOff>847725</xdr:rowOff>
    </xdr:from>
    <xdr:to>
      <xdr:col>10</xdr:col>
      <xdr:colOff>142875</xdr:colOff>
      <xdr:row>17</xdr:row>
      <xdr:rowOff>1000125</xdr:rowOff>
    </xdr:to>
    <xdr:grpSp>
      <xdr:nvGrpSpPr>
        <xdr:cNvPr id="113" name="Group 112">
          <a:extLst>
            <a:ext uri="{FF2B5EF4-FFF2-40B4-BE49-F238E27FC236}">
              <a16:creationId xmlns:a16="http://schemas.microsoft.com/office/drawing/2014/main" id="{D00C0D0F-DC08-4E98-8952-1BB4DCD4324C}"/>
            </a:ext>
          </a:extLst>
        </xdr:cNvPr>
        <xdr:cNvGrpSpPr>
          <a:grpSpLocks/>
        </xdr:cNvGrpSpPr>
      </xdr:nvGrpSpPr>
      <xdr:grpSpPr bwMode="auto">
        <a:xfrm>
          <a:off x="3086833" y="6020533"/>
          <a:ext cx="257907" cy="152400"/>
          <a:chOff x="311" y="619"/>
          <a:chExt cx="27" cy="16"/>
        </a:xfrm>
      </xdr:grpSpPr>
      <xdr:sp macro="" textlink="">
        <xdr:nvSpPr>
          <xdr:cNvPr id="114" name="Line 113">
            <a:extLst>
              <a:ext uri="{FF2B5EF4-FFF2-40B4-BE49-F238E27FC236}">
                <a16:creationId xmlns:a16="http://schemas.microsoft.com/office/drawing/2014/main" id="{5EE15B34-DC6F-4C8A-9909-DBBAC3F493DA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321" y="635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" name="Freeform 114">
            <a:extLst>
              <a:ext uri="{FF2B5EF4-FFF2-40B4-BE49-F238E27FC236}">
                <a16:creationId xmlns:a16="http://schemas.microsoft.com/office/drawing/2014/main" id="{4B83947E-8D00-4BB4-9E44-5BC8AFB8F4F9}"/>
              </a:ext>
            </a:extLst>
          </xdr:cNvPr>
          <xdr:cNvSpPr>
            <a:spLocks/>
          </xdr:cNvSpPr>
        </xdr:nvSpPr>
        <xdr:spPr bwMode="auto">
          <a:xfrm rot="-10800000">
            <a:off x="315" y="627"/>
            <a:ext cx="8" cy="8"/>
          </a:xfrm>
          <a:custGeom>
            <a:avLst/>
            <a:gdLst>
              <a:gd name="T0" fmla="*/ 2 w 193"/>
              <a:gd name="T1" fmla="*/ 0 h 199"/>
              <a:gd name="T2" fmla="*/ 7 w 193"/>
              <a:gd name="T3" fmla="*/ 1 h 199"/>
              <a:gd name="T4" fmla="*/ 12 w 193"/>
              <a:gd name="T5" fmla="*/ 1 h 199"/>
              <a:gd name="T6" fmla="*/ 17 w 193"/>
              <a:gd name="T7" fmla="*/ 2 h 199"/>
              <a:gd name="T8" fmla="*/ 22 w 193"/>
              <a:gd name="T9" fmla="*/ 2 h 199"/>
              <a:gd name="T10" fmla="*/ 27 w 193"/>
              <a:gd name="T11" fmla="*/ 3 h 199"/>
              <a:gd name="T12" fmla="*/ 32 w 193"/>
              <a:gd name="T13" fmla="*/ 4 h 199"/>
              <a:gd name="T14" fmla="*/ 36 w 193"/>
              <a:gd name="T15" fmla="*/ 5 h 199"/>
              <a:gd name="T16" fmla="*/ 41 w 193"/>
              <a:gd name="T17" fmla="*/ 6 h 199"/>
              <a:gd name="T18" fmla="*/ 46 w 193"/>
              <a:gd name="T19" fmla="*/ 7 h 199"/>
              <a:gd name="T20" fmla="*/ 51 w 193"/>
              <a:gd name="T21" fmla="*/ 9 h 199"/>
              <a:gd name="T22" fmla="*/ 55 w 193"/>
              <a:gd name="T23" fmla="*/ 10 h 199"/>
              <a:gd name="T24" fmla="*/ 60 w 193"/>
              <a:gd name="T25" fmla="*/ 12 h 199"/>
              <a:gd name="T26" fmla="*/ 65 w 193"/>
              <a:gd name="T27" fmla="*/ 14 h 199"/>
              <a:gd name="T28" fmla="*/ 69 w 193"/>
              <a:gd name="T29" fmla="*/ 15 h 199"/>
              <a:gd name="T30" fmla="*/ 74 w 193"/>
              <a:gd name="T31" fmla="*/ 17 h 199"/>
              <a:gd name="T32" fmla="*/ 78 w 193"/>
              <a:gd name="T33" fmla="*/ 19 h 199"/>
              <a:gd name="T34" fmla="*/ 83 w 193"/>
              <a:gd name="T35" fmla="*/ 22 h 199"/>
              <a:gd name="T36" fmla="*/ 87 w 193"/>
              <a:gd name="T37" fmla="*/ 24 h 199"/>
              <a:gd name="T38" fmla="*/ 91 w 193"/>
              <a:gd name="T39" fmla="*/ 26 h 199"/>
              <a:gd name="T40" fmla="*/ 95 w 193"/>
              <a:gd name="T41" fmla="*/ 29 h 199"/>
              <a:gd name="T42" fmla="*/ 100 w 193"/>
              <a:gd name="T43" fmla="*/ 31 h 199"/>
              <a:gd name="T44" fmla="*/ 104 w 193"/>
              <a:gd name="T45" fmla="*/ 35 h 199"/>
              <a:gd name="T46" fmla="*/ 108 w 193"/>
              <a:gd name="T47" fmla="*/ 38 h 199"/>
              <a:gd name="T48" fmla="*/ 112 w 193"/>
              <a:gd name="T49" fmla="*/ 41 h 199"/>
              <a:gd name="T50" fmla="*/ 116 w 193"/>
              <a:gd name="T51" fmla="*/ 44 h 199"/>
              <a:gd name="T52" fmla="*/ 119 w 193"/>
              <a:gd name="T53" fmla="*/ 47 h 199"/>
              <a:gd name="T54" fmla="*/ 123 w 193"/>
              <a:gd name="T55" fmla="*/ 50 h 199"/>
              <a:gd name="T56" fmla="*/ 127 w 193"/>
              <a:gd name="T57" fmla="*/ 53 h 199"/>
              <a:gd name="T58" fmla="*/ 130 w 193"/>
              <a:gd name="T59" fmla="*/ 56 h 199"/>
              <a:gd name="T60" fmla="*/ 134 w 193"/>
              <a:gd name="T61" fmla="*/ 60 h 199"/>
              <a:gd name="T62" fmla="*/ 137 w 193"/>
              <a:gd name="T63" fmla="*/ 63 h 199"/>
              <a:gd name="T64" fmla="*/ 141 w 193"/>
              <a:gd name="T65" fmla="*/ 67 h 199"/>
              <a:gd name="T66" fmla="*/ 144 w 193"/>
              <a:gd name="T67" fmla="*/ 71 h 199"/>
              <a:gd name="T68" fmla="*/ 147 w 193"/>
              <a:gd name="T69" fmla="*/ 74 h 199"/>
              <a:gd name="T70" fmla="*/ 150 w 193"/>
              <a:gd name="T71" fmla="*/ 78 h 199"/>
              <a:gd name="T72" fmla="*/ 153 w 193"/>
              <a:gd name="T73" fmla="*/ 82 h 199"/>
              <a:gd name="T74" fmla="*/ 156 w 193"/>
              <a:gd name="T75" fmla="*/ 86 h 199"/>
              <a:gd name="T76" fmla="*/ 159 w 193"/>
              <a:gd name="T77" fmla="*/ 90 h 199"/>
              <a:gd name="T78" fmla="*/ 161 w 193"/>
              <a:gd name="T79" fmla="*/ 94 h 199"/>
              <a:gd name="T80" fmla="*/ 165 w 193"/>
              <a:gd name="T81" fmla="*/ 98 h 199"/>
              <a:gd name="T82" fmla="*/ 167 w 193"/>
              <a:gd name="T83" fmla="*/ 103 h 199"/>
              <a:gd name="T84" fmla="*/ 170 w 193"/>
              <a:gd name="T85" fmla="*/ 107 h 199"/>
              <a:gd name="T86" fmla="*/ 172 w 193"/>
              <a:gd name="T87" fmla="*/ 111 h 199"/>
              <a:gd name="T88" fmla="*/ 174 w 193"/>
              <a:gd name="T89" fmla="*/ 116 h 199"/>
              <a:gd name="T90" fmla="*/ 176 w 193"/>
              <a:gd name="T91" fmla="*/ 121 h 199"/>
              <a:gd name="T92" fmla="*/ 178 w 193"/>
              <a:gd name="T93" fmla="*/ 126 h 199"/>
              <a:gd name="T94" fmla="*/ 180 w 193"/>
              <a:gd name="T95" fmla="*/ 130 h 199"/>
              <a:gd name="T96" fmla="*/ 182 w 193"/>
              <a:gd name="T97" fmla="*/ 135 h 199"/>
              <a:gd name="T98" fmla="*/ 183 w 193"/>
              <a:gd name="T99" fmla="*/ 140 h 199"/>
              <a:gd name="T100" fmla="*/ 185 w 193"/>
              <a:gd name="T101" fmla="*/ 144 h 199"/>
              <a:gd name="T102" fmla="*/ 186 w 193"/>
              <a:gd name="T103" fmla="*/ 149 h 199"/>
              <a:gd name="T104" fmla="*/ 187 w 193"/>
              <a:gd name="T105" fmla="*/ 154 h 199"/>
              <a:gd name="T106" fmla="*/ 188 w 193"/>
              <a:gd name="T107" fmla="*/ 158 h 199"/>
              <a:gd name="T108" fmla="*/ 189 w 193"/>
              <a:gd name="T109" fmla="*/ 163 h 199"/>
              <a:gd name="T110" fmla="*/ 190 w 193"/>
              <a:gd name="T111" fmla="*/ 168 h 199"/>
              <a:gd name="T112" fmla="*/ 191 w 193"/>
              <a:gd name="T113" fmla="*/ 173 h 199"/>
              <a:gd name="T114" fmla="*/ 192 w 193"/>
              <a:gd name="T115" fmla="*/ 178 h 199"/>
              <a:gd name="T116" fmla="*/ 192 w 193"/>
              <a:gd name="T117" fmla="*/ 183 h 199"/>
              <a:gd name="T118" fmla="*/ 193 w 193"/>
              <a:gd name="T119" fmla="*/ 187 h 199"/>
              <a:gd name="T120" fmla="*/ 193 w 193"/>
              <a:gd name="T121" fmla="*/ 192 h 199"/>
              <a:gd name="T122" fmla="*/ 193 w 193"/>
              <a:gd name="T123" fmla="*/ 197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6" name="Line 115">
            <a:extLst>
              <a:ext uri="{FF2B5EF4-FFF2-40B4-BE49-F238E27FC236}">
                <a16:creationId xmlns:a16="http://schemas.microsoft.com/office/drawing/2014/main" id="{796DCCCA-6910-46A0-89E2-48716331F02B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315" y="620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" name="Freeform 116">
            <a:extLst>
              <a:ext uri="{FF2B5EF4-FFF2-40B4-BE49-F238E27FC236}">
                <a16:creationId xmlns:a16="http://schemas.microsoft.com/office/drawing/2014/main" id="{D156F238-70D5-45FF-AEA5-BF60A49EF7C1}"/>
              </a:ext>
            </a:extLst>
          </xdr:cNvPr>
          <xdr:cNvSpPr>
            <a:spLocks/>
          </xdr:cNvSpPr>
        </xdr:nvSpPr>
        <xdr:spPr bwMode="auto">
          <a:xfrm rot="-10800000">
            <a:off x="311" y="619"/>
            <a:ext cx="8" cy="6"/>
          </a:xfrm>
          <a:custGeom>
            <a:avLst/>
            <a:gdLst>
              <a:gd name="T0" fmla="*/ 201 w 201"/>
              <a:gd name="T1" fmla="*/ 0 h 174"/>
              <a:gd name="T2" fmla="*/ 101 w 201"/>
              <a:gd name="T3" fmla="*/ 174 h 174"/>
              <a:gd name="T4" fmla="*/ 0 w 201"/>
              <a:gd name="T5" fmla="*/ 0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6</xdr:col>
      <xdr:colOff>266700</xdr:colOff>
      <xdr:row>17</xdr:row>
      <xdr:rowOff>152400</xdr:rowOff>
    </xdr:from>
    <xdr:ext cx="361244" cy="150041"/>
    <xdr:sp macro="" textlink="">
      <xdr:nvSpPr>
        <xdr:cNvPr id="118" name="Text Box 118">
          <a:extLst>
            <a:ext uri="{FF2B5EF4-FFF2-40B4-BE49-F238E27FC236}">
              <a16:creationId xmlns:a16="http://schemas.microsoft.com/office/drawing/2014/main" id="{E6FB4531-F734-4391-9620-51790352D6DC}"/>
            </a:ext>
          </a:extLst>
        </xdr:cNvPr>
        <xdr:cNvSpPr txBox="1">
          <a:spLocks noChangeArrowheads="1"/>
        </xdr:cNvSpPr>
      </xdr:nvSpPr>
      <xdr:spPr bwMode="auto">
        <a:xfrm>
          <a:off x="2209800" y="534352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6</xdr:col>
      <xdr:colOff>266700</xdr:colOff>
      <xdr:row>17</xdr:row>
      <xdr:rowOff>1352550</xdr:rowOff>
    </xdr:from>
    <xdr:ext cx="361244" cy="150041"/>
    <xdr:sp macro="" textlink="">
      <xdr:nvSpPr>
        <xdr:cNvPr id="119" name="Text Box 119">
          <a:extLst>
            <a:ext uri="{FF2B5EF4-FFF2-40B4-BE49-F238E27FC236}">
              <a16:creationId xmlns:a16="http://schemas.microsoft.com/office/drawing/2014/main" id="{C15C4C14-BE1E-4098-A981-63EE53EE6B43}"/>
            </a:ext>
          </a:extLst>
        </xdr:cNvPr>
        <xdr:cNvSpPr txBox="1">
          <a:spLocks noChangeArrowheads="1"/>
        </xdr:cNvSpPr>
      </xdr:nvSpPr>
      <xdr:spPr bwMode="auto">
        <a:xfrm>
          <a:off x="2209800" y="654367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11</xdr:col>
      <xdr:colOff>142875</xdr:colOff>
      <xdr:row>17</xdr:row>
      <xdr:rowOff>180975</xdr:rowOff>
    </xdr:from>
    <xdr:ext cx="361244" cy="150041"/>
    <xdr:sp macro="" textlink="">
      <xdr:nvSpPr>
        <xdr:cNvPr id="120" name="Text Box 120">
          <a:extLst>
            <a:ext uri="{FF2B5EF4-FFF2-40B4-BE49-F238E27FC236}">
              <a16:creationId xmlns:a16="http://schemas.microsoft.com/office/drawing/2014/main" id="{A24AB7B1-34A9-4A2F-BA28-C4E1D7E6DBC9}"/>
            </a:ext>
          </a:extLst>
        </xdr:cNvPr>
        <xdr:cNvSpPr txBox="1">
          <a:spLocks noChangeArrowheads="1"/>
        </xdr:cNvSpPr>
      </xdr:nvSpPr>
      <xdr:spPr bwMode="auto">
        <a:xfrm>
          <a:off x="3657600" y="537210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14</xdr:col>
      <xdr:colOff>142875</xdr:colOff>
      <xdr:row>17</xdr:row>
      <xdr:rowOff>171450</xdr:rowOff>
    </xdr:from>
    <xdr:ext cx="361244" cy="150041"/>
    <xdr:sp macro="" textlink="">
      <xdr:nvSpPr>
        <xdr:cNvPr id="121" name="Text Box 121">
          <a:extLst>
            <a:ext uri="{FF2B5EF4-FFF2-40B4-BE49-F238E27FC236}">
              <a16:creationId xmlns:a16="http://schemas.microsoft.com/office/drawing/2014/main" id="{63B8367A-0716-4420-BB55-54C58A2450AF}"/>
            </a:ext>
          </a:extLst>
        </xdr:cNvPr>
        <xdr:cNvSpPr txBox="1">
          <a:spLocks noChangeArrowheads="1"/>
        </xdr:cNvSpPr>
      </xdr:nvSpPr>
      <xdr:spPr bwMode="auto">
        <a:xfrm>
          <a:off x="4600575" y="536257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twoCellAnchor editAs="oneCell">
    <xdr:from>
      <xdr:col>19</xdr:col>
      <xdr:colOff>200024</xdr:colOff>
      <xdr:row>9</xdr:row>
      <xdr:rowOff>1000124</xdr:rowOff>
    </xdr:from>
    <xdr:to>
      <xdr:col>20</xdr:col>
      <xdr:colOff>172951</xdr:colOff>
      <xdr:row>9</xdr:row>
      <xdr:rowOff>1288124</xdr:rowOff>
    </xdr:to>
    <xdr:pic>
      <xdr:nvPicPr>
        <xdr:cNvPr id="123" name="図 122">
          <a:extLst>
            <a:ext uri="{FF2B5EF4-FFF2-40B4-BE49-F238E27FC236}">
              <a16:creationId xmlns:a16="http://schemas.microsoft.com/office/drawing/2014/main" id="{0596DF62-05AD-4FE9-9731-A5CE8E3B7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29349" y="2714624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3</xdr:col>
      <xdr:colOff>171449</xdr:colOff>
      <xdr:row>9</xdr:row>
      <xdr:rowOff>571499</xdr:rowOff>
    </xdr:from>
    <xdr:to>
      <xdr:col>4</xdr:col>
      <xdr:colOff>287251</xdr:colOff>
      <xdr:row>9</xdr:row>
      <xdr:rowOff>859499</xdr:rowOff>
    </xdr:to>
    <xdr:pic>
      <xdr:nvPicPr>
        <xdr:cNvPr id="124" name="図 123">
          <a:extLst>
            <a:ext uri="{FF2B5EF4-FFF2-40B4-BE49-F238E27FC236}">
              <a16:creationId xmlns:a16="http://schemas.microsoft.com/office/drawing/2014/main" id="{797470CC-65BE-4E9A-B969-F7F034378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49" y="2285999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47624</xdr:colOff>
      <xdr:row>12</xdr:row>
      <xdr:rowOff>95249</xdr:rowOff>
    </xdr:from>
    <xdr:to>
      <xdr:col>11</xdr:col>
      <xdr:colOff>20551</xdr:colOff>
      <xdr:row>13</xdr:row>
      <xdr:rowOff>154649</xdr:rowOff>
    </xdr:to>
    <xdr:pic>
      <xdr:nvPicPr>
        <xdr:cNvPr id="125" name="図 124">
          <a:extLst>
            <a:ext uri="{FF2B5EF4-FFF2-40B4-BE49-F238E27FC236}">
              <a16:creationId xmlns:a16="http://schemas.microsoft.com/office/drawing/2014/main" id="{2F7CCAA1-3E6B-4EE8-9041-20DDBE732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48024" y="4143374"/>
          <a:ext cx="287252" cy="288000"/>
        </a:xfrm>
        <a:prstGeom prst="rect">
          <a:avLst/>
        </a:prstGeom>
      </xdr:spPr>
    </xdr:pic>
    <xdr:clientData/>
  </xdr:twoCellAnchor>
  <xdr:twoCellAnchor>
    <xdr:from>
      <xdr:col>11</xdr:col>
      <xdr:colOff>200024</xdr:colOff>
      <xdr:row>5</xdr:row>
      <xdr:rowOff>19049</xdr:rowOff>
    </xdr:from>
    <xdr:to>
      <xdr:col>12</xdr:col>
      <xdr:colOff>146283</xdr:colOff>
      <xdr:row>6</xdr:row>
      <xdr:rowOff>201340</xdr:rowOff>
    </xdr:to>
    <xdr:grpSp>
      <xdr:nvGrpSpPr>
        <xdr:cNvPr id="126" name="グループ化 125">
          <a:extLst>
            <a:ext uri="{FF2B5EF4-FFF2-40B4-BE49-F238E27FC236}">
              <a16:creationId xmlns:a16="http://schemas.microsoft.com/office/drawing/2014/main" id="{F384BFB4-AC92-45BB-9596-83EEB16B8EDE}"/>
            </a:ext>
          </a:extLst>
        </xdr:cNvPr>
        <xdr:cNvGrpSpPr/>
      </xdr:nvGrpSpPr>
      <xdr:grpSpPr>
        <a:xfrm>
          <a:off x="3716947" y="817684"/>
          <a:ext cx="261317" cy="409425"/>
          <a:chOff x="3465739" y="1581151"/>
          <a:chExt cx="260584" cy="410891"/>
        </a:xfrm>
      </xdr:grpSpPr>
      <xdr:pic>
        <xdr:nvPicPr>
          <xdr:cNvPr id="127" name="図 126">
            <a:extLst>
              <a:ext uri="{FF2B5EF4-FFF2-40B4-BE49-F238E27FC236}">
                <a16:creationId xmlns:a16="http://schemas.microsoft.com/office/drawing/2014/main" id="{E3494771-C4F7-4724-B9F2-91924707E6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3479346" y="1758042"/>
            <a:ext cx="233392" cy="234000"/>
          </a:xfrm>
          <a:prstGeom prst="rect">
            <a:avLst/>
          </a:prstGeom>
        </xdr:spPr>
      </xdr:pic>
      <xdr:sp macro="" textlink="">
        <xdr:nvSpPr>
          <xdr:cNvPr id="128" name="Text Box 216">
            <a:extLst>
              <a:ext uri="{FF2B5EF4-FFF2-40B4-BE49-F238E27FC236}">
                <a16:creationId xmlns:a16="http://schemas.microsoft.com/office/drawing/2014/main" id="{F26F3690-F3A7-493A-B75E-1897F09706B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65739" y="1581151"/>
            <a:ext cx="260584" cy="151836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horzOverflow="clip" wrap="none" lIns="27432" tIns="18288" rIns="27432" bIns="0" anchor="t" upright="1">
            <a:noAutofit/>
          </a:bodyPr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設計</a:t>
            </a:r>
          </a:p>
        </xdr:txBody>
      </xdr:sp>
    </xdr:grpSp>
    <xdr:clientData/>
  </xdr:twoCellAnchor>
  <xdr:twoCellAnchor>
    <xdr:from>
      <xdr:col>10</xdr:col>
      <xdr:colOff>171451</xdr:colOff>
      <xdr:row>9</xdr:row>
      <xdr:rowOff>104775</xdr:rowOff>
    </xdr:from>
    <xdr:to>
      <xdr:col>10</xdr:col>
      <xdr:colOff>219075</xdr:colOff>
      <xdr:row>10</xdr:row>
      <xdr:rowOff>85725</xdr:rowOff>
    </xdr:to>
    <xdr:cxnSp macro="">
      <xdr:nvCxnSpPr>
        <xdr:cNvPr id="133" name="直線矢印コネクタ 132">
          <a:extLst>
            <a:ext uri="{FF2B5EF4-FFF2-40B4-BE49-F238E27FC236}">
              <a16:creationId xmlns:a16="http://schemas.microsoft.com/office/drawing/2014/main" id="{5543B381-6C82-47D7-995E-673346A973D0}"/>
            </a:ext>
          </a:extLst>
        </xdr:cNvPr>
        <xdr:cNvCxnSpPr/>
      </xdr:nvCxnSpPr>
      <xdr:spPr>
        <a:xfrm flipV="1">
          <a:off x="3371851" y="1819275"/>
          <a:ext cx="47624" cy="1857375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295274</xdr:colOff>
      <xdr:row>9</xdr:row>
      <xdr:rowOff>1209673</xdr:rowOff>
    </xdr:from>
    <xdr:ext cx="436521" cy="250453"/>
    <xdr:sp macro="" textlink="">
      <xdr:nvSpPr>
        <xdr:cNvPr id="135" name="テキスト ボックス 134">
          <a:extLst>
            <a:ext uri="{FF2B5EF4-FFF2-40B4-BE49-F238E27FC236}">
              <a16:creationId xmlns:a16="http://schemas.microsoft.com/office/drawing/2014/main" id="{940157CE-AC81-48FD-B59D-086F35FC7165}"/>
            </a:ext>
          </a:extLst>
        </xdr:cNvPr>
        <xdr:cNvSpPr txBox="1"/>
      </xdr:nvSpPr>
      <xdr:spPr>
        <a:xfrm>
          <a:off x="3495674" y="2924173"/>
          <a:ext cx="436521" cy="2504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600">
              <a:solidFill>
                <a:srgbClr val="00B050"/>
              </a:solidFill>
            </a:rPr>
            <a:t>32.8</a:t>
          </a:r>
          <a:endParaRPr kumimoji="1" lang="ja-JP" altLang="en-US" sz="1600">
            <a:solidFill>
              <a:srgbClr val="00B050"/>
            </a:solidFill>
          </a:endParaRPr>
        </a:p>
      </xdr:txBody>
    </xdr:sp>
    <xdr:clientData/>
  </xdr:oneCellAnchor>
  <xdr:twoCellAnchor>
    <xdr:from>
      <xdr:col>7</xdr:col>
      <xdr:colOff>152400</xdr:colOff>
      <xdr:row>9</xdr:row>
      <xdr:rowOff>628650</xdr:rowOff>
    </xdr:from>
    <xdr:to>
      <xdr:col>14</xdr:col>
      <xdr:colOff>257175</xdr:colOff>
      <xdr:row>9</xdr:row>
      <xdr:rowOff>657225</xdr:rowOff>
    </xdr:to>
    <xdr:cxnSp macro="">
      <xdr:nvCxnSpPr>
        <xdr:cNvPr id="136" name="直線矢印コネクタ 135">
          <a:extLst>
            <a:ext uri="{FF2B5EF4-FFF2-40B4-BE49-F238E27FC236}">
              <a16:creationId xmlns:a16="http://schemas.microsoft.com/office/drawing/2014/main" id="{74EF5710-172A-453C-9D70-47B551B901FC}"/>
            </a:ext>
          </a:extLst>
        </xdr:cNvPr>
        <xdr:cNvCxnSpPr/>
      </xdr:nvCxnSpPr>
      <xdr:spPr>
        <a:xfrm flipH="1">
          <a:off x="2409825" y="2343150"/>
          <a:ext cx="2305050" cy="28575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9524</xdr:colOff>
      <xdr:row>9</xdr:row>
      <xdr:rowOff>704849</xdr:rowOff>
    </xdr:from>
    <xdr:ext cx="436521" cy="250453"/>
    <xdr:sp macro="" textlink="">
      <xdr:nvSpPr>
        <xdr:cNvPr id="138" name="テキスト ボックス 137">
          <a:extLst>
            <a:ext uri="{FF2B5EF4-FFF2-40B4-BE49-F238E27FC236}">
              <a16:creationId xmlns:a16="http://schemas.microsoft.com/office/drawing/2014/main" id="{D7022F26-71A6-444A-8011-96E8EF938123}"/>
            </a:ext>
          </a:extLst>
        </xdr:cNvPr>
        <xdr:cNvSpPr txBox="1"/>
      </xdr:nvSpPr>
      <xdr:spPr>
        <a:xfrm>
          <a:off x="4152899" y="2419349"/>
          <a:ext cx="436521" cy="2504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600">
              <a:solidFill>
                <a:srgbClr val="00B050"/>
              </a:solidFill>
            </a:rPr>
            <a:t>38.3</a:t>
          </a:r>
          <a:endParaRPr kumimoji="1" lang="ja-JP" altLang="en-US" sz="1600">
            <a:solidFill>
              <a:srgbClr val="00B050"/>
            </a:solidFill>
          </a:endParaRPr>
        </a:p>
      </xdr:txBody>
    </xdr:sp>
    <xdr:clientData/>
  </xdr:oneCellAnchor>
  <xdr:oneCellAnchor>
    <xdr:from>
      <xdr:col>5</xdr:col>
      <xdr:colOff>95250</xdr:colOff>
      <xdr:row>17</xdr:row>
      <xdr:rowOff>1343025</xdr:rowOff>
    </xdr:from>
    <xdr:ext cx="361244" cy="150041"/>
    <xdr:sp macro="" textlink="">
      <xdr:nvSpPr>
        <xdr:cNvPr id="141" name="Text Box 78">
          <a:extLst>
            <a:ext uri="{FF2B5EF4-FFF2-40B4-BE49-F238E27FC236}">
              <a16:creationId xmlns:a16="http://schemas.microsoft.com/office/drawing/2014/main" id="{91CB2D07-E9B9-4902-8A43-083279E89416}"/>
            </a:ext>
          </a:extLst>
        </xdr:cNvPr>
        <xdr:cNvSpPr txBox="1">
          <a:spLocks noChangeArrowheads="1"/>
        </xdr:cNvSpPr>
      </xdr:nvSpPr>
      <xdr:spPr bwMode="auto">
        <a:xfrm>
          <a:off x="1724025" y="65341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4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3m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11</xdr:col>
      <xdr:colOff>133350</xdr:colOff>
      <xdr:row>17</xdr:row>
      <xdr:rowOff>1228725</xdr:rowOff>
    </xdr:from>
    <xdr:ext cx="361244" cy="150041"/>
    <xdr:sp macro="" textlink="">
      <xdr:nvSpPr>
        <xdr:cNvPr id="142" name="Text Box 79">
          <a:extLst>
            <a:ext uri="{FF2B5EF4-FFF2-40B4-BE49-F238E27FC236}">
              <a16:creationId xmlns:a16="http://schemas.microsoft.com/office/drawing/2014/main" id="{7438D0B7-F3A6-4565-91D8-DEE98FEFD7CC}"/>
            </a:ext>
          </a:extLst>
        </xdr:cNvPr>
        <xdr:cNvSpPr txBox="1">
          <a:spLocks noChangeArrowheads="1"/>
        </xdr:cNvSpPr>
      </xdr:nvSpPr>
      <xdr:spPr bwMode="auto">
        <a:xfrm>
          <a:off x="3648075" y="64198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16.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4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20</xdr:col>
      <xdr:colOff>219075</xdr:colOff>
      <xdr:row>17</xdr:row>
      <xdr:rowOff>1057275</xdr:rowOff>
    </xdr:from>
    <xdr:ext cx="1015715" cy="666750"/>
    <xdr:sp macro="" textlink="">
      <xdr:nvSpPr>
        <xdr:cNvPr id="29" name="Text Box 91">
          <a:extLst>
            <a:ext uri="{FF2B5EF4-FFF2-40B4-BE49-F238E27FC236}">
              <a16:creationId xmlns:a16="http://schemas.microsoft.com/office/drawing/2014/main" id="{E1025D01-5F13-4CB0-B061-5FFF3A833843}"/>
            </a:ext>
          </a:extLst>
        </xdr:cNvPr>
        <xdr:cNvSpPr txBox="1">
          <a:spLocks noChangeArrowheads="1"/>
        </xdr:cNvSpPr>
      </xdr:nvSpPr>
      <xdr:spPr bwMode="auto">
        <a:xfrm>
          <a:off x="6562725" y="6248400"/>
          <a:ext cx="1015715" cy="666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EC6680K+34001001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EC6680K-6293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PD1220A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FD8DF929-FA08-40A3-83A2-F2C4F24E9B8D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6</xdr:col>
      <xdr:colOff>0</xdr:colOff>
      <xdr:row>16</xdr:row>
      <xdr:rowOff>95250</xdr:rowOff>
    </xdr:from>
    <xdr:to>
      <xdr:col>16</xdr:col>
      <xdr:colOff>0</xdr:colOff>
      <xdr:row>16</xdr:row>
      <xdr:rowOff>142875</xdr:rowOff>
    </xdr:to>
    <xdr:grpSp>
      <xdr:nvGrpSpPr>
        <xdr:cNvPr id="1026" name="Group 2">
          <a:extLst>
            <a:ext uri="{FF2B5EF4-FFF2-40B4-BE49-F238E27FC236}">
              <a16:creationId xmlns:a16="http://schemas.microsoft.com/office/drawing/2014/main" id="{CEFA1564-501C-47C2-8195-1FDA875E5874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3143250" cy="47625"/>
          <a:chOff x="158" y="715"/>
          <a:chExt cx="33" cy="5"/>
        </a:xfrm>
      </xdr:grpSpPr>
      <xdr:sp macro="" textlink="">
        <xdr:nvSpPr>
          <xdr:cNvPr id="1027" name="Line 3">
            <a:extLst>
              <a:ext uri="{FF2B5EF4-FFF2-40B4-BE49-F238E27FC236}">
                <a16:creationId xmlns:a16="http://schemas.microsoft.com/office/drawing/2014/main" id="{1BDF4585-1140-4E72-82AC-137335EEFCB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8" name="Line 4">
            <a:extLst>
              <a:ext uri="{FF2B5EF4-FFF2-40B4-BE49-F238E27FC236}">
                <a16:creationId xmlns:a16="http://schemas.microsoft.com/office/drawing/2014/main" id="{07A47818-2E23-47CD-A967-C5A44430A88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17</xdr:row>
      <xdr:rowOff>95250</xdr:rowOff>
    </xdr:from>
    <xdr:to>
      <xdr:col>16</xdr:col>
      <xdr:colOff>0</xdr:colOff>
      <xdr:row>17</xdr:row>
      <xdr:rowOff>142875</xdr:rowOff>
    </xdr:to>
    <xdr:grpSp>
      <xdr:nvGrpSpPr>
        <xdr:cNvPr id="1029" name="Group 5">
          <a:extLst>
            <a:ext uri="{FF2B5EF4-FFF2-40B4-BE49-F238E27FC236}">
              <a16:creationId xmlns:a16="http://schemas.microsoft.com/office/drawing/2014/main" id="{A66A0F07-4352-492B-A01B-1072596077F4}"/>
            </a:ext>
          </a:extLst>
        </xdr:cNvPr>
        <xdr:cNvGrpSpPr>
          <a:grpSpLocks/>
        </xdr:cNvGrpSpPr>
      </xdr:nvGrpSpPr>
      <xdr:grpSpPr bwMode="auto">
        <a:xfrm>
          <a:off x="2762250" y="7019925"/>
          <a:ext cx="1885950" cy="47625"/>
          <a:chOff x="158" y="715"/>
          <a:chExt cx="33" cy="5"/>
        </a:xfrm>
      </xdr:grpSpPr>
      <xdr:sp macro="" textlink="">
        <xdr:nvSpPr>
          <xdr:cNvPr id="1030" name="Line 6">
            <a:extLst>
              <a:ext uri="{FF2B5EF4-FFF2-40B4-BE49-F238E27FC236}">
                <a16:creationId xmlns:a16="http://schemas.microsoft.com/office/drawing/2014/main" id="{4A82588D-1739-49C7-B951-3F5B5D57D4A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1" name="Line 7">
            <a:extLst>
              <a:ext uri="{FF2B5EF4-FFF2-40B4-BE49-F238E27FC236}">
                <a16:creationId xmlns:a16="http://schemas.microsoft.com/office/drawing/2014/main" id="{465351B8-FA44-44AB-92A8-BA5E208FED3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9525</xdr:colOff>
      <xdr:row>20</xdr:row>
      <xdr:rowOff>38100</xdr:rowOff>
    </xdr:from>
    <xdr:to>
      <xdr:col>14</xdr:col>
      <xdr:colOff>304800</xdr:colOff>
      <xdr:row>20</xdr:row>
      <xdr:rowOff>180975</xdr:rowOff>
    </xdr:to>
    <xdr:sp macro="" textlink="">
      <xdr:nvSpPr>
        <xdr:cNvPr id="1032" name="Freeform 8">
          <a:extLst>
            <a:ext uri="{FF2B5EF4-FFF2-40B4-BE49-F238E27FC236}">
              <a16:creationId xmlns:a16="http://schemas.microsoft.com/office/drawing/2014/main" id="{946D590E-8F38-4982-8D61-CB7DA198B5EC}"/>
            </a:ext>
          </a:extLst>
        </xdr:cNvPr>
        <xdr:cNvSpPr>
          <a:spLocks/>
        </xdr:cNvSpPr>
      </xdr:nvSpPr>
      <xdr:spPr bwMode="auto">
        <a:xfrm>
          <a:off x="4029075" y="7648575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57150</xdr:colOff>
      <xdr:row>19</xdr:row>
      <xdr:rowOff>38100</xdr:rowOff>
    </xdr:from>
    <xdr:to>
      <xdr:col>12</xdr:col>
      <xdr:colOff>276225</xdr:colOff>
      <xdr:row>19</xdr:row>
      <xdr:rowOff>190500</xdr:rowOff>
    </xdr:to>
    <xdr:grpSp>
      <xdr:nvGrpSpPr>
        <xdr:cNvPr id="1033" name="Group 9">
          <a:extLst>
            <a:ext uri="{FF2B5EF4-FFF2-40B4-BE49-F238E27FC236}">
              <a16:creationId xmlns:a16="http://schemas.microsoft.com/office/drawing/2014/main" id="{CCADA743-E16C-4BFC-A803-2ED15417714E}"/>
            </a:ext>
          </a:extLst>
        </xdr:cNvPr>
        <xdr:cNvGrpSpPr>
          <a:grpSpLocks/>
        </xdr:cNvGrpSpPr>
      </xdr:nvGrpSpPr>
      <xdr:grpSpPr bwMode="auto">
        <a:xfrm>
          <a:off x="3448050" y="7419975"/>
          <a:ext cx="219075" cy="152400"/>
          <a:chOff x="132" y="708"/>
          <a:chExt cx="20" cy="14"/>
        </a:xfrm>
      </xdr:grpSpPr>
      <xdr:sp macro="" textlink="">
        <xdr:nvSpPr>
          <xdr:cNvPr id="1034" name="Line 10">
            <a:extLst>
              <a:ext uri="{FF2B5EF4-FFF2-40B4-BE49-F238E27FC236}">
                <a16:creationId xmlns:a16="http://schemas.microsoft.com/office/drawing/2014/main" id="{5CC3A026-9482-4004-A0FA-F0D6776F564E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5" name="Line 11">
            <a:extLst>
              <a:ext uri="{FF2B5EF4-FFF2-40B4-BE49-F238E27FC236}">
                <a16:creationId xmlns:a16="http://schemas.microsoft.com/office/drawing/2014/main" id="{D574EEFF-E147-45B9-BB28-59EA64ACAE2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6" name="Line 12">
            <a:extLst>
              <a:ext uri="{FF2B5EF4-FFF2-40B4-BE49-F238E27FC236}">
                <a16:creationId xmlns:a16="http://schemas.microsoft.com/office/drawing/2014/main" id="{9D080A68-230F-4CDD-9049-C1EDB6325DA9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7" name="Line 13">
            <a:extLst>
              <a:ext uri="{FF2B5EF4-FFF2-40B4-BE49-F238E27FC236}">
                <a16:creationId xmlns:a16="http://schemas.microsoft.com/office/drawing/2014/main" id="{6BFDB426-5BE0-4088-9B5A-0F12B5B1EB21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19</xdr:row>
      <xdr:rowOff>95250</xdr:rowOff>
    </xdr:from>
    <xdr:to>
      <xdr:col>16</xdr:col>
      <xdr:colOff>0</xdr:colOff>
      <xdr:row>19</xdr:row>
      <xdr:rowOff>142875</xdr:rowOff>
    </xdr:to>
    <xdr:grpSp>
      <xdr:nvGrpSpPr>
        <xdr:cNvPr id="1038" name="Group 14">
          <a:extLst>
            <a:ext uri="{FF2B5EF4-FFF2-40B4-BE49-F238E27FC236}">
              <a16:creationId xmlns:a16="http://schemas.microsoft.com/office/drawing/2014/main" id="{354E8601-BA10-4D06-810D-59089EB9DE6C}"/>
            </a:ext>
          </a:extLst>
        </xdr:cNvPr>
        <xdr:cNvGrpSpPr>
          <a:grpSpLocks/>
        </xdr:cNvGrpSpPr>
      </xdr:nvGrpSpPr>
      <xdr:grpSpPr bwMode="auto">
        <a:xfrm>
          <a:off x="3705225" y="7477125"/>
          <a:ext cx="942975" cy="47625"/>
          <a:chOff x="158" y="715"/>
          <a:chExt cx="33" cy="5"/>
        </a:xfrm>
      </xdr:grpSpPr>
      <xdr:sp macro="" textlink="">
        <xdr:nvSpPr>
          <xdr:cNvPr id="1039" name="Line 15">
            <a:extLst>
              <a:ext uri="{FF2B5EF4-FFF2-40B4-BE49-F238E27FC236}">
                <a16:creationId xmlns:a16="http://schemas.microsoft.com/office/drawing/2014/main" id="{2C3406AB-E983-457E-A7A6-D20A3DFB6B0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0" name="Line 16">
            <a:extLst>
              <a:ext uri="{FF2B5EF4-FFF2-40B4-BE49-F238E27FC236}">
                <a16:creationId xmlns:a16="http://schemas.microsoft.com/office/drawing/2014/main" id="{B7CD7E77-30D7-47B7-9830-C02F59091FE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0</xdr:colOff>
      <xdr:row>20</xdr:row>
      <xdr:rowOff>95250</xdr:rowOff>
    </xdr:from>
    <xdr:to>
      <xdr:col>16</xdr:col>
      <xdr:colOff>0</xdr:colOff>
      <xdr:row>20</xdr:row>
      <xdr:rowOff>142875</xdr:rowOff>
    </xdr:to>
    <xdr:grpSp>
      <xdr:nvGrpSpPr>
        <xdr:cNvPr id="1041" name="Group 17">
          <a:extLst>
            <a:ext uri="{FF2B5EF4-FFF2-40B4-BE49-F238E27FC236}">
              <a16:creationId xmlns:a16="http://schemas.microsoft.com/office/drawing/2014/main" id="{FAA4A47F-A56F-48E1-A41F-BBD866282034}"/>
            </a:ext>
          </a:extLst>
        </xdr:cNvPr>
        <xdr:cNvGrpSpPr>
          <a:grpSpLocks/>
        </xdr:cNvGrpSpPr>
      </xdr:nvGrpSpPr>
      <xdr:grpSpPr bwMode="auto">
        <a:xfrm>
          <a:off x="4333875" y="7705725"/>
          <a:ext cx="314325" cy="47625"/>
          <a:chOff x="158" y="715"/>
          <a:chExt cx="33" cy="5"/>
        </a:xfrm>
      </xdr:grpSpPr>
      <xdr:sp macro="" textlink="">
        <xdr:nvSpPr>
          <xdr:cNvPr id="1042" name="Line 18">
            <a:extLst>
              <a:ext uri="{FF2B5EF4-FFF2-40B4-BE49-F238E27FC236}">
                <a16:creationId xmlns:a16="http://schemas.microsoft.com/office/drawing/2014/main" id="{6F57A9A4-5EC5-401B-9B75-63C623C2CB4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3" name="Line 19">
            <a:extLst>
              <a:ext uri="{FF2B5EF4-FFF2-40B4-BE49-F238E27FC236}">
                <a16:creationId xmlns:a16="http://schemas.microsoft.com/office/drawing/2014/main" id="{FF1A0EBF-BC59-4A0C-9B6C-579E4C6C438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57150</xdr:colOff>
      <xdr:row>19</xdr:row>
      <xdr:rowOff>104775</xdr:rowOff>
    </xdr:from>
    <xdr:to>
      <xdr:col>11</xdr:col>
      <xdr:colOff>0</xdr:colOff>
      <xdr:row>19</xdr:row>
      <xdr:rowOff>152400</xdr:rowOff>
    </xdr:to>
    <xdr:grpSp>
      <xdr:nvGrpSpPr>
        <xdr:cNvPr id="1044" name="Group 20">
          <a:extLst>
            <a:ext uri="{FF2B5EF4-FFF2-40B4-BE49-F238E27FC236}">
              <a16:creationId xmlns:a16="http://schemas.microsoft.com/office/drawing/2014/main" id="{B976D92D-CAA3-454B-A90D-61F71900E4A6}"/>
            </a:ext>
          </a:extLst>
        </xdr:cNvPr>
        <xdr:cNvGrpSpPr>
          <a:grpSpLocks/>
        </xdr:cNvGrpSpPr>
      </xdr:nvGrpSpPr>
      <xdr:grpSpPr bwMode="auto">
        <a:xfrm>
          <a:off x="866775" y="7486650"/>
          <a:ext cx="2209800" cy="47625"/>
          <a:chOff x="158" y="715"/>
          <a:chExt cx="33" cy="5"/>
        </a:xfrm>
      </xdr:grpSpPr>
      <xdr:sp macro="" textlink="">
        <xdr:nvSpPr>
          <xdr:cNvPr id="1045" name="Line 21">
            <a:extLst>
              <a:ext uri="{FF2B5EF4-FFF2-40B4-BE49-F238E27FC236}">
                <a16:creationId xmlns:a16="http://schemas.microsoft.com/office/drawing/2014/main" id="{34155FC9-FD40-4F2F-80EB-9E06C1BB7DF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6" name="Line 22">
            <a:extLst>
              <a:ext uri="{FF2B5EF4-FFF2-40B4-BE49-F238E27FC236}">
                <a16:creationId xmlns:a16="http://schemas.microsoft.com/office/drawing/2014/main" id="{D1664920-10CD-4B6F-A831-D137A48E35C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19</xdr:row>
      <xdr:rowOff>123825</xdr:rowOff>
    </xdr:from>
    <xdr:to>
      <xdr:col>12</xdr:col>
      <xdr:colOff>0</xdr:colOff>
      <xdr:row>19</xdr:row>
      <xdr:rowOff>123825</xdr:rowOff>
    </xdr:to>
    <xdr:sp macro="" textlink="">
      <xdr:nvSpPr>
        <xdr:cNvPr id="1047" name="Line 23">
          <a:extLst>
            <a:ext uri="{FF2B5EF4-FFF2-40B4-BE49-F238E27FC236}">
              <a16:creationId xmlns:a16="http://schemas.microsoft.com/office/drawing/2014/main" id="{246B9F2E-3824-4882-921D-7E3372BA3531}"/>
            </a:ext>
          </a:extLst>
        </xdr:cNvPr>
        <xdr:cNvSpPr>
          <a:spLocks noChangeShapeType="1"/>
        </xdr:cNvSpPr>
      </xdr:nvSpPr>
      <xdr:spPr bwMode="auto">
        <a:xfrm>
          <a:off x="3076575" y="75057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20</xdr:row>
      <xdr:rowOff>123825</xdr:rowOff>
    </xdr:from>
    <xdr:to>
      <xdr:col>14</xdr:col>
      <xdr:colOff>0</xdr:colOff>
      <xdr:row>20</xdr:row>
      <xdr:rowOff>123825</xdr:rowOff>
    </xdr:to>
    <xdr:sp macro="" textlink="">
      <xdr:nvSpPr>
        <xdr:cNvPr id="1048" name="Line 24">
          <a:extLst>
            <a:ext uri="{FF2B5EF4-FFF2-40B4-BE49-F238E27FC236}">
              <a16:creationId xmlns:a16="http://schemas.microsoft.com/office/drawing/2014/main" id="{AFCE6EAD-FFF4-4EDA-98E4-5013B7502339}"/>
            </a:ext>
          </a:extLst>
        </xdr:cNvPr>
        <xdr:cNvSpPr>
          <a:spLocks noChangeShapeType="1"/>
        </xdr:cNvSpPr>
      </xdr:nvSpPr>
      <xdr:spPr bwMode="auto">
        <a:xfrm>
          <a:off x="3076575" y="77343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38100</xdr:colOff>
      <xdr:row>20</xdr:row>
      <xdr:rowOff>95250</xdr:rowOff>
    </xdr:from>
    <xdr:to>
      <xdr:col>11</xdr:col>
      <xdr:colOff>0</xdr:colOff>
      <xdr:row>20</xdr:row>
      <xdr:rowOff>142875</xdr:rowOff>
    </xdr:to>
    <xdr:grpSp>
      <xdr:nvGrpSpPr>
        <xdr:cNvPr id="1049" name="Group 25">
          <a:extLst>
            <a:ext uri="{FF2B5EF4-FFF2-40B4-BE49-F238E27FC236}">
              <a16:creationId xmlns:a16="http://schemas.microsoft.com/office/drawing/2014/main" id="{BCEBB944-ED60-4EEC-9079-269EE10039BE}"/>
            </a:ext>
          </a:extLst>
        </xdr:cNvPr>
        <xdr:cNvGrpSpPr>
          <a:grpSpLocks/>
        </xdr:cNvGrpSpPr>
      </xdr:nvGrpSpPr>
      <xdr:grpSpPr bwMode="auto">
        <a:xfrm>
          <a:off x="914400" y="7705725"/>
          <a:ext cx="2162175" cy="47625"/>
          <a:chOff x="158" y="715"/>
          <a:chExt cx="33" cy="5"/>
        </a:xfrm>
      </xdr:grpSpPr>
      <xdr:sp macro="" textlink="">
        <xdr:nvSpPr>
          <xdr:cNvPr id="1050" name="Line 26">
            <a:extLst>
              <a:ext uri="{FF2B5EF4-FFF2-40B4-BE49-F238E27FC236}">
                <a16:creationId xmlns:a16="http://schemas.microsoft.com/office/drawing/2014/main" id="{D437DD50-C6F8-4CAB-B9B4-309634FB22A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1" name="Line 27">
            <a:extLst>
              <a:ext uri="{FF2B5EF4-FFF2-40B4-BE49-F238E27FC236}">
                <a16:creationId xmlns:a16="http://schemas.microsoft.com/office/drawing/2014/main" id="{2E7EA6C2-128F-4792-A165-5E33903E6D3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104775</xdr:colOff>
      <xdr:row>7</xdr:row>
      <xdr:rowOff>266700</xdr:rowOff>
    </xdr:from>
    <xdr:to>
      <xdr:col>6</xdr:col>
      <xdr:colOff>38100</xdr:colOff>
      <xdr:row>7</xdr:row>
      <xdr:rowOff>1438275</xdr:rowOff>
    </xdr:to>
    <xdr:sp macro="" textlink="">
      <xdr:nvSpPr>
        <xdr:cNvPr id="1052" name="Text Box 28">
          <a:extLst>
            <a:ext uri="{FF2B5EF4-FFF2-40B4-BE49-F238E27FC236}">
              <a16:creationId xmlns:a16="http://schemas.microsoft.com/office/drawing/2014/main" id="{5EAD0BD3-2729-48D0-919D-4A7D50C50440}"/>
            </a:ext>
          </a:extLst>
        </xdr:cNvPr>
        <xdr:cNvSpPr txBox="1">
          <a:spLocks noChangeArrowheads="1"/>
        </xdr:cNvSpPr>
      </xdr:nvSpPr>
      <xdr:spPr bwMode="auto">
        <a:xfrm>
          <a:off x="1295400" y="1905000"/>
          <a:ext cx="2476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明神町</a:t>
          </a:r>
        </a:p>
      </xdr:txBody>
    </xdr:sp>
    <xdr:clientData/>
  </xdr:twoCellAnchor>
  <xdr:twoCellAnchor>
    <xdr:from>
      <xdr:col>18</xdr:col>
      <xdr:colOff>295275</xdr:colOff>
      <xdr:row>7</xdr:row>
      <xdr:rowOff>38100</xdr:rowOff>
    </xdr:from>
    <xdr:to>
      <xdr:col>19</xdr:col>
      <xdr:colOff>228600</xdr:colOff>
      <xdr:row>7</xdr:row>
      <xdr:rowOff>1628775</xdr:rowOff>
    </xdr:to>
    <xdr:sp macro="" textlink="">
      <xdr:nvSpPr>
        <xdr:cNvPr id="1053" name="Text Box 29">
          <a:extLst>
            <a:ext uri="{FF2B5EF4-FFF2-40B4-BE49-F238E27FC236}">
              <a16:creationId xmlns:a16="http://schemas.microsoft.com/office/drawing/2014/main" id="{6950F1E6-7291-4C51-B8DA-BC4536B3BE74}"/>
            </a:ext>
          </a:extLst>
        </xdr:cNvPr>
        <xdr:cNvSpPr txBox="1">
          <a:spLocks noChangeArrowheads="1"/>
        </xdr:cNvSpPr>
      </xdr:nvSpPr>
      <xdr:spPr bwMode="auto">
        <a:xfrm>
          <a:off x="5572125" y="1676400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岡山</a:t>
          </a:r>
        </a:p>
      </xdr:txBody>
    </xdr:sp>
    <xdr:clientData/>
  </xdr:twoCellAnchor>
  <xdr:twoCellAnchor>
    <xdr:from>
      <xdr:col>3</xdr:col>
      <xdr:colOff>57150</xdr:colOff>
      <xdr:row>16</xdr:row>
      <xdr:rowOff>123825</xdr:rowOff>
    </xdr:from>
    <xdr:to>
      <xdr:col>5</xdr:col>
      <xdr:colOff>9525</xdr:colOff>
      <xdr:row>16</xdr:row>
      <xdr:rowOff>123825</xdr:rowOff>
    </xdr:to>
    <xdr:sp macro="" textlink="">
      <xdr:nvSpPr>
        <xdr:cNvPr id="1054" name="Line 30">
          <a:extLst>
            <a:ext uri="{FF2B5EF4-FFF2-40B4-BE49-F238E27FC236}">
              <a16:creationId xmlns:a16="http://schemas.microsoft.com/office/drawing/2014/main" id="{0DADDEAB-7A9F-40CA-9D2B-85FE183812CC}"/>
            </a:ext>
          </a:extLst>
        </xdr:cNvPr>
        <xdr:cNvSpPr>
          <a:spLocks noChangeShapeType="1"/>
        </xdr:cNvSpPr>
      </xdr:nvSpPr>
      <xdr:spPr bwMode="auto">
        <a:xfrm>
          <a:off x="866775" y="6819900"/>
          <a:ext cx="3333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17</xdr:row>
      <xdr:rowOff>123825</xdr:rowOff>
    </xdr:from>
    <xdr:to>
      <xdr:col>7</xdr:col>
      <xdr:colOff>0</xdr:colOff>
      <xdr:row>17</xdr:row>
      <xdr:rowOff>123825</xdr:rowOff>
    </xdr:to>
    <xdr:sp macro="" textlink="">
      <xdr:nvSpPr>
        <xdr:cNvPr id="1055" name="Line 31">
          <a:extLst>
            <a:ext uri="{FF2B5EF4-FFF2-40B4-BE49-F238E27FC236}">
              <a16:creationId xmlns:a16="http://schemas.microsoft.com/office/drawing/2014/main" id="{C09D26AE-3235-4FBD-9242-61805FBF7EEC}"/>
            </a:ext>
          </a:extLst>
        </xdr:cNvPr>
        <xdr:cNvSpPr>
          <a:spLocks noChangeShapeType="1"/>
        </xdr:cNvSpPr>
      </xdr:nvSpPr>
      <xdr:spPr bwMode="auto">
        <a:xfrm>
          <a:off x="885825" y="7048500"/>
          <a:ext cx="93345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1056" name="Group 32">
          <a:extLst>
            <a:ext uri="{FF2B5EF4-FFF2-40B4-BE49-F238E27FC236}">
              <a16:creationId xmlns:a16="http://schemas.microsoft.com/office/drawing/2014/main" id="{BED6CB69-AD29-41D9-BCFD-DCE45257DEB8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1057" name="Line 33">
            <a:extLst>
              <a:ext uri="{FF2B5EF4-FFF2-40B4-BE49-F238E27FC236}">
                <a16:creationId xmlns:a16="http://schemas.microsoft.com/office/drawing/2014/main" id="{ECD50108-249B-4156-89E7-760D6B1E1EA9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8" name="Line 34">
            <a:extLst>
              <a:ext uri="{FF2B5EF4-FFF2-40B4-BE49-F238E27FC236}">
                <a16:creationId xmlns:a16="http://schemas.microsoft.com/office/drawing/2014/main" id="{A18EFE50-97AE-40BF-8D1E-CE3FE5E9AAD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9" name="Line 35">
            <a:extLst>
              <a:ext uri="{FF2B5EF4-FFF2-40B4-BE49-F238E27FC236}">
                <a16:creationId xmlns:a16="http://schemas.microsoft.com/office/drawing/2014/main" id="{76D35F02-7534-47F7-A88B-BF98119604F9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0" name="Line 36">
            <a:extLst>
              <a:ext uri="{FF2B5EF4-FFF2-40B4-BE49-F238E27FC236}">
                <a16:creationId xmlns:a16="http://schemas.microsoft.com/office/drawing/2014/main" id="{6168EF44-AB2E-4018-A523-5C51C43C1D52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1061" name="Freeform 37">
          <a:extLst>
            <a:ext uri="{FF2B5EF4-FFF2-40B4-BE49-F238E27FC236}">
              <a16:creationId xmlns:a16="http://schemas.microsoft.com/office/drawing/2014/main" id="{391223E7-CE0E-4F82-9390-FAE6C7AAAFD9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180975</xdr:colOff>
      <xdr:row>15</xdr:row>
      <xdr:rowOff>304800</xdr:rowOff>
    </xdr:from>
    <xdr:to>
      <xdr:col>6</xdr:col>
      <xdr:colOff>285750</xdr:colOff>
      <xdr:row>15</xdr:row>
      <xdr:rowOff>361950</xdr:rowOff>
    </xdr:to>
    <xdr:grpSp>
      <xdr:nvGrpSpPr>
        <xdr:cNvPr id="1062" name="Group 38">
          <a:extLst>
            <a:ext uri="{FF2B5EF4-FFF2-40B4-BE49-F238E27FC236}">
              <a16:creationId xmlns:a16="http://schemas.microsoft.com/office/drawing/2014/main" id="{6D1C6FEA-96E2-4090-9AAE-AB9F2A03FCD1}"/>
            </a:ext>
          </a:extLst>
        </xdr:cNvPr>
        <xdr:cNvGrpSpPr>
          <a:grpSpLocks/>
        </xdr:cNvGrpSpPr>
      </xdr:nvGrpSpPr>
      <xdr:grpSpPr bwMode="auto">
        <a:xfrm>
          <a:off x="1057275" y="5419725"/>
          <a:ext cx="733425" cy="57150"/>
          <a:chOff x="123" y="549"/>
          <a:chExt cx="77" cy="6"/>
        </a:xfrm>
      </xdr:grpSpPr>
      <xdr:sp macro="" textlink="">
        <xdr:nvSpPr>
          <xdr:cNvPr id="1063" name="Line 39">
            <a:extLst>
              <a:ext uri="{FF2B5EF4-FFF2-40B4-BE49-F238E27FC236}">
                <a16:creationId xmlns:a16="http://schemas.microsoft.com/office/drawing/2014/main" id="{25C55463-29F9-482F-B707-422C79E93159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4" name="Freeform 40">
            <a:extLst>
              <a:ext uri="{FF2B5EF4-FFF2-40B4-BE49-F238E27FC236}">
                <a16:creationId xmlns:a16="http://schemas.microsoft.com/office/drawing/2014/main" id="{55C09CBE-D520-4995-8A91-3A1D1A445B6C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5" name="Freeform 41">
            <a:extLst>
              <a:ext uri="{FF2B5EF4-FFF2-40B4-BE49-F238E27FC236}">
                <a16:creationId xmlns:a16="http://schemas.microsoft.com/office/drawing/2014/main" id="{DE401262-7BC1-41BC-A30A-A8581737A993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171450</xdr:colOff>
      <xdr:row>15</xdr:row>
      <xdr:rowOff>866775</xdr:rowOff>
    </xdr:from>
    <xdr:to>
      <xdr:col>7</xdr:col>
      <xdr:colOff>238125</xdr:colOff>
      <xdr:row>15</xdr:row>
      <xdr:rowOff>1171575</xdr:rowOff>
    </xdr:to>
    <xdr:grpSp>
      <xdr:nvGrpSpPr>
        <xdr:cNvPr id="1066" name="Group 42">
          <a:extLst>
            <a:ext uri="{FF2B5EF4-FFF2-40B4-BE49-F238E27FC236}">
              <a16:creationId xmlns:a16="http://schemas.microsoft.com/office/drawing/2014/main" id="{9D5BBEF3-0262-46AA-A59E-D81D76D89FF7}"/>
            </a:ext>
          </a:extLst>
        </xdr:cNvPr>
        <xdr:cNvGrpSpPr>
          <a:grpSpLocks/>
        </xdr:cNvGrpSpPr>
      </xdr:nvGrpSpPr>
      <xdr:grpSpPr bwMode="auto">
        <a:xfrm>
          <a:off x="1047750" y="5981700"/>
          <a:ext cx="1009650" cy="304800"/>
          <a:chOff x="105" y="627"/>
          <a:chExt cx="106" cy="32"/>
        </a:xfrm>
      </xdr:grpSpPr>
      <xdr:grpSp>
        <xdr:nvGrpSpPr>
          <xdr:cNvPr id="1067" name="Group 43">
            <a:extLst>
              <a:ext uri="{FF2B5EF4-FFF2-40B4-BE49-F238E27FC236}">
                <a16:creationId xmlns:a16="http://schemas.microsoft.com/office/drawing/2014/main" id="{F109E8FA-96B5-49C7-9EA8-5964AD82AC7A}"/>
              </a:ext>
            </a:extLst>
          </xdr:cNvPr>
          <xdr:cNvGrpSpPr>
            <a:grpSpLocks/>
          </xdr:cNvGrpSpPr>
        </xdr:nvGrpSpPr>
        <xdr:grpSpPr bwMode="auto">
          <a:xfrm>
            <a:off x="105" y="627"/>
            <a:ext cx="106" cy="19"/>
            <a:chOff x="122" y="627"/>
            <a:chExt cx="106" cy="19"/>
          </a:xfrm>
        </xdr:grpSpPr>
        <xdr:sp macro="" textlink="">
          <xdr:nvSpPr>
            <xdr:cNvPr id="1068" name="Line 44">
              <a:extLst>
                <a:ext uri="{FF2B5EF4-FFF2-40B4-BE49-F238E27FC236}">
                  <a16:creationId xmlns:a16="http://schemas.microsoft.com/office/drawing/2014/main" id="{7FE9045B-9421-4765-A548-2717570EB819}"/>
                </a:ext>
              </a:extLst>
            </xdr:cNvPr>
            <xdr:cNvSpPr>
              <a:spLocks noChangeShapeType="1"/>
            </xdr:cNvSpPr>
          </xdr:nvSpPr>
          <xdr:spPr bwMode="auto">
            <a:xfrm rot="-10800000">
              <a:off x="124" y="64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69" name="Freeform 45">
              <a:extLst>
                <a:ext uri="{FF2B5EF4-FFF2-40B4-BE49-F238E27FC236}">
                  <a16:creationId xmlns:a16="http://schemas.microsoft.com/office/drawing/2014/main" id="{DB31C6BE-00E9-415B-9296-566524C57DCB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22" y="640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70" name="Freeform 46">
              <a:extLst>
                <a:ext uri="{FF2B5EF4-FFF2-40B4-BE49-F238E27FC236}">
                  <a16:creationId xmlns:a16="http://schemas.microsoft.com/office/drawing/2014/main" id="{17751206-EBB4-42D7-88D7-803996432FA5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85" y="636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71" name="Line 47">
              <a:extLst>
                <a:ext uri="{FF2B5EF4-FFF2-40B4-BE49-F238E27FC236}">
                  <a16:creationId xmlns:a16="http://schemas.microsoft.com/office/drawing/2014/main" id="{BE9A4D59-52C6-475B-A4CA-6622CD9E17FD}"/>
                </a:ext>
              </a:extLst>
            </xdr:cNvPr>
            <xdr:cNvSpPr>
              <a:spLocks noChangeShapeType="1"/>
            </xdr:cNvSpPr>
          </xdr:nvSpPr>
          <xdr:spPr bwMode="auto">
            <a:xfrm rot="-10800000">
              <a:off x="185" y="629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72" name="Freeform 48">
              <a:extLst>
                <a:ext uri="{FF2B5EF4-FFF2-40B4-BE49-F238E27FC236}">
                  <a16:creationId xmlns:a16="http://schemas.microsoft.com/office/drawing/2014/main" id="{9E970BBF-FC17-48C0-B5CD-C97EAFD87B3F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81" y="627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073" name="Group 49">
            <a:extLst>
              <a:ext uri="{FF2B5EF4-FFF2-40B4-BE49-F238E27FC236}">
                <a16:creationId xmlns:a16="http://schemas.microsoft.com/office/drawing/2014/main" id="{F54A6DD1-300F-418E-BC7E-13DED7D39308}"/>
              </a:ext>
            </a:extLst>
          </xdr:cNvPr>
          <xdr:cNvGrpSpPr>
            <a:grpSpLocks/>
          </xdr:cNvGrpSpPr>
        </xdr:nvGrpSpPr>
        <xdr:grpSpPr bwMode="auto">
          <a:xfrm>
            <a:off x="176" y="643"/>
            <a:ext cx="12" cy="16"/>
            <a:chOff x="181" y="640"/>
            <a:chExt cx="12" cy="16"/>
          </a:xfrm>
        </xdr:grpSpPr>
        <xdr:sp macro="" textlink="">
          <xdr:nvSpPr>
            <xdr:cNvPr id="1074" name="Freeform 50">
              <a:extLst>
                <a:ext uri="{FF2B5EF4-FFF2-40B4-BE49-F238E27FC236}">
                  <a16:creationId xmlns:a16="http://schemas.microsoft.com/office/drawing/2014/main" id="{0145D8F5-2EED-4181-91E2-D63FFF2213F5}"/>
                </a:ext>
              </a:extLst>
            </xdr:cNvPr>
            <xdr:cNvSpPr>
              <a:spLocks/>
            </xdr:cNvSpPr>
          </xdr:nvSpPr>
          <xdr:spPr bwMode="auto">
            <a:xfrm flipH="1">
              <a:off x="185" y="640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75" name="Line 51">
              <a:extLst>
                <a:ext uri="{FF2B5EF4-FFF2-40B4-BE49-F238E27FC236}">
                  <a16:creationId xmlns:a16="http://schemas.microsoft.com/office/drawing/2014/main" id="{DF4862FD-A5F4-416F-BFD4-0F89358905D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85" y="648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76" name="Freeform 52">
              <a:extLst>
                <a:ext uri="{FF2B5EF4-FFF2-40B4-BE49-F238E27FC236}">
                  <a16:creationId xmlns:a16="http://schemas.microsoft.com/office/drawing/2014/main" id="{2C5BEDF8-8ABB-4FF0-AE29-0B12A0817944}"/>
                </a:ext>
              </a:extLst>
            </xdr:cNvPr>
            <xdr:cNvSpPr>
              <a:spLocks/>
            </xdr:cNvSpPr>
          </xdr:nvSpPr>
          <xdr:spPr bwMode="auto">
            <a:xfrm flipH="1">
              <a:off x="181" y="649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4</xdr:col>
      <xdr:colOff>152400</xdr:colOff>
      <xdr:row>15</xdr:row>
      <xdr:rowOff>495300</xdr:rowOff>
    </xdr:from>
    <xdr:to>
      <xdr:col>7</xdr:col>
      <xdr:colOff>209550</xdr:colOff>
      <xdr:row>15</xdr:row>
      <xdr:rowOff>800100</xdr:rowOff>
    </xdr:to>
    <xdr:grpSp>
      <xdr:nvGrpSpPr>
        <xdr:cNvPr id="1077" name="Group 53">
          <a:extLst>
            <a:ext uri="{FF2B5EF4-FFF2-40B4-BE49-F238E27FC236}">
              <a16:creationId xmlns:a16="http://schemas.microsoft.com/office/drawing/2014/main" id="{16B73051-84E6-4471-8E68-333EC58DCF50}"/>
            </a:ext>
          </a:extLst>
        </xdr:cNvPr>
        <xdr:cNvGrpSpPr>
          <a:grpSpLocks/>
        </xdr:cNvGrpSpPr>
      </xdr:nvGrpSpPr>
      <xdr:grpSpPr bwMode="auto">
        <a:xfrm>
          <a:off x="1028700" y="5610225"/>
          <a:ext cx="1000125" cy="304800"/>
          <a:chOff x="106" y="589"/>
          <a:chExt cx="105" cy="32"/>
        </a:xfrm>
      </xdr:grpSpPr>
      <xdr:grpSp>
        <xdr:nvGrpSpPr>
          <xdr:cNvPr id="1078" name="Group 54">
            <a:extLst>
              <a:ext uri="{FF2B5EF4-FFF2-40B4-BE49-F238E27FC236}">
                <a16:creationId xmlns:a16="http://schemas.microsoft.com/office/drawing/2014/main" id="{384D3549-F111-4924-AAF4-6A65A97BFBCA}"/>
              </a:ext>
            </a:extLst>
          </xdr:cNvPr>
          <xdr:cNvGrpSpPr>
            <a:grpSpLocks/>
          </xdr:cNvGrpSpPr>
        </xdr:nvGrpSpPr>
        <xdr:grpSpPr bwMode="auto">
          <a:xfrm>
            <a:off x="106" y="589"/>
            <a:ext cx="105" cy="19"/>
            <a:chOff x="123" y="589"/>
            <a:chExt cx="105" cy="19"/>
          </a:xfrm>
        </xdr:grpSpPr>
        <xdr:sp macro="" textlink="">
          <xdr:nvSpPr>
            <xdr:cNvPr id="1079" name="Line 55">
              <a:extLst>
                <a:ext uri="{FF2B5EF4-FFF2-40B4-BE49-F238E27FC236}">
                  <a16:creationId xmlns:a16="http://schemas.microsoft.com/office/drawing/2014/main" id="{7583C6D7-21C3-4C3F-A9A2-F2F0DC4FEC3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3" y="605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80" name="Freeform 56">
              <a:extLst>
                <a:ext uri="{FF2B5EF4-FFF2-40B4-BE49-F238E27FC236}">
                  <a16:creationId xmlns:a16="http://schemas.microsoft.com/office/drawing/2014/main" id="{AAB90B88-DA89-4166-812F-D96987C55ABA}"/>
                </a:ext>
              </a:extLst>
            </xdr:cNvPr>
            <xdr:cNvSpPr>
              <a:spLocks/>
            </xdr:cNvSpPr>
          </xdr:nvSpPr>
          <xdr:spPr bwMode="auto">
            <a:xfrm>
              <a:off x="221" y="602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81" name="Freeform 57">
              <a:extLst>
                <a:ext uri="{FF2B5EF4-FFF2-40B4-BE49-F238E27FC236}">
                  <a16:creationId xmlns:a16="http://schemas.microsoft.com/office/drawing/2014/main" id="{87CCA9BE-D4B2-4903-8DD3-48949F2CDB30}"/>
                </a:ext>
              </a:extLst>
            </xdr:cNvPr>
            <xdr:cNvSpPr>
              <a:spLocks/>
            </xdr:cNvSpPr>
          </xdr:nvSpPr>
          <xdr:spPr bwMode="auto">
            <a:xfrm>
              <a:off x="147" y="597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82" name="Line 58">
              <a:extLst>
                <a:ext uri="{FF2B5EF4-FFF2-40B4-BE49-F238E27FC236}">
                  <a16:creationId xmlns:a16="http://schemas.microsoft.com/office/drawing/2014/main" id="{BAD3F872-A4AC-4788-B19D-D1320FAEE51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54" y="589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83" name="Freeform 59">
              <a:extLst>
                <a:ext uri="{FF2B5EF4-FFF2-40B4-BE49-F238E27FC236}">
                  <a16:creationId xmlns:a16="http://schemas.microsoft.com/office/drawing/2014/main" id="{1ADB5936-2F0E-41D4-BD99-B8A12E506C0E}"/>
                </a:ext>
              </a:extLst>
            </xdr:cNvPr>
            <xdr:cNvSpPr>
              <a:spLocks/>
            </xdr:cNvSpPr>
          </xdr:nvSpPr>
          <xdr:spPr bwMode="auto">
            <a:xfrm>
              <a:off x="150" y="589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084" name="Group 60">
            <a:extLst>
              <a:ext uri="{FF2B5EF4-FFF2-40B4-BE49-F238E27FC236}">
                <a16:creationId xmlns:a16="http://schemas.microsoft.com/office/drawing/2014/main" id="{B1292CC8-8964-4474-AF2F-CAD9D2E5C6C6}"/>
              </a:ext>
            </a:extLst>
          </xdr:cNvPr>
          <xdr:cNvGrpSpPr>
            <a:grpSpLocks/>
          </xdr:cNvGrpSpPr>
        </xdr:nvGrpSpPr>
        <xdr:grpSpPr bwMode="auto">
          <a:xfrm flipH="1">
            <a:off x="140" y="605"/>
            <a:ext cx="12" cy="16"/>
            <a:chOff x="181" y="640"/>
            <a:chExt cx="12" cy="16"/>
          </a:xfrm>
        </xdr:grpSpPr>
        <xdr:sp macro="" textlink="">
          <xdr:nvSpPr>
            <xdr:cNvPr id="1085" name="Freeform 61">
              <a:extLst>
                <a:ext uri="{FF2B5EF4-FFF2-40B4-BE49-F238E27FC236}">
                  <a16:creationId xmlns:a16="http://schemas.microsoft.com/office/drawing/2014/main" id="{D477BE5C-0D02-4853-B3D5-9482714DC35D}"/>
                </a:ext>
              </a:extLst>
            </xdr:cNvPr>
            <xdr:cNvSpPr>
              <a:spLocks/>
            </xdr:cNvSpPr>
          </xdr:nvSpPr>
          <xdr:spPr bwMode="auto">
            <a:xfrm flipH="1">
              <a:off x="185" y="640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86" name="Line 62">
              <a:extLst>
                <a:ext uri="{FF2B5EF4-FFF2-40B4-BE49-F238E27FC236}">
                  <a16:creationId xmlns:a16="http://schemas.microsoft.com/office/drawing/2014/main" id="{358FB0CA-49FF-427A-BB9C-B14109C48D8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85" y="648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87" name="Freeform 63">
              <a:extLst>
                <a:ext uri="{FF2B5EF4-FFF2-40B4-BE49-F238E27FC236}">
                  <a16:creationId xmlns:a16="http://schemas.microsoft.com/office/drawing/2014/main" id="{51040730-EABD-4A11-BB60-F923D743DAC5}"/>
                </a:ext>
              </a:extLst>
            </xdr:cNvPr>
            <xdr:cNvSpPr>
              <a:spLocks/>
            </xdr:cNvSpPr>
          </xdr:nvSpPr>
          <xdr:spPr bwMode="auto">
            <a:xfrm flipH="1">
              <a:off x="181" y="649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4</xdr:col>
      <xdr:colOff>219075</xdr:colOff>
      <xdr:row>15</xdr:row>
      <xdr:rowOff>1257300</xdr:rowOff>
    </xdr:from>
    <xdr:to>
      <xdr:col>7</xdr:col>
      <xdr:colOff>9525</xdr:colOff>
      <xdr:row>15</xdr:row>
      <xdr:rowOff>1314450</xdr:rowOff>
    </xdr:to>
    <xdr:grpSp>
      <xdr:nvGrpSpPr>
        <xdr:cNvPr id="1088" name="Group 64">
          <a:extLst>
            <a:ext uri="{FF2B5EF4-FFF2-40B4-BE49-F238E27FC236}">
              <a16:creationId xmlns:a16="http://schemas.microsoft.com/office/drawing/2014/main" id="{B88089D3-E54D-42FD-9FDA-89D4623FB066}"/>
            </a:ext>
          </a:extLst>
        </xdr:cNvPr>
        <xdr:cNvGrpSpPr>
          <a:grpSpLocks/>
        </xdr:cNvGrpSpPr>
      </xdr:nvGrpSpPr>
      <xdr:grpSpPr bwMode="auto">
        <a:xfrm>
          <a:off x="1095375" y="6372225"/>
          <a:ext cx="733425" cy="57150"/>
          <a:chOff x="123" y="549"/>
          <a:chExt cx="77" cy="6"/>
        </a:xfrm>
      </xdr:grpSpPr>
      <xdr:sp macro="" textlink="">
        <xdr:nvSpPr>
          <xdr:cNvPr id="1089" name="Line 65">
            <a:extLst>
              <a:ext uri="{FF2B5EF4-FFF2-40B4-BE49-F238E27FC236}">
                <a16:creationId xmlns:a16="http://schemas.microsoft.com/office/drawing/2014/main" id="{0E490FF2-28D9-4D39-9C0A-BB8E9E4D9DAF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0" name="Freeform 66">
            <a:extLst>
              <a:ext uri="{FF2B5EF4-FFF2-40B4-BE49-F238E27FC236}">
                <a16:creationId xmlns:a16="http://schemas.microsoft.com/office/drawing/2014/main" id="{68B6CC96-BBD1-4D6B-9ADD-A30E193B2DA7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1" name="Freeform 67">
            <a:extLst>
              <a:ext uri="{FF2B5EF4-FFF2-40B4-BE49-F238E27FC236}">
                <a16:creationId xmlns:a16="http://schemas.microsoft.com/office/drawing/2014/main" id="{9B357D91-7705-4386-976D-1A9983586454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17</xdr:row>
      <xdr:rowOff>57150</xdr:rowOff>
    </xdr:from>
    <xdr:to>
      <xdr:col>9</xdr:col>
      <xdr:colOff>304800</xdr:colOff>
      <xdr:row>17</xdr:row>
      <xdr:rowOff>200025</xdr:rowOff>
    </xdr:to>
    <xdr:sp macro="" textlink="">
      <xdr:nvSpPr>
        <xdr:cNvPr id="1092" name="Freeform 68">
          <a:extLst>
            <a:ext uri="{FF2B5EF4-FFF2-40B4-BE49-F238E27FC236}">
              <a16:creationId xmlns:a16="http://schemas.microsoft.com/office/drawing/2014/main" id="{87144A8B-8239-41C3-B93F-F52B092C3B63}"/>
            </a:ext>
          </a:extLst>
        </xdr:cNvPr>
        <xdr:cNvSpPr>
          <a:spLocks/>
        </xdr:cNvSpPr>
      </xdr:nvSpPr>
      <xdr:spPr bwMode="auto">
        <a:xfrm>
          <a:off x="2457450" y="6981825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17</xdr:row>
      <xdr:rowOff>95250</xdr:rowOff>
    </xdr:from>
    <xdr:to>
      <xdr:col>9</xdr:col>
      <xdr:colOff>9525</xdr:colOff>
      <xdr:row>17</xdr:row>
      <xdr:rowOff>142875</xdr:rowOff>
    </xdr:to>
    <xdr:grpSp>
      <xdr:nvGrpSpPr>
        <xdr:cNvPr id="1093" name="Group 69">
          <a:extLst>
            <a:ext uri="{FF2B5EF4-FFF2-40B4-BE49-F238E27FC236}">
              <a16:creationId xmlns:a16="http://schemas.microsoft.com/office/drawing/2014/main" id="{5D543ABE-71EA-47AF-9B4D-A6FB5DF4FDCF}"/>
            </a:ext>
          </a:extLst>
        </xdr:cNvPr>
        <xdr:cNvGrpSpPr>
          <a:grpSpLocks/>
        </xdr:cNvGrpSpPr>
      </xdr:nvGrpSpPr>
      <xdr:grpSpPr bwMode="auto">
        <a:xfrm>
          <a:off x="2133600" y="7019925"/>
          <a:ext cx="323850" cy="47625"/>
          <a:chOff x="158" y="715"/>
          <a:chExt cx="33" cy="5"/>
        </a:xfrm>
      </xdr:grpSpPr>
      <xdr:sp macro="" textlink="">
        <xdr:nvSpPr>
          <xdr:cNvPr id="1094" name="Line 70">
            <a:extLst>
              <a:ext uri="{FF2B5EF4-FFF2-40B4-BE49-F238E27FC236}">
                <a16:creationId xmlns:a16="http://schemas.microsoft.com/office/drawing/2014/main" id="{0F6C5AF6-B536-4A1E-8F2A-7BEDDD9D414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5" name="Line 71">
            <a:extLst>
              <a:ext uri="{FF2B5EF4-FFF2-40B4-BE49-F238E27FC236}">
                <a16:creationId xmlns:a16="http://schemas.microsoft.com/office/drawing/2014/main" id="{224C2524-123B-4030-B803-BD8B0E0D252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19050</xdr:colOff>
      <xdr:row>18</xdr:row>
      <xdr:rowOff>38100</xdr:rowOff>
    </xdr:from>
    <xdr:to>
      <xdr:col>8</xdr:col>
      <xdr:colOff>295275</xdr:colOff>
      <xdr:row>18</xdr:row>
      <xdr:rowOff>209550</xdr:rowOff>
    </xdr:to>
    <xdr:grpSp>
      <xdr:nvGrpSpPr>
        <xdr:cNvPr id="1096" name="Group 72">
          <a:extLst>
            <a:ext uri="{FF2B5EF4-FFF2-40B4-BE49-F238E27FC236}">
              <a16:creationId xmlns:a16="http://schemas.microsoft.com/office/drawing/2014/main" id="{1B1BC2A4-0F3C-4BC2-949B-79694C760782}"/>
            </a:ext>
          </a:extLst>
        </xdr:cNvPr>
        <xdr:cNvGrpSpPr>
          <a:grpSpLocks/>
        </xdr:cNvGrpSpPr>
      </xdr:nvGrpSpPr>
      <xdr:grpSpPr bwMode="auto">
        <a:xfrm>
          <a:off x="2152650" y="7191375"/>
          <a:ext cx="276225" cy="171450"/>
          <a:chOff x="226" y="755"/>
          <a:chExt cx="29" cy="18"/>
        </a:xfrm>
      </xdr:grpSpPr>
      <xdr:sp macro="" textlink="">
        <xdr:nvSpPr>
          <xdr:cNvPr id="1097" name="Oval 73">
            <a:extLst>
              <a:ext uri="{FF2B5EF4-FFF2-40B4-BE49-F238E27FC236}">
                <a16:creationId xmlns:a16="http://schemas.microsoft.com/office/drawing/2014/main" id="{2E409913-D7A5-4A01-B403-EDD247973DF9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8" name="Line 74">
            <a:extLst>
              <a:ext uri="{FF2B5EF4-FFF2-40B4-BE49-F238E27FC236}">
                <a16:creationId xmlns:a16="http://schemas.microsoft.com/office/drawing/2014/main" id="{16180CEB-676F-4F98-83CC-5BBE6EF5FF88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9" name="Freeform 75">
            <a:extLst>
              <a:ext uri="{FF2B5EF4-FFF2-40B4-BE49-F238E27FC236}">
                <a16:creationId xmlns:a16="http://schemas.microsoft.com/office/drawing/2014/main" id="{5B92C9C5-91D8-41E0-90FE-D705223FEB17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208 h 208"/>
              <a:gd name="T2" fmla="*/ 268 w 268"/>
              <a:gd name="T3" fmla="*/ 107 h 208"/>
              <a:gd name="T4" fmla="*/ 0 w 268"/>
              <a:gd name="T5" fmla="*/ 0 h 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 editAs="oneCell">
    <xdr:from>
      <xdr:col>6</xdr:col>
      <xdr:colOff>114300</xdr:colOff>
      <xdr:row>3</xdr:row>
      <xdr:rowOff>28575</xdr:rowOff>
    </xdr:from>
    <xdr:to>
      <xdr:col>18</xdr:col>
      <xdr:colOff>238125</xdr:colOff>
      <xdr:row>11</xdr:row>
      <xdr:rowOff>104775</xdr:rowOff>
    </xdr:to>
    <xdr:pic>
      <xdr:nvPicPr>
        <xdr:cNvPr id="1100" name="Picture 76">
          <a:extLst>
            <a:ext uri="{FF2B5EF4-FFF2-40B4-BE49-F238E27FC236}">
              <a16:creationId xmlns:a16="http://schemas.microsoft.com/office/drawing/2014/main" id="{27BC534D-6B81-4CAD-9D5B-52C8771F5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0" y="752475"/>
          <a:ext cx="3895725" cy="355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76200</xdr:colOff>
      <xdr:row>11</xdr:row>
      <xdr:rowOff>152400</xdr:rowOff>
    </xdr:from>
    <xdr:to>
      <xdr:col>6</xdr:col>
      <xdr:colOff>200025</xdr:colOff>
      <xdr:row>14</xdr:row>
      <xdr:rowOff>47625</xdr:rowOff>
    </xdr:to>
    <xdr:sp macro="" textlink="">
      <xdr:nvSpPr>
        <xdr:cNvPr id="1101" name="Text Box 77">
          <a:extLst>
            <a:ext uri="{FF2B5EF4-FFF2-40B4-BE49-F238E27FC236}">
              <a16:creationId xmlns:a16="http://schemas.microsoft.com/office/drawing/2014/main" id="{C28E305C-979C-450C-8D30-37E2454838F7}"/>
            </a:ext>
          </a:extLst>
        </xdr:cNvPr>
        <xdr:cNvSpPr txBox="1">
          <a:spLocks noChangeArrowheads="1"/>
        </xdr:cNvSpPr>
      </xdr:nvSpPr>
      <xdr:spPr bwMode="auto">
        <a:xfrm>
          <a:off x="76200" y="4352925"/>
          <a:ext cx="1628775" cy="581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</xdr:col>
      <xdr:colOff>66675</xdr:colOff>
      <xdr:row>15</xdr:row>
      <xdr:rowOff>152400</xdr:rowOff>
    </xdr:from>
    <xdr:to>
      <xdr:col>6</xdr:col>
      <xdr:colOff>104775</xdr:colOff>
      <xdr:row>15</xdr:row>
      <xdr:rowOff>314325</xdr:rowOff>
    </xdr:to>
    <xdr:sp macro="" textlink="">
      <xdr:nvSpPr>
        <xdr:cNvPr id="1102" name="Text Box 78">
          <a:extLst>
            <a:ext uri="{FF2B5EF4-FFF2-40B4-BE49-F238E27FC236}">
              <a16:creationId xmlns:a16="http://schemas.microsoft.com/office/drawing/2014/main" id="{41F88894-816F-4FE5-B166-0D0CC428EDD3}"/>
            </a:ext>
          </a:extLst>
        </xdr:cNvPr>
        <xdr:cNvSpPr txBox="1">
          <a:spLocks noChangeArrowheads="1"/>
        </xdr:cNvSpPr>
      </xdr:nvSpPr>
      <xdr:spPr bwMode="auto">
        <a:xfrm>
          <a:off x="1257300" y="52673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16.8m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</xdr:txBody>
    </xdr:sp>
    <xdr:clientData/>
  </xdr:twoCellAnchor>
  <xdr:twoCellAnchor>
    <xdr:from>
      <xdr:col>14</xdr:col>
      <xdr:colOff>161925</xdr:colOff>
      <xdr:row>15</xdr:row>
      <xdr:rowOff>1171575</xdr:rowOff>
    </xdr:from>
    <xdr:to>
      <xdr:col>15</xdr:col>
      <xdr:colOff>200025</xdr:colOff>
      <xdr:row>15</xdr:row>
      <xdr:rowOff>1333500</xdr:rowOff>
    </xdr:to>
    <xdr:sp macro="" textlink="">
      <xdr:nvSpPr>
        <xdr:cNvPr id="1103" name="Text Box 79">
          <a:extLst>
            <a:ext uri="{FF2B5EF4-FFF2-40B4-BE49-F238E27FC236}">
              <a16:creationId xmlns:a16="http://schemas.microsoft.com/office/drawing/2014/main" id="{8BB17B50-DA5C-4656-9F48-CA2D94452BF7}"/>
            </a:ext>
          </a:extLst>
        </xdr:cNvPr>
        <xdr:cNvSpPr txBox="1">
          <a:spLocks noChangeArrowheads="1"/>
        </xdr:cNvSpPr>
      </xdr:nvSpPr>
      <xdr:spPr bwMode="auto">
        <a:xfrm>
          <a:off x="4181475" y="62865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16.5m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</xdr:txBody>
    </xdr:sp>
    <xdr:clientData/>
  </xdr:twoCellAnchor>
  <xdr:twoCellAnchor editAs="oneCell">
    <xdr:from>
      <xdr:col>20</xdr:col>
      <xdr:colOff>219075</xdr:colOff>
      <xdr:row>2</xdr:row>
      <xdr:rowOff>104775</xdr:rowOff>
    </xdr:from>
    <xdr:to>
      <xdr:col>22</xdr:col>
      <xdr:colOff>285750</xdr:colOff>
      <xdr:row>5</xdr:row>
      <xdr:rowOff>114300</xdr:rowOff>
    </xdr:to>
    <xdr:pic>
      <xdr:nvPicPr>
        <xdr:cNvPr id="1104" name="Picture 80">
          <a:extLst>
            <a:ext uri="{FF2B5EF4-FFF2-40B4-BE49-F238E27FC236}">
              <a16:creationId xmlns:a16="http://schemas.microsoft.com/office/drawing/2014/main" id="{4B8605BB-CDF6-46AD-91B9-68AD96B8C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5" y="600075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123825</xdr:colOff>
      <xdr:row>15</xdr:row>
      <xdr:rowOff>266700</xdr:rowOff>
    </xdr:from>
    <xdr:to>
      <xdr:col>13</xdr:col>
      <xdr:colOff>114300</xdr:colOff>
      <xdr:row>15</xdr:row>
      <xdr:rowOff>1276350</xdr:rowOff>
    </xdr:to>
    <xdr:grpSp>
      <xdr:nvGrpSpPr>
        <xdr:cNvPr id="1105" name="Group 81">
          <a:extLst>
            <a:ext uri="{FF2B5EF4-FFF2-40B4-BE49-F238E27FC236}">
              <a16:creationId xmlns:a16="http://schemas.microsoft.com/office/drawing/2014/main" id="{23B0253B-EFC5-4651-9E60-D2E33D6EDFEB}"/>
            </a:ext>
          </a:extLst>
        </xdr:cNvPr>
        <xdr:cNvGrpSpPr>
          <a:grpSpLocks/>
        </xdr:cNvGrpSpPr>
      </xdr:nvGrpSpPr>
      <xdr:grpSpPr bwMode="auto">
        <a:xfrm>
          <a:off x="3514725" y="5381625"/>
          <a:ext cx="304800" cy="1009650"/>
          <a:chOff x="369" y="565"/>
          <a:chExt cx="32" cy="106"/>
        </a:xfrm>
      </xdr:grpSpPr>
      <xdr:sp macro="" textlink="">
        <xdr:nvSpPr>
          <xdr:cNvPr id="1106" name="Line 82">
            <a:extLst>
              <a:ext uri="{FF2B5EF4-FFF2-40B4-BE49-F238E27FC236}">
                <a16:creationId xmlns:a16="http://schemas.microsoft.com/office/drawing/2014/main" id="{EE7141DC-EC36-4366-9A93-1C4D7C25B67A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33" y="619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7" name="Freeform 83">
            <a:extLst>
              <a:ext uri="{FF2B5EF4-FFF2-40B4-BE49-F238E27FC236}">
                <a16:creationId xmlns:a16="http://schemas.microsoft.com/office/drawing/2014/main" id="{1138B371-BB07-4F64-80BC-0178C382246A}"/>
              </a:ext>
            </a:extLst>
          </xdr:cNvPr>
          <xdr:cNvSpPr>
            <a:spLocks/>
          </xdr:cNvSpPr>
        </xdr:nvSpPr>
        <xdr:spPr bwMode="auto">
          <a:xfrm rot="-5400000">
            <a:off x="381" y="566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8" name="Freeform 84">
            <a:extLst>
              <a:ext uri="{FF2B5EF4-FFF2-40B4-BE49-F238E27FC236}">
                <a16:creationId xmlns:a16="http://schemas.microsoft.com/office/drawing/2014/main" id="{8A12A31F-7B75-490A-AEA2-058F83411512}"/>
              </a:ext>
            </a:extLst>
          </xdr:cNvPr>
          <xdr:cNvSpPr>
            <a:spLocks/>
          </xdr:cNvSpPr>
        </xdr:nvSpPr>
        <xdr:spPr bwMode="auto">
          <a:xfrm rot="-5400000">
            <a:off x="377" y="639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9" name="Line 85">
            <a:extLst>
              <a:ext uri="{FF2B5EF4-FFF2-40B4-BE49-F238E27FC236}">
                <a16:creationId xmlns:a16="http://schemas.microsoft.com/office/drawing/2014/main" id="{246578BD-1125-48ED-87BB-7AFC88B59CF5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73" y="63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0" name="Freeform 86">
            <a:extLst>
              <a:ext uri="{FF2B5EF4-FFF2-40B4-BE49-F238E27FC236}">
                <a16:creationId xmlns:a16="http://schemas.microsoft.com/office/drawing/2014/main" id="{DD3D9B6E-636A-4F81-BE8F-736B486439A0}"/>
              </a:ext>
            </a:extLst>
          </xdr:cNvPr>
          <xdr:cNvSpPr>
            <a:spLocks/>
          </xdr:cNvSpPr>
        </xdr:nvSpPr>
        <xdr:spPr bwMode="auto">
          <a:xfrm rot="-5400000">
            <a:off x="369" y="635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1" name="Freeform 87">
            <a:extLst>
              <a:ext uri="{FF2B5EF4-FFF2-40B4-BE49-F238E27FC236}">
                <a16:creationId xmlns:a16="http://schemas.microsoft.com/office/drawing/2014/main" id="{311AA74A-78B4-4F68-97E6-4C5C70E8512F}"/>
              </a:ext>
            </a:extLst>
          </xdr:cNvPr>
          <xdr:cNvSpPr>
            <a:spLocks/>
          </xdr:cNvSpPr>
        </xdr:nvSpPr>
        <xdr:spPr bwMode="auto">
          <a:xfrm rot="-5400000">
            <a:off x="385" y="628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2" name="Line 88">
            <a:extLst>
              <a:ext uri="{FF2B5EF4-FFF2-40B4-BE49-F238E27FC236}">
                <a16:creationId xmlns:a16="http://schemas.microsoft.com/office/drawing/2014/main" id="{49F4E0B7-D45E-487D-899F-AD03C2A7C4B3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96" y="62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3" name="Freeform 89">
            <a:extLst>
              <a:ext uri="{FF2B5EF4-FFF2-40B4-BE49-F238E27FC236}">
                <a16:creationId xmlns:a16="http://schemas.microsoft.com/office/drawing/2014/main" id="{31CBC82E-40C7-4CE8-9E83-75CE4C900A63}"/>
              </a:ext>
            </a:extLst>
          </xdr:cNvPr>
          <xdr:cNvSpPr>
            <a:spLocks/>
          </xdr:cNvSpPr>
        </xdr:nvSpPr>
        <xdr:spPr bwMode="auto">
          <a:xfrm rot="-5400000">
            <a:off x="394" y="624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285750</xdr:colOff>
      <xdr:row>15</xdr:row>
      <xdr:rowOff>381000</xdr:rowOff>
    </xdr:from>
    <xdr:to>
      <xdr:col>15</xdr:col>
      <xdr:colOff>28575</xdr:colOff>
      <xdr:row>15</xdr:row>
      <xdr:rowOff>1143000</xdr:rowOff>
    </xdr:to>
    <xdr:grpSp>
      <xdr:nvGrpSpPr>
        <xdr:cNvPr id="1114" name="Group 90">
          <a:extLst>
            <a:ext uri="{FF2B5EF4-FFF2-40B4-BE49-F238E27FC236}">
              <a16:creationId xmlns:a16="http://schemas.microsoft.com/office/drawing/2014/main" id="{9FF3E5AF-B905-4153-9F91-8D766B9F02AB}"/>
            </a:ext>
          </a:extLst>
        </xdr:cNvPr>
        <xdr:cNvGrpSpPr>
          <a:grpSpLocks/>
        </xdr:cNvGrpSpPr>
      </xdr:nvGrpSpPr>
      <xdr:grpSpPr bwMode="auto">
        <a:xfrm>
          <a:off x="4305300" y="5495925"/>
          <a:ext cx="57150" cy="762000"/>
          <a:chOff x="221" y="577"/>
          <a:chExt cx="6" cy="80"/>
        </a:xfrm>
      </xdr:grpSpPr>
      <xdr:sp macro="" textlink="">
        <xdr:nvSpPr>
          <xdr:cNvPr id="1115" name="Line 91">
            <a:extLst>
              <a:ext uri="{FF2B5EF4-FFF2-40B4-BE49-F238E27FC236}">
                <a16:creationId xmlns:a16="http://schemas.microsoft.com/office/drawing/2014/main" id="{23DAFF48-34DB-4A62-9A9F-8D998885808E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90" y="617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6" name="Freeform 92">
            <a:extLst>
              <a:ext uri="{FF2B5EF4-FFF2-40B4-BE49-F238E27FC236}">
                <a16:creationId xmlns:a16="http://schemas.microsoft.com/office/drawing/2014/main" id="{48A5C7FA-0058-4CA3-9C31-E1663BDD8BE7}"/>
              </a:ext>
            </a:extLst>
          </xdr:cNvPr>
          <xdr:cNvSpPr>
            <a:spLocks/>
          </xdr:cNvSpPr>
        </xdr:nvSpPr>
        <xdr:spPr bwMode="auto">
          <a:xfrm rot="5400000">
            <a:off x="220" y="651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7" name="Freeform 93">
            <a:extLst>
              <a:ext uri="{FF2B5EF4-FFF2-40B4-BE49-F238E27FC236}">
                <a16:creationId xmlns:a16="http://schemas.microsoft.com/office/drawing/2014/main" id="{FB6AE2EC-981F-4510-B066-BC97A1D7A5FF}"/>
              </a:ext>
            </a:extLst>
          </xdr:cNvPr>
          <xdr:cNvSpPr>
            <a:spLocks/>
          </xdr:cNvSpPr>
        </xdr:nvSpPr>
        <xdr:spPr bwMode="auto">
          <a:xfrm rot="-5400000">
            <a:off x="220" y="578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13</xdr:col>
      <xdr:colOff>200025</xdr:colOff>
      <xdr:row>15</xdr:row>
      <xdr:rowOff>276225</xdr:rowOff>
    </xdr:from>
    <xdr:to>
      <xdr:col>14</xdr:col>
      <xdr:colOff>190500</xdr:colOff>
      <xdr:row>15</xdr:row>
      <xdr:rowOff>1276350</xdr:rowOff>
    </xdr:to>
    <xdr:grpSp>
      <xdr:nvGrpSpPr>
        <xdr:cNvPr id="1118" name="Group 94">
          <a:extLst>
            <a:ext uri="{FF2B5EF4-FFF2-40B4-BE49-F238E27FC236}">
              <a16:creationId xmlns:a16="http://schemas.microsoft.com/office/drawing/2014/main" id="{B3EEC26A-828C-4553-A03E-1C06A5262A7E}"/>
            </a:ext>
          </a:extLst>
        </xdr:cNvPr>
        <xdr:cNvGrpSpPr>
          <a:grpSpLocks/>
        </xdr:cNvGrpSpPr>
      </xdr:nvGrpSpPr>
      <xdr:grpSpPr bwMode="auto">
        <a:xfrm>
          <a:off x="3905250" y="5391150"/>
          <a:ext cx="304800" cy="1000125"/>
          <a:chOff x="410" y="566"/>
          <a:chExt cx="32" cy="105"/>
        </a:xfrm>
      </xdr:grpSpPr>
      <xdr:sp macro="" textlink="">
        <xdr:nvSpPr>
          <xdr:cNvPr id="1119" name="Line 95">
            <a:extLst>
              <a:ext uri="{FF2B5EF4-FFF2-40B4-BE49-F238E27FC236}">
                <a16:creationId xmlns:a16="http://schemas.microsoft.com/office/drawing/2014/main" id="{00BCE9F1-939F-4F6C-9D83-9FA60A57EAE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374" y="618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0" name="Freeform 96">
            <a:extLst>
              <a:ext uri="{FF2B5EF4-FFF2-40B4-BE49-F238E27FC236}">
                <a16:creationId xmlns:a16="http://schemas.microsoft.com/office/drawing/2014/main" id="{8ACEE0E9-74FC-4B8B-866D-A0198AC1BBA5}"/>
              </a:ext>
            </a:extLst>
          </xdr:cNvPr>
          <xdr:cNvSpPr>
            <a:spLocks/>
          </xdr:cNvSpPr>
        </xdr:nvSpPr>
        <xdr:spPr bwMode="auto">
          <a:xfrm rot="5400000">
            <a:off x="422" y="665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1" name="Freeform 97">
            <a:extLst>
              <a:ext uri="{FF2B5EF4-FFF2-40B4-BE49-F238E27FC236}">
                <a16:creationId xmlns:a16="http://schemas.microsoft.com/office/drawing/2014/main" id="{5566B5B6-A68D-441B-922C-33CD69F90A54}"/>
              </a:ext>
            </a:extLst>
          </xdr:cNvPr>
          <xdr:cNvSpPr>
            <a:spLocks/>
          </xdr:cNvSpPr>
        </xdr:nvSpPr>
        <xdr:spPr bwMode="auto">
          <a:xfrm rot="5400000">
            <a:off x="426" y="590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2" name="Line 98">
            <a:extLst>
              <a:ext uri="{FF2B5EF4-FFF2-40B4-BE49-F238E27FC236}">
                <a16:creationId xmlns:a16="http://schemas.microsoft.com/office/drawing/2014/main" id="{BF02E6D1-A135-422C-AA07-26EB05D84CA7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8" y="59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3" name="Freeform 99">
            <a:extLst>
              <a:ext uri="{FF2B5EF4-FFF2-40B4-BE49-F238E27FC236}">
                <a16:creationId xmlns:a16="http://schemas.microsoft.com/office/drawing/2014/main" id="{68E066CB-7609-44DB-90CC-479D44D2DA2B}"/>
              </a:ext>
            </a:extLst>
          </xdr:cNvPr>
          <xdr:cNvSpPr>
            <a:spLocks/>
          </xdr:cNvSpPr>
        </xdr:nvSpPr>
        <xdr:spPr bwMode="auto">
          <a:xfrm rot="5400000">
            <a:off x="435" y="593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4" name="Freeform 100">
            <a:extLst>
              <a:ext uri="{FF2B5EF4-FFF2-40B4-BE49-F238E27FC236}">
                <a16:creationId xmlns:a16="http://schemas.microsoft.com/office/drawing/2014/main" id="{388DD26A-B810-41E4-BAB3-E96BBD43D6E7}"/>
              </a:ext>
            </a:extLst>
          </xdr:cNvPr>
          <xdr:cNvSpPr>
            <a:spLocks/>
          </xdr:cNvSpPr>
        </xdr:nvSpPr>
        <xdr:spPr bwMode="auto">
          <a:xfrm rot="5400000">
            <a:off x="419" y="601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5" name="Line 101">
            <a:extLst>
              <a:ext uri="{FF2B5EF4-FFF2-40B4-BE49-F238E27FC236}">
                <a16:creationId xmlns:a16="http://schemas.microsoft.com/office/drawing/2014/main" id="{4D54CDB5-C1D8-4385-8A3A-1DD38B200B14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16" y="60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6" name="Freeform 102">
            <a:extLst>
              <a:ext uri="{FF2B5EF4-FFF2-40B4-BE49-F238E27FC236}">
                <a16:creationId xmlns:a16="http://schemas.microsoft.com/office/drawing/2014/main" id="{C9FBE9F4-B511-44D1-B8A3-3C591D5BB52F}"/>
              </a:ext>
            </a:extLst>
          </xdr:cNvPr>
          <xdr:cNvSpPr>
            <a:spLocks/>
          </xdr:cNvSpPr>
        </xdr:nvSpPr>
        <xdr:spPr bwMode="auto">
          <a:xfrm rot="5400000">
            <a:off x="410" y="605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285750</xdr:colOff>
      <xdr:row>15</xdr:row>
      <xdr:rowOff>381000</xdr:rowOff>
    </xdr:from>
    <xdr:to>
      <xdr:col>12</xdr:col>
      <xdr:colOff>28575</xdr:colOff>
      <xdr:row>15</xdr:row>
      <xdr:rowOff>1133475</xdr:rowOff>
    </xdr:to>
    <xdr:grpSp>
      <xdr:nvGrpSpPr>
        <xdr:cNvPr id="1127" name="Group 103">
          <a:extLst>
            <a:ext uri="{FF2B5EF4-FFF2-40B4-BE49-F238E27FC236}">
              <a16:creationId xmlns:a16="http://schemas.microsoft.com/office/drawing/2014/main" id="{2140F8A0-C66C-446C-A7AF-47E4A8A68201}"/>
            </a:ext>
          </a:extLst>
        </xdr:cNvPr>
        <xdr:cNvGrpSpPr>
          <a:grpSpLocks/>
        </xdr:cNvGrpSpPr>
      </xdr:nvGrpSpPr>
      <xdr:grpSpPr bwMode="auto">
        <a:xfrm>
          <a:off x="3362325" y="5495925"/>
          <a:ext cx="57150" cy="752475"/>
          <a:chOff x="122" y="577"/>
          <a:chExt cx="6" cy="79"/>
        </a:xfrm>
      </xdr:grpSpPr>
      <xdr:sp macro="" textlink="">
        <xdr:nvSpPr>
          <xdr:cNvPr id="1128" name="Line 104">
            <a:extLst>
              <a:ext uri="{FF2B5EF4-FFF2-40B4-BE49-F238E27FC236}">
                <a16:creationId xmlns:a16="http://schemas.microsoft.com/office/drawing/2014/main" id="{86CE50BC-CBB8-4620-8518-38F608D61A0D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91" y="617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9" name="Freeform 105">
            <a:extLst>
              <a:ext uri="{FF2B5EF4-FFF2-40B4-BE49-F238E27FC236}">
                <a16:creationId xmlns:a16="http://schemas.microsoft.com/office/drawing/2014/main" id="{162FD3F9-80F5-4F19-82E9-C6E22C7B8BEE}"/>
              </a:ext>
            </a:extLst>
          </xdr:cNvPr>
          <xdr:cNvSpPr>
            <a:spLocks/>
          </xdr:cNvSpPr>
        </xdr:nvSpPr>
        <xdr:spPr bwMode="auto">
          <a:xfrm rot="5400000">
            <a:off x="121" y="65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0" name="Freeform 106">
            <a:extLst>
              <a:ext uri="{FF2B5EF4-FFF2-40B4-BE49-F238E27FC236}">
                <a16:creationId xmlns:a16="http://schemas.microsoft.com/office/drawing/2014/main" id="{1765FC8C-F43F-4CB3-B9F7-29D3AA0ADD2E}"/>
              </a:ext>
            </a:extLst>
          </xdr:cNvPr>
          <xdr:cNvSpPr>
            <a:spLocks/>
          </xdr:cNvSpPr>
        </xdr:nvSpPr>
        <xdr:spPr bwMode="auto">
          <a:xfrm rot="-5400000">
            <a:off x="121" y="578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8</xdr:col>
      <xdr:colOff>180975</xdr:colOff>
      <xdr:row>15</xdr:row>
      <xdr:rowOff>638175</xdr:rowOff>
    </xdr:from>
    <xdr:to>
      <xdr:col>9</xdr:col>
      <xdr:colOff>133350</xdr:colOff>
      <xdr:row>15</xdr:row>
      <xdr:rowOff>790575</xdr:rowOff>
    </xdr:to>
    <xdr:grpSp>
      <xdr:nvGrpSpPr>
        <xdr:cNvPr id="1131" name="Group 107">
          <a:extLst>
            <a:ext uri="{FF2B5EF4-FFF2-40B4-BE49-F238E27FC236}">
              <a16:creationId xmlns:a16="http://schemas.microsoft.com/office/drawing/2014/main" id="{3BB8ECFA-3192-4C51-A9C6-FFC0CF3ABE08}"/>
            </a:ext>
          </a:extLst>
        </xdr:cNvPr>
        <xdr:cNvGrpSpPr>
          <a:grpSpLocks/>
        </xdr:cNvGrpSpPr>
      </xdr:nvGrpSpPr>
      <xdr:grpSpPr bwMode="auto">
        <a:xfrm>
          <a:off x="2314575" y="5753100"/>
          <a:ext cx="266700" cy="152400"/>
          <a:chOff x="248" y="601"/>
          <a:chExt cx="28" cy="16"/>
        </a:xfrm>
      </xdr:grpSpPr>
      <xdr:sp macro="" textlink="">
        <xdr:nvSpPr>
          <xdr:cNvPr id="1132" name="Line 108">
            <a:extLst>
              <a:ext uri="{FF2B5EF4-FFF2-40B4-BE49-F238E27FC236}">
                <a16:creationId xmlns:a16="http://schemas.microsoft.com/office/drawing/2014/main" id="{DF98B7D0-834D-478B-A703-5BB25B8A0759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3" name="Freeform 109">
            <a:extLst>
              <a:ext uri="{FF2B5EF4-FFF2-40B4-BE49-F238E27FC236}">
                <a16:creationId xmlns:a16="http://schemas.microsoft.com/office/drawing/2014/main" id="{9D054231-EA52-4787-9775-8E650C000874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2 w 193"/>
              <a:gd name="T1" fmla="*/ 0 h 199"/>
              <a:gd name="T2" fmla="*/ 7 w 193"/>
              <a:gd name="T3" fmla="*/ 1 h 199"/>
              <a:gd name="T4" fmla="*/ 12 w 193"/>
              <a:gd name="T5" fmla="*/ 1 h 199"/>
              <a:gd name="T6" fmla="*/ 17 w 193"/>
              <a:gd name="T7" fmla="*/ 2 h 199"/>
              <a:gd name="T8" fmla="*/ 22 w 193"/>
              <a:gd name="T9" fmla="*/ 2 h 199"/>
              <a:gd name="T10" fmla="*/ 27 w 193"/>
              <a:gd name="T11" fmla="*/ 3 h 199"/>
              <a:gd name="T12" fmla="*/ 32 w 193"/>
              <a:gd name="T13" fmla="*/ 4 h 199"/>
              <a:gd name="T14" fmla="*/ 36 w 193"/>
              <a:gd name="T15" fmla="*/ 5 h 199"/>
              <a:gd name="T16" fmla="*/ 41 w 193"/>
              <a:gd name="T17" fmla="*/ 6 h 199"/>
              <a:gd name="T18" fmla="*/ 46 w 193"/>
              <a:gd name="T19" fmla="*/ 7 h 199"/>
              <a:gd name="T20" fmla="*/ 51 w 193"/>
              <a:gd name="T21" fmla="*/ 9 h 199"/>
              <a:gd name="T22" fmla="*/ 55 w 193"/>
              <a:gd name="T23" fmla="*/ 10 h 199"/>
              <a:gd name="T24" fmla="*/ 60 w 193"/>
              <a:gd name="T25" fmla="*/ 12 h 199"/>
              <a:gd name="T26" fmla="*/ 65 w 193"/>
              <a:gd name="T27" fmla="*/ 14 h 199"/>
              <a:gd name="T28" fmla="*/ 69 w 193"/>
              <a:gd name="T29" fmla="*/ 15 h 199"/>
              <a:gd name="T30" fmla="*/ 74 w 193"/>
              <a:gd name="T31" fmla="*/ 17 h 199"/>
              <a:gd name="T32" fmla="*/ 78 w 193"/>
              <a:gd name="T33" fmla="*/ 19 h 199"/>
              <a:gd name="T34" fmla="*/ 83 w 193"/>
              <a:gd name="T35" fmla="*/ 22 h 199"/>
              <a:gd name="T36" fmla="*/ 87 w 193"/>
              <a:gd name="T37" fmla="*/ 24 h 199"/>
              <a:gd name="T38" fmla="*/ 91 w 193"/>
              <a:gd name="T39" fmla="*/ 26 h 199"/>
              <a:gd name="T40" fmla="*/ 95 w 193"/>
              <a:gd name="T41" fmla="*/ 29 h 199"/>
              <a:gd name="T42" fmla="*/ 100 w 193"/>
              <a:gd name="T43" fmla="*/ 31 h 199"/>
              <a:gd name="T44" fmla="*/ 104 w 193"/>
              <a:gd name="T45" fmla="*/ 35 h 199"/>
              <a:gd name="T46" fmla="*/ 108 w 193"/>
              <a:gd name="T47" fmla="*/ 38 h 199"/>
              <a:gd name="T48" fmla="*/ 112 w 193"/>
              <a:gd name="T49" fmla="*/ 41 h 199"/>
              <a:gd name="T50" fmla="*/ 116 w 193"/>
              <a:gd name="T51" fmla="*/ 44 h 199"/>
              <a:gd name="T52" fmla="*/ 119 w 193"/>
              <a:gd name="T53" fmla="*/ 47 h 199"/>
              <a:gd name="T54" fmla="*/ 123 w 193"/>
              <a:gd name="T55" fmla="*/ 50 h 199"/>
              <a:gd name="T56" fmla="*/ 127 w 193"/>
              <a:gd name="T57" fmla="*/ 53 h 199"/>
              <a:gd name="T58" fmla="*/ 130 w 193"/>
              <a:gd name="T59" fmla="*/ 56 h 199"/>
              <a:gd name="T60" fmla="*/ 134 w 193"/>
              <a:gd name="T61" fmla="*/ 60 h 199"/>
              <a:gd name="T62" fmla="*/ 137 w 193"/>
              <a:gd name="T63" fmla="*/ 63 h 199"/>
              <a:gd name="T64" fmla="*/ 141 w 193"/>
              <a:gd name="T65" fmla="*/ 67 h 199"/>
              <a:gd name="T66" fmla="*/ 144 w 193"/>
              <a:gd name="T67" fmla="*/ 71 h 199"/>
              <a:gd name="T68" fmla="*/ 147 w 193"/>
              <a:gd name="T69" fmla="*/ 74 h 199"/>
              <a:gd name="T70" fmla="*/ 150 w 193"/>
              <a:gd name="T71" fmla="*/ 78 h 199"/>
              <a:gd name="T72" fmla="*/ 153 w 193"/>
              <a:gd name="T73" fmla="*/ 82 h 199"/>
              <a:gd name="T74" fmla="*/ 156 w 193"/>
              <a:gd name="T75" fmla="*/ 86 h 199"/>
              <a:gd name="T76" fmla="*/ 159 w 193"/>
              <a:gd name="T77" fmla="*/ 90 h 199"/>
              <a:gd name="T78" fmla="*/ 161 w 193"/>
              <a:gd name="T79" fmla="*/ 94 h 199"/>
              <a:gd name="T80" fmla="*/ 165 w 193"/>
              <a:gd name="T81" fmla="*/ 98 h 199"/>
              <a:gd name="T82" fmla="*/ 167 w 193"/>
              <a:gd name="T83" fmla="*/ 103 h 199"/>
              <a:gd name="T84" fmla="*/ 170 w 193"/>
              <a:gd name="T85" fmla="*/ 107 h 199"/>
              <a:gd name="T86" fmla="*/ 172 w 193"/>
              <a:gd name="T87" fmla="*/ 111 h 199"/>
              <a:gd name="T88" fmla="*/ 174 w 193"/>
              <a:gd name="T89" fmla="*/ 116 h 199"/>
              <a:gd name="T90" fmla="*/ 176 w 193"/>
              <a:gd name="T91" fmla="*/ 121 h 199"/>
              <a:gd name="T92" fmla="*/ 178 w 193"/>
              <a:gd name="T93" fmla="*/ 126 h 199"/>
              <a:gd name="T94" fmla="*/ 180 w 193"/>
              <a:gd name="T95" fmla="*/ 130 h 199"/>
              <a:gd name="T96" fmla="*/ 182 w 193"/>
              <a:gd name="T97" fmla="*/ 135 h 199"/>
              <a:gd name="T98" fmla="*/ 183 w 193"/>
              <a:gd name="T99" fmla="*/ 140 h 199"/>
              <a:gd name="T100" fmla="*/ 185 w 193"/>
              <a:gd name="T101" fmla="*/ 144 h 199"/>
              <a:gd name="T102" fmla="*/ 186 w 193"/>
              <a:gd name="T103" fmla="*/ 149 h 199"/>
              <a:gd name="T104" fmla="*/ 187 w 193"/>
              <a:gd name="T105" fmla="*/ 154 h 199"/>
              <a:gd name="T106" fmla="*/ 188 w 193"/>
              <a:gd name="T107" fmla="*/ 158 h 199"/>
              <a:gd name="T108" fmla="*/ 189 w 193"/>
              <a:gd name="T109" fmla="*/ 163 h 199"/>
              <a:gd name="T110" fmla="*/ 190 w 193"/>
              <a:gd name="T111" fmla="*/ 168 h 199"/>
              <a:gd name="T112" fmla="*/ 191 w 193"/>
              <a:gd name="T113" fmla="*/ 173 h 199"/>
              <a:gd name="T114" fmla="*/ 192 w 193"/>
              <a:gd name="T115" fmla="*/ 178 h 199"/>
              <a:gd name="T116" fmla="*/ 192 w 193"/>
              <a:gd name="T117" fmla="*/ 183 h 199"/>
              <a:gd name="T118" fmla="*/ 193 w 193"/>
              <a:gd name="T119" fmla="*/ 187 h 199"/>
              <a:gd name="T120" fmla="*/ 193 w 193"/>
              <a:gd name="T121" fmla="*/ 192 h 199"/>
              <a:gd name="T122" fmla="*/ 193 w 193"/>
              <a:gd name="T123" fmla="*/ 197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4" name="Line 110">
            <a:extLst>
              <a:ext uri="{FF2B5EF4-FFF2-40B4-BE49-F238E27FC236}">
                <a16:creationId xmlns:a16="http://schemas.microsoft.com/office/drawing/2014/main" id="{F7B312A7-E088-4431-B750-312B2C586025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5" name="Freeform 111">
            <a:extLst>
              <a:ext uri="{FF2B5EF4-FFF2-40B4-BE49-F238E27FC236}">
                <a16:creationId xmlns:a16="http://schemas.microsoft.com/office/drawing/2014/main" id="{031E5882-567B-43C4-82AE-3E419B5939AF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201 w 201"/>
              <a:gd name="T1" fmla="*/ 0 h 174"/>
              <a:gd name="T2" fmla="*/ 101 w 201"/>
              <a:gd name="T3" fmla="*/ 174 h 174"/>
              <a:gd name="T4" fmla="*/ 0 w 201"/>
              <a:gd name="T5" fmla="*/ 0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200025</xdr:colOff>
      <xdr:row>15</xdr:row>
      <xdr:rowOff>847725</xdr:rowOff>
    </xdr:from>
    <xdr:to>
      <xdr:col>10</xdr:col>
      <xdr:colOff>142875</xdr:colOff>
      <xdr:row>15</xdr:row>
      <xdr:rowOff>1000125</xdr:rowOff>
    </xdr:to>
    <xdr:grpSp>
      <xdr:nvGrpSpPr>
        <xdr:cNvPr id="1136" name="Group 112">
          <a:extLst>
            <a:ext uri="{FF2B5EF4-FFF2-40B4-BE49-F238E27FC236}">
              <a16:creationId xmlns:a16="http://schemas.microsoft.com/office/drawing/2014/main" id="{E395C936-8299-4B4A-8329-B7D16921222A}"/>
            </a:ext>
          </a:extLst>
        </xdr:cNvPr>
        <xdr:cNvGrpSpPr>
          <a:grpSpLocks/>
        </xdr:cNvGrpSpPr>
      </xdr:nvGrpSpPr>
      <xdr:grpSpPr bwMode="auto">
        <a:xfrm>
          <a:off x="2647950" y="5962650"/>
          <a:ext cx="257175" cy="152400"/>
          <a:chOff x="311" y="619"/>
          <a:chExt cx="27" cy="16"/>
        </a:xfrm>
      </xdr:grpSpPr>
      <xdr:sp macro="" textlink="">
        <xdr:nvSpPr>
          <xdr:cNvPr id="1137" name="Line 113">
            <a:extLst>
              <a:ext uri="{FF2B5EF4-FFF2-40B4-BE49-F238E27FC236}">
                <a16:creationId xmlns:a16="http://schemas.microsoft.com/office/drawing/2014/main" id="{AF0DECE2-AC94-4F3F-B46C-AB2B6269A7CA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321" y="635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8" name="Freeform 114">
            <a:extLst>
              <a:ext uri="{FF2B5EF4-FFF2-40B4-BE49-F238E27FC236}">
                <a16:creationId xmlns:a16="http://schemas.microsoft.com/office/drawing/2014/main" id="{72FBCE84-763B-425F-A31A-99CD293503DC}"/>
              </a:ext>
            </a:extLst>
          </xdr:cNvPr>
          <xdr:cNvSpPr>
            <a:spLocks/>
          </xdr:cNvSpPr>
        </xdr:nvSpPr>
        <xdr:spPr bwMode="auto">
          <a:xfrm rot="-10800000">
            <a:off x="315" y="627"/>
            <a:ext cx="8" cy="8"/>
          </a:xfrm>
          <a:custGeom>
            <a:avLst/>
            <a:gdLst>
              <a:gd name="T0" fmla="*/ 2 w 193"/>
              <a:gd name="T1" fmla="*/ 0 h 199"/>
              <a:gd name="T2" fmla="*/ 7 w 193"/>
              <a:gd name="T3" fmla="*/ 1 h 199"/>
              <a:gd name="T4" fmla="*/ 12 w 193"/>
              <a:gd name="T5" fmla="*/ 1 h 199"/>
              <a:gd name="T6" fmla="*/ 17 w 193"/>
              <a:gd name="T7" fmla="*/ 2 h 199"/>
              <a:gd name="T8" fmla="*/ 22 w 193"/>
              <a:gd name="T9" fmla="*/ 2 h 199"/>
              <a:gd name="T10" fmla="*/ 27 w 193"/>
              <a:gd name="T11" fmla="*/ 3 h 199"/>
              <a:gd name="T12" fmla="*/ 32 w 193"/>
              <a:gd name="T13" fmla="*/ 4 h 199"/>
              <a:gd name="T14" fmla="*/ 36 w 193"/>
              <a:gd name="T15" fmla="*/ 5 h 199"/>
              <a:gd name="T16" fmla="*/ 41 w 193"/>
              <a:gd name="T17" fmla="*/ 6 h 199"/>
              <a:gd name="T18" fmla="*/ 46 w 193"/>
              <a:gd name="T19" fmla="*/ 7 h 199"/>
              <a:gd name="T20" fmla="*/ 51 w 193"/>
              <a:gd name="T21" fmla="*/ 9 h 199"/>
              <a:gd name="T22" fmla="*/ 55 w 193"/>
              <a:gd name="T23" fmla="*/ 10 h 199"/>
              <a:gd name="T24" fmla="*/ 60 w 193"/>
              <a:gd name="T25" fmla="*/ 12 h 199"/>
              <a:gd name="T26" fmla="*/ 65 w 193"/>
              <a:gd name="T27" fmla="*/ 14 h 199"/>
              <a:gd name="T28" fmla="*/ 69 w 193"/>
              <a:gd name="T29" fmla="*/ 15 h 199"/>
              <a:gd name="T30" fmla="*/ 74 w 193"/>
              <a:gd name="T31" fmla="*/ 17 h 199"/>
              <a:gd name="T32" fmla="*/ 78 w 193"/>
              <a:gd name="T33" fmla="*/ 19 h 199"/>
              <a:gd name="T34" fmla="*/ 83 w 193"/>
              <a:gd name="T35" fmla="*/ 22 h 199"/>
              <a:gd name="T36" fmla="*/ 87 w 193"/>
              <a:gd name="T37" fmla="*/ 24 h 199"/>
              <a:gd name="T38" fmla="*/ 91 w 193"/>
              <a:gd name="T39" fmla="*/ 26 h 199"/>
              <a:gd name="T40" fmla="*/ 95 w 193"/>
              <a:gd name="T41" fmla="*/ 29 h 199"/>
              <a:gd name="T42" fmla="*/ 100 w 193"/>
              <a:gd name="T43" fmla="*/ 31 h 199"/>
              <a:gd name="T44" fmla="*/ 104 w 193"/>
              <a:gd name="T45" fmla="*/ 35 h 199"/>
              <a:gd name="T46" fmla="*/ 108 w 193"/>
              <a:gd name="T47" fmla="*/ 38 h 199"/>
              <a:gd name="T48" fmla="*/ 112 w 193"/>
              <a:gd name="T49" fmla="*/ 41 h 199"/>
              <a:gd name="T50" fmla="*/ 116 w 193"/>
              <a:gd name="T51" fmla="*/ 44 h 199"/>
              <a:gd name="T52" fmla="*/ 119 w 193"/>
              <a:gd name="T53" fmla="*/ 47 h 199"/>
              <a:gd name="T54" fmla="*/ 123 w 193"/>
              <a:gd name="T55" fmla="*/ 50 h 199"/>
              <a:gd name="T56" fmla="*/ 127 w 193"/>
              <a:gd name="T57" fmla="*/ 53 h 199"/>
              <a:gd name="T58" fmla="*/ 130 w 193"/>
              <a:gd name="T59" fmla="*/ 56 h 199"/>
              <a:gd name="T60" fmla="*/ 134 w 193"/>
              <a:gd name="T61" fmla="*/ 60 h 199"/>
              <a:gd name="T62" fmla="*/ 137 w 193"/>
              <a:gd name="T63" fmla="*/ 63 h 199"/>
              <a:gd name="T64" fmla="*/ 141 w 193"/>
              <a:gd name="T65" fmla="*/ 67 h 199"/>
              <a:gd name="T66" fmla="*/ 144 w 193"/>
              <a:gd name="T67" fmla="*/ 71 h 199"/>
              <a:gd name="T68" fmla="*/ 147 w 193"/>
              <a:gd name="T69" fmla="*/ 74 h 199"/>
              <a:gd name="T70" fmla="*/ 150 w 193"/>
              <a:gd name="T71" fmla="*/ 78 h 199"/>
              <a:gd name="T72" fmla="*/ 153 w 193"/>
              <a:gd name="T73" fmla="*/ 82 h 199"/>
              <a:gd name="T74" fmla="*/ 156 w 193"/>
              <a:gd name="T75" fmla="*/ 86 h 199"/>
              <a:gd name="T76" fmla="*/ 159 w 193"/>
              <a:gd name="T77" fmla="*/ 90 h 199"/>
              <a:gd name="T78" fmla="*/ 161 w 193"/>
              <a:gd name="T79" fmla="*/ 94 h 199"/>
              <a:gd name="T80" fmla="*/ 165 w 193"/>
              <a:gd name="T81" fmla="*/ 98 h 199"/>
              <a:gd name="T82" fmla="*/ 167 w 193"/>
              <a:gd name="T83" fmla="*/ 103 h 199"/>
              <a:gd name="T84" fmla="*/ 170 w 193"/>
              <a:gd name="T85" fmla="*/ 107 h 199"/>
              <a:gd name="T86" fmla="*/ 172 w 193"/>
              <a:gd name="T87" fmla="*/ 111 h 199"/>
              <a:gd name="T88" fmla="*/ 174 w 193"/>
              <a:gd name="T89" fmla="*/ 116 h 199"/>
              <a:gd name="T90" fmla="*/ 176 w 193"/>
              <a:gd name="T91" fmla="*/ 121 h 199"/>
              <a:gd name="T92" fmla="*/ 178 w 193"/>
              <a:gd name="T93" fmla="*/ 126 h 199"/>
              <a:gd name="T94" fmla="*/ 180 w 193"/>
              <a:gd name="T95" fmla="*/ 130 h 199"/>
              <a:gd name="T96" fmla="*/ 182 w 193"/>
              <a:gd name="T97" fmla="*/ 135 h 199"/>
              <a:gd name="T98" fmla="*/ 183 w 193"/>
              <a:gd name="T99" fmla="*/ 140 h 199"/>
              <a:gd name="T100" fmla="*/ 185 w 193"/>
              <a:gd name="T101" fmla="*/ 144 h 199"/>
              <a:gd name="T102" fmla="*/ 186 w 193"/>
              <a:gd name="T103" fmla="*/ 149 h 199"/>
              <a:gd name="T104" fmla="*/ 187 w 193"/>
              <a:gd name="T105" fmla="*/ 154 h 199"/>
              <a:gd name="T106" fmla="*/ 188 w 193"/>
              <a:gd name="T107" fmla="*/ 158 h 199"/>
              <a:gd name="T108" fmla="*/ 189 w 193"/>
              <a:gd name="T109" fmla="*/ 163 h 199"/>
              <a:gd name="T110" fmla="*/ 190 w 193"/>
              <a:gd name="T111" fmla="*/ 168 h 199"/>
              <a:gd name="T112" fmla="*/ 191 w 193"/>
              <a:gd name="T113" fmla="*/ 173 h 199"/>
              <a:gd name="T114" fmla="*/ 192 w 193"/>
              <a:gd name="T115" fmla="*/ 178 h 199"/>
              <a:gd name="T116" fmla="*/ 192 w 193"/>
              <a:gd name="T117" fmla="*/ 183 h 199"/>
              <a:gd name="T118" fmla="*/ 193 w 193"/>
              <a:gd name="T119" fmla="*/ 187 h 199"/>
              <a:gd name="T120" fmla="*/ 193 w 193"/>
              <a:gd name="T121" fmla="*/ 192 h 199"/>
              <a:gd name="T122" fmla="*/ 193 w 193"/>
              <a:gd name="T123" fmla="*/ 197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9" name="Line 115">
            <a:extLst>
              <a:ext uri="{FF2B5EF4-FFF2-40B4-BE49-F238E27FC236}">
                <a16:creationId xmlns:a16="http://schemas.microsoft.com/office/drawing/2014/main" id="{1C45254B-D2FA-47CF-89CC-703FAD574B79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315" y="620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0" name="Freeform 116">
            <a:extLst>
              <a:ext uri="{FF2B5EF4-FFF2-40B4-BE49-F238E27FC236}">
                <a16:creationId xmlns:a16="http://schemas.microsoft.com/office/drawing/2014/main" id="{548C1A2A-3EE1-4425-B4E8-758A2EE82DD7}"/>
              </a:ext>
            </a:extLst>
          </xdr:cNvPr>
          <xdr:cNvSpPr>
            <a:spLocks/>
          </xdr:cNvSpPr>
        </xdr:nvSpPr>
        <xdr:spPr bwMode="auto">
          <a:xfrm rot="-10800000">
            <a:off x="311" y="619"/>
            <a:ext cx="8" cy="6"/>
          </a:xfrm>
          <a:custGeom>
            <a:avLst/>
            <a:gdLst>
              <a:gd name="T0" fmla="*/ 201 w 201"/>
              <a:gd name="T1" fmla="*/ 0 h 174"/>
              <a:gd name="T2" fmla="*/ 101 w 201"/>
              <a:gd name="T3" fmla="*/ 174 h 174"/>
              <a:gd name="T4" fmla="*/ 0 w 201"/>
              <a:gd name="T5" fmla="*/ 0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285750</xdr:colOff>
      <xdr:row>15</xdr:row>
      <xdr:rowOff>266700</xdr:rowOff>
    </xdr:from>
    <xdr:to>
      <xdr:col>8</xdr:col>
      <xdr:colOff>9525</xdr:colOff>
      <xdr:row>15</xdr:row>
      <xdr:rowOff>428625</xdr:rowOff>
    </xdr:to>
    <xdr:sp macro="" textlink="">
      <xdr:nvSpPr>
        <xdr:cNvPr id="1142" name="Text Box 118">
          <a:extLst>
            <a:ext uri="{FF2B5EF4-FFF2-40B4-BE49-F238E27FC236}">
              <a16:creationId xmlns:a16="http://schemas.microsoft.com/office/drawing/2014/main" id="{E3CE2D0F-6EE1-41D1-8B40-3129E0F0EDC6}"/>
            </a:ext>
          </a:extLst>
        </xdr:cNvPr>
        <xdr:cNvSpPr txBox="1">
          <a:spLocks noChangeArrowheads="1"/>
        </xdr:cNvSpPr>
      </xdr:nvSpPr>
      <xdr:spPr bwMode="auto">
        <a:xfrm>
          <a:off x="1790700" y="53816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7</xdr:col>
      <xdr:colOff>38100</xdr:colOff>
      <xdr:row>15</xdr:row>
      <xdr:rowOff>1190625</xdr:rowOff>
    </xdr:from>
    <xdr:to>
      <xdr:col>8</xdr:col>
      <xdr:colOff>76200</xdr:colOff>
      <xdr:row>15</xdr:row>
      <xdr:rowOff>1352550</xdr:rowOff>
    </xdr:to>
    <xdr:sp macro="" textlink="">
      <xdr:nvSpPr>
        <xdr:cNvPr id="1143" name="Text Box 119">
          <a:extLst>
            <a:ext uri="{FF2B5EF4-FFF2-40B4-BE49-F238E27FC236}">
              <a16:creationId xmlns:a16="http://schemas.microsoft.com/office/drawing/2014/main" id="{72488794-8688-4388-BF17-C89EE619E8FC}"/>
            </a:ext>
          </a:extLst>
        </xdr:cNvPr>
        <xdr:cNvSpPr txBox="1">
          <a:spLocks noChangeArrowheads="1"/>
        </xdr:cNvSpPr>
      </xdr:nvSpPr>
      <xdr:spPr bwMode="auto">
        <a:xfrm>
          <a:off x="1857375" y="63055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11</xdr:col>
      <xdr:colOff>219075</xdr:colOff>
      <xdr:row>15</xdr:row>
      <xdr:rowOff>209550</xdr:rowOff>
    </xdr:from>
    <xdr:to>
      <xdr:col>12</xdr:col>
      <xdr:colOff>257175</xdr:colOff>
      <xdr:row>15</xdr:row>
      <xdr:rowOff>371475</xdr:rowOff>
    </xdr:to>
    <xdr:sp macro="" textlink="">
      <xdr:nvSpPr>
        <xdr:cNvPr id="1144" name="Text Box 120">
          <a:extLst>
            <a:ext uri="{FF2B5EF4-FFF2-40B4-BE49-F238E27FC236}">
              <a16:creationId xmlns:a16="http://schemas.microsoft.com/office/drawing/2014/main" id="{0B2C549D-0B4E-4E2B-8FF6-CB2C79D3DEBA}"/>
            </a:ext>
          </a:extLst>
        </xdr:cNvPr>
        <xdr:cNvSpPr txBox="1">
          <a:spLocks noChangeArrowheads="1"/>
        </xdr:cNvSpPr>
      </xdr:nvSpPr>
      <xdr:spPr bwMode="auto">
        <a:xfrm>
          <a:off x="3295650" y="53244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14</xdr:col>
      <xdr:colOff>190500</xdr:colOff>
      <xdr:row>15</xdr:row>
      <xdr:rowOff>209550</xdr:rowOff>
    </xdr:from>
    <xdr:to>
      <xdr:col>15</xdr:col>
      <xdr:colOff>228600</xdr:colOff>
      <xdr:row>15</xdr:row>
      <xdr:rowOff>371475</xdr:rowOff>
    </xdr:to>
    <xdr:sp macro="" textlink="">
      <xdr:nvSpPr>
        <xdr:cNvPr id="1145" name="Text Box 121">
          <a:extLst>
            <a:ext uri="{FF2B5EF4-FFF2-40B4-BE49-F238E27FC236}">
              <a16:creationId xmlns:a16="http://schemas.microsoft.com/office/drawing/2014/main" id="{010ADB31-E914-4DBE-A434-7CA5F9B2D861}"/>
            </a:ext>
          </a:extLst>
        </xdr:cNvPr>
        <xdr:cNvSpPr txBox="1">
          <a:spLocks noChangeArrowheads="1"/>
        </xdr:cNvSpPr>
      </xdr:nvSpPr>
      <xdr:spPr bwMode="auto">
        <a:xfrm>
          <a:off x="4210050" y="53244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"/>
  <sheetViews>
    <sheetView tabSelected="1" view="pageBreakPreview" topLeftCell="A10" zoomScale="130" zoomScaleNormal="100" zoomScaleSheetLayoutView="130" workbookViewId="0">
      <selection activeCell="S18" sqref="S18"/>
    </sheetView>
  </sheetViews>
  <sheetFormatPr defaultRowHeight="12" x14ac:dyDescent="0.15"/>
  <cols>
    <col min="1" max="1" width="7.5" style="54" bestFit="1" customWidth="1"/>
    <col min="2" max="2" width="2.25" style="69" bestFit="1" customWidth="1"/>
    <col min="3" max="3" width="5.25" style="65" bestFit="1" customWidth="1"/>
    <col min="4" max="4" width="2.25" style="68" bestFit="1" customWidth="1"/>
    <col min="5" max="24" width="4.125" style="37" customWidth="1"/>
    <col min="25" max="16384" width="9" style="37"/>
  </cols>
  <sheetData>
    <row r="1" spans="1:30" ht="15" customHeight="1" x14ac:dyDescent="0.15">
      <c r="A1" s="101" t="s">
        <v>0</v>
      </c>
      <c r="B1" s="102"/>
      <c r="C1" s="102"/>
      <c r="D1" s="102"/>
      <c r="E1" s="103"/>
      <c r="F1" s="107" t="s">
        <v>51</v>
      </c>
      <c r="G1" s="108"/>
      <c r="H1" s="139" t="s">
        <v>50</v>
      </c>
      <c r="I1" s="139"/>
      <c r="J1" s="139"/>
      <c r="K1" s="139"/>
      <c r="L1" s="102" t="s">
        <v>44</v>
      </c>
      <c r="M1" s="103"/>
      <c r="N1" s="142" t="s">
        <v>45</v>
      </c>
      <c r="O1" s="103"/>
      <c r="P1" s="143">
        <v>46063</v>
      </c>
      <c r="Q1" s="144"/>
      <c r="R1" s="144"/>
      <c r="S1" s="145"/>
      <c r="T1" s="141" t="s">
        <v>3</v>
      </c>
      <c r="U1" s="141"/>
      <c r="V1" s="141" t="s">
        <v>59</v>
      </c>
      <c r="W1" s="141"/>
      <c r="X1" s="141"/>
    </row>
    <row r="2" spans="1:30" ht="7.5" customHeight="1" x14ac:dyDescent="0.15">
      <c r="A2" s="104"/>
      <c r="B2" s="105"/>
      <c r="C2" s="105"/>
      <c r="D2" s="105"/>
      <c r="E2" s="106"/>
      <c r="F2" s="109"/>
      <c r="G2" s="110"/>
      <c r="H2" s="140"/>
      <c r="I2" s="140"/>
      <c r="J2" s="140"/>
      <c r="K2" s="140"/>
      <c r="L2" s="105"/>
      <c r="M2" s="106"/>
      <c r="N2" s="120"/>
      <c r="O2" s="122"/>
      <c r="P2" s="146"/>
      <c r="Q2" s="147"/>
      <c r="R2" s="147"/>
      <c r="S2" s="148"/>
      <c r="T2" s="101" t="s">
        <v>6</v>
      </c>
      <c r="U2" s="103"/>
      <c r="V2" s="114">
        <v>46023</v>
      </c>
      <c r="W2" s="115"/>
      <c r="X2" s="116"/>
    </row>
    <row r="3" spans="1:30" ht="7.5" customHeight="1" x14ac:dyDescent="0.15">
      <c r="A3" s="120" t="s">
        <v>4</v>
      </c>
      <c r="B3" s="121"/>
      <c r="C3" s="121"/>
      <c r="D3" s="121"/>
      <c r="E3" s="122"/>
      <c r="F3" s="124" t="s">
        <v>52</v>
      </c>
      <c r="G3" s="125"/>
      <c r="H3" s="128" t="s">
        <v>50</v>
      </c>
      <c r="I3" s="128"/>
      <c r="J3" s="128"/>
      <c r="K3" s="128"/>
      <c r="L3" s="130" t="s">
        <v>46</v>
      </c>
      <c r="M3" s="131"/>
      <c r="N3" s="120"/>
      <c r="O3" s="122"/>
      <c r="P3" s="134">
        <v>1.7361111111111112E-2</v>
      </c>
      <c r="Q3" s="135"/>
      <c r="R3" s="135"/>
      <c r="S3" s="138" t="s">
        <v>47</v>
      </c>
      <c r="T3" s="112"/>
      <c r="U3" s="113"/>
      <c r="V3" s="117"/>
      <c r="W3" s="118"/>
      <c r="X3" s="119"/>
    </row>
    <row r="4" spans="1:30" ht="15" customHeight="1" x14ac:dyDescent="0.15">
      <c r="A4" s="112"/>
      <c r="B4" s="123"/>
      <c r="C4" s="123"/>
      <c r="D4" s="123"/>
      <c r="E4" s="113"/>
      <c r="F4" s="126"/>
      <c r="G4" s="127"/>
      <c r="H4" s="129"/>
      <c r="I4" s="129"/>
      <c r="J4" s="129"/>
      <c r="K4" s="129"/>
      <c r="L4" s="132"/>
      <c r="M4" s="133"/>
      <c r="N4" s="112"/>
      <c r="O4" s="113"/>
      <c r="P4" s="136"/>
      <c r="Q4" s="137"/>
      <c r="R4" s="137"/>
      <c r="S4" s="113"/>
      <c r="T4" s="141" t="s">
        <v>48</v>
      </c>
      <c r="U4" s="141"/>
      <c r="V4" s="141" t="s">
        <v>58</v>
      </c>
      <c r="W4" s="141"/>
      <c r="X4" s="141"/>
      <c r="Z4" s="38" t="s">
        <v>49</v>
      </c>
      <c r="AA4" s="39">
        <v>1686</v>
      </c>
    </row>
    <row r="5" spans="1:30" ht="18" customHeight="1" x14ac:dyDescent="0.15">
      <c r="A5" s="80"/>
      <c r="B5" s="81"/>
      <c r="C5" s="81"/>
      <c r="D5" s="8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2"/>
    </row>
    <row r="6" spans="1:30" ht="18" customHeight="1" x14ac:dyDescent="0.15">
      <c r="A6" s="82"/>
      <c r="B6" s="83"/>
      <c r="C6" s="83"/>
      <c r="D6" s="83"/>
      <c r="X6" s="43"/>
    </row>
    <row r="7" spans="1:30" ht="18" customHeight="1" x14ac:dyDescent="0.15">
      <c r="A7" s="82"/>
      <c r="B7" s="83"/>
      <c r="C7" s="83"/>
      <c r="D7" s="83"/>
      <c r="X7" s="43"/>
    </row>
    <row r="8" spans="1:30" ht="18" customHeight="1" x14ac:dyDescent="0.15">
      <c r="A8" s="82"/>
      <c r="B8" s="83"/>
      <c r="C8" s="83"/>
      <c r="D8" s="83"/>
      <c r="X8" s="43"/>
    </row>
    <row r="9" spans="1:30" ht="18" customHeight="1" x14ac:dyDescent="0.15">
      <c r="A9" s="82"/>
      <c r="B9" s="83"/>
      <c r="C9" s="83"/>
      <c r="D9" s="83"/>
      <c r="X9" s="43"/>
    </row>
    <row r="10" spans="1:30" ht="147.75" customHeight="1" x14ac:dyDescent="0.15">
      <c r="A10" s="82"/>
      <c r="B10" s="83"/>
      <c r="C10" s="83"/>
      <c r="D10" s="83"/>
      <c r="X10" s="43"/>
    </row>
    <row r="11" spans="1:30" ht="18" customHeight="1" x14ac:dyDescent="0.15">
      <c r="A11" s="82"/>
      <c r="B11" s="83"/>
      <c r="C11" s="83"/>
      <c r="D11" s="83"/>
      <c r="X11" s="43"/>
    </row>
    <row r="12" spans="1:30" ht="18" customHeight="1" x14ac:dyDescent="0.15">
      <c r="A12" s="82"/>
      <c r="B12" s="83"/>
      <c r="C12" s="83"/>
      <c r="D12" s="83"/>
      <c r="X12" s="43"/>
    </row>
    <row r="13" spans="1:30" ht="18" customHeight="1" x14ac:dyDescent="0.15">
      <c r="A13" s="82"/>
      <c r="B13" s="83"/>
      <c r="C13" s="83"/>
      <c r="D13" s="83"/>
      <c r="X13" s="43"/>
    </row>
    <row r="14" spans="1:30" ht="18" customHeight="1" x14ac:dyDescent="0.15">
      <c r="A14" s="87"/>
      <c r="B14" s="88"/>
      <c r="C14" s="83"/>
      <c r="D14" s="83"/>
      <c r="X14" s="43"/>
      <c r="Z14" s="37">
        <v>50</v>
      </c>
      <c r="AA14" s="37">
        <f>Z14/3.6</f>
        <v>13.888888888888889</v>
      </c>
      <c r="AC14" s="79">
        <v>38.299999999999997</v>
      </c>
      <c r="AD14" s="79">
        <f>AC14/AA14</f>
        <v>2.7575999999999996</v>
      </c>
    </row>
    <row r="15" spans="1:30" ht="18" customHeight="1" x14ac:dyDescent="0.15">
      <c r="A15" s="89"/>
      <c r="B15" s="90"/>
      <c r="C15" s="90"/>
      <c r="D15" s="90"/>
      <c r="E15" s="44"/>
      <c r="F15" s="44"/>
      <c r="G15" s="44"/>
      <c r="H15" s="44"/>
      <c r="I15" s="44"/>
      <c r="J15" s="45"/>
      <c r="K15" s="45"/>
      <c r="L15" s="45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7"/>
      <c r="Z15" s="37">
        <v>40</v>
      </c>
      <c r="AA15" s="37">
        <f>Z15/3.6</f>
        <v>11.111111111111111</v>
      </c>
      <c r="AC15" s="79">
        <v>32.799999999999997</v>
      </c>
      <c r="AD15" s="79">
        <f>AC15/AA15</f>
        <v>2.952</v>
      </c>
    </row>
    <row r="16" spans="1:30" s="50" customFormat="1" ht="18" customHeight="1" x14ac:dyDescent="0.15">
      <c r="A16" s="91" t="s">
        <v>7</v>
      </c>
      <c r="B16" s="91"/>
      <c r="C16" s="91"/>
      <c r="D16" s="91"/>
      <c r="E16" s="48">
        <v>1</v>
      </c>
      <c r="F16" s="48">
        <v>2</v>
      </c>
      <c r="G16" s="48">
        <v>3</v>
      </c>
      <c r="H16" s="48">
        <v>4</v>
      </c>
      <c r="I16" s="48">
        <v>5</v>
      </c>
      <c r="J16" s="48">
        <v>6</v>
      </c>
      <c r="K16" s="48">
        <v>7</v>
      </c>
      <c r="L16" s="48">
        <v>8</v>
      </c>
      <c r="M16" s="48">
        <v>9</v>
      </c>
      <c r="N16" s="48">
        <v>10</v>
      </c>
      <c r="O16" s="48">
        <v>11</v>
      </c>
      <c r="P16" s="48">
        <v>12</v>
      </c>
      <c r="Q16" s="48">
        <v>13</v>
      </c>
      <c r="R16" s="49">
        <v>14</v>
      </c>
      <c r="S16" s="48">
        <v>15</v>
      </c>
      <c r="T16" s="48">
        <v>16</v>
      </c>
      <c r="U16" s="48">
        <v>17</v>
      </c>
      <c r="V16" s="48">
        <v>18</v>
      </c>
      <c r="W16" s="48">
        <v>19</v>
      </c>
      <c r="X16" s="48">
        <v>20</v>
      </c>
    </row>
    <row r="17" spans="1:25" s="54" customFormat="1" ht="18" customHeight="1" x14ac:dyDescent="0.15">
      <c r="A17" s="91" t="s">
        <v>8</v>
      </c>
      <c r="B17" s="91"/>
      <c r="C17" s="91"/>
      <c r="D17" s="91"/>
      <c r="E17" s="51" t="s">
        <v>9</v>
      </c>
      <c r="F17" s="51" t="s">
        <v>10</v>
      </c>
      <c r="G17" s="51" t="s">
        <v>11</v>
      </c>
      <c r="H17" s="51" t="s">
        <v>12</v>
      </c>
      <c r="I17" s="51" t="s">
        <v>13</v>
      </c>
      <c r="J17" s="51" t="s">
        <v>12</v>
      </c>
      <c r="K17" s="51" t="s">
        <v>14</v>
      </c>
      <c r="L17" s="51" t="s">
        <v>15</v>
      </c>
      <c r="M17" s="51" t="s">
        <v>16</v>
      </c>
      <c r="N17" s="51" t="s">
        <v>17</v>
      </c>
      <c r="O17" s="51" t="s">
        <v>18</v>
      </c>
      <c r="P17" s="52" t="s">
        <v>19</v>
      </c>
      <c r="Q17" s="53"/>
      <c r="S17" s="55"/>
      <c r="T17" s="55"/>
      <c r="U17" s="55"/>
      <c r="V17" s="55"/>
      <c r="W17" s="55"/>
      <c r="X17" s="55"/>
    </row>
    <row r="18" spans="1:25" s="54" customFormat="1" ht="125.1" customHeight="1" x14ac:dyDescent="0.15">
      <c r="A18" s="84"/>
      <c r="B18" s="85"/>
      <c r="C18" s="85"/>
      <c r="D18" s="86"/>
      <c r="E18" s="56"/>
      <c r="F18" s="57"/>
      <c r="G18" s="57"/>
      <c r="H18" s="57"/>
      <c r="I18" s="56"/>
      <c r="J18" s="57"/>
      <c r="K18" s="53"/>
      <c r="L18" s="57"/>
      <c r="M18" s="57"/>
      <c r="N18" s="57"/>
      <c r="O18" s="57"/>
      <c r="P18" s="53"/>
      <c r="Q18" s="57"/>
      <c r="R18" s="57"/>
      <c r="S18" s="57"/>
      <c r="U18" s="57"/>
      <c r="V18" s="57"/>
      <c r="W18" s="57"/>
      <c r="X18" s="53"/>
      <c r="Y18" s="58"/>
    </row>
    <row r="19" spans="1:25" ht="18" customHeight="1" x14ac:dyDescent="0.15">
      <c r="A19" s="84" t="s">
        <v>55</v>
      </c>
      <c r="B19" s="85"/>
      <c r="C19" s="85" t="s">
        <v>21</v>
      </c>
      <c r="D19" s="86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60"/>
      <c r="R19" s="60"/>
      <c r="S19" s="60"/>
      <c r="T19" s="60"/>
      <c r="U19" s="60"/>
      <c r="V19" s="60"/>
      <c r="W19" s="60"/>
      <c r="X19" s="60"/>
    </row>
    <row r="20" spans="1:25" ht="18" customHeight="1" x14ac:dyDescent="0.15">
      <c r="A20" s="84" t="s">
        <v>22</v>
      </c>
      <c r="B20" s="85"/>
      <c r="C20" s="85" t="s">
        <v>23</v>
      </c>
      <c r="D20" s="86"/>
      <c r="E20" s="60"/>
      <c r="F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</row>
    <row r="21" spans="1:25" ht="18" customHeight="1" x14ac:dyDescent="0.15">
      <c r="A21" s="84" t="s">
        <v>57</v>
      </c>
      <c r="B21" s="85"/>
      <c r="C21" s="85" t="s">
        <v>24</v>
      </c>
      <c r="D21" s="86"/>
      <c r="E21" s="60"/>
      <c r="F21" s="60"/>
      <c r="G21" s="60"/>
      <c r="H21" s="60"/>
      <c r="I21" s="60"/>
      <c r="J21" s="60"/>
      <c r="K21" s="60"/>
      <c r="L21" s="60"/>
      <c r="M21" s="60"/>
      <c r="N21" s="60"/>
      <c r="P21" s="60"/>
      <c r="Q21" s="60"/>
      <c r="R21" s="60"/>
      <c r="S21" s="60"/>
      <c r="T21" s="60"/>
      <c r="U21" s="60"/>
      <c r="V21" s="60"/>
      <c r="W21" s="60"/>
      <c r="X21" s="60"/>
    </row>
    <row r="22" spans="1:25" ht="18" customHeight="1" x14ac:dyDescent="0.15">
      <c r="A22" s="84" t="s">
        <v>56</v>
      </c>
      <c r="B22" s="85"/>
      <c r="C22" s="85" t="s">
        <v>26</v>
      </c>
      <c r="D22" s="86"/>
      <c r="E22" s="60"/>
      <c r="F22" s="60"/>
      <c r="G22" s="61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</row>
    <row r="23" spans="1:25" ht="18" customHeight="1" x14ac:dyDescent="0.15">
      <c r="A23" s="92" t="s">
        <v>27</v>
      </c>
      <c r="B23" s="93"/>
      <c r="C23" s="93" t="s">
        <v>28</v>
      </c>
      <c r="D23" s="94"/>
      <c r="E23" s="62"/>
      <c r="F23" s="62"/>
      <c r="G23" s="62"/>
      <c r="H23" s="62"/>
      <c r="I23" s="62"/>
      <c r="J23" s="62"/>
      <c r="L23" s="62"/>
      <c r="M23" s="62"/>
      <c r="N23" s="62"/>
      <c r="O23" s="62"/>
      <c r="P23" s="62"/>
      <c r="Q23" s="60"/>
      <c r="R23" s="60"/>
      <c r="S23" s="60"/>
      <c r="T23" s="60"/>
      <c r="U23" s="60"/>
      <c r="V23" s="60"/>
      <c r="W23" s="60"/>
      <c r="X23" s="60"/>
    </row>
    <row r="24" spans="1:25" ht="18" customHeight="1" x14ac:dyDescent="0.15">
      <c r="A24" s="95"/>
      <c r="B24" s="96"/>
      <c r="C24" s="97"/>
      <c r="D24" s="98"/>
      <c r="E24" s="63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</row>
    <row r="25" spans="1:25" ht="18" customHeight="1" x14ac:dyDescent="0.15">
      <c r="A25" s="111"/>
      <c r="B25" s="99"/>
      <c r="C25" s="99"/>
      <c r="D25" s="10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</row>
    <row r="26" spans="1:25" ht="18" customHeight="1" x14ac:dyDescent="0.15">
      <c r="A26" s="96"/>
      <c r="B26" s="97"/>
      <c r="C26" s="85"/>
      <c r="D26" s="86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</row>
    <row r="27" spans="1:25" ht="18" customHeight="1" x14ac:dyDescent="0.15">
      <c r="A27" s="96"/>
      <c r="B27" s="97"/>
      <c r="C27" s="85"/>
      <c r="D27" s="86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</row>
    <row r="28" spans="1:25" ht="18" customHeight="1" x14ac:dyDescent="0.15">
      <c r="A28" s="96"/>
      <c r="B28" s="97"/>
      <c r="C28" s="85"/>
      <c r="D28" s="86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</row>
    <row r="29" spans="1:25" ht="18" customHeight="1" x14ac:dyDescent="0.15">
      <c r="A29" s="96"/>
      <c r="B29" s="97"/>
      <c r="C29" s="97"/>
      <c r="D29" s="98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</row>
    <row r="30" spans="1:25" ht="18" customHeight="1" x14ac:dyDescent="0.15">
      <c r="A30" s="96"/>
      <c r="B30" s="97"/>
      <c r="C30" s="97"/>
      <c r="D30" s="98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</row>
    <row r="31" spans="1:25" ht="18" customHeight="1" x14ac:dyDescent="0.15">
      <c r="A31" s="96"/>
      <c r="B31" s="97"/>
      <c r="C31" s="97"/>
      <c r="D31" s="98"/>
      <c r="E31" s="60"/>
      <c r="F31" s="60"/>
      <c r="G31" s="60"/>
      <c r="H31" s="64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</row>
    <row r="32" spans="1:25" ht="18" customHeight="1" x14ac:dyDescent="0.15">
      <c r="A32" s="96"/>
      <c r="B32" s="97"/>
      <c r="C32" s="97"/>
      <c r="D32" s="98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</row>
    <row r="33" spans="1:27" ht="18" customHeight="1" x14ac:dyDescent="0.15">
      <c r="A33" s="72" t="s">
        <v>53</v>
      </c>
      <c r="B33" s="73"/>
      <c r="C33" s="71"/>
      <c r="D33" s="74"/>
      <c r="E33" s="75">
        <v>109</v>
      </c>
      <c r="F33" s="75"/>
      <c r="G33" s="75"/>
      <c r="H33" s="75"/>
      <c r="I33" s="75">
        <v>109</v>
      </c>
      <c r="J33" s="75"/>
      <c r="K33" s="75"/>
      <c r="L33" s="76">
        <v>109</v>
      </c>
      <c r="M33" s="75"/>
      <c r="N33" s="75"/>
      <c r="O33" s="75"/>
      <c r="P33" s="75"/>
      <c r="Q33" s="75"/>
      <c r="R33" s="75"/>
      <c r="S33" s="75"/>
      <c r="T33" s="75"/>
      <c r="U33" s="77"/>
      <c r="V33" s="77"/>
      <c r="W33" s="77"/>
      <c r="X33" s="77"/>
    </row>
    <row r="34" spans="1:27" ht="18" customHeight="1" x14ac:dyDescent="0.15">
      <c r="A34" s="70" t="s">
        <v>54</v>
      </c>
      <c r="B34" s="66" t="s">
        <v>30</v>
      </c>
      <c r="C34" s="40">
        <f>SUM(E34:X34)</f>
        <v>71</v>
      </c>
      <c r="D34" s="78" t="s">
        <v>31</v>
      </c>
      <c r="E34" s="75">
        <v>15</v>
      </c>
      <c r="F34" s="75">
        <v>6</v>
      </c>
      <c r="G34" s="75">
        <v>6</v>
      </c>
      <c r="H34" s="75">
        <v>3</v>
      </c>
      <c r="I34" s="75">
        <v>5</v>
      </c>
      <c r="J34" s="75">
        <v>2</v>
      </c>
      <c r="K34" s="75">
        <v>3</v>
      </c>
      <c r="L34" s="75">
        <v>17</v>
      </c>
      <c r="M34" s="75">
        <v>6</v>
      </c>
      <c r="N34" s="75">
        <v>2</v>
      </c>
      <c r="O34" s="75">
        <v>3</v>
      </c>
      <c r="P34" s="75">
        <v>3</v>
      </c>
      <c r="Q34" s="75"/>
      <c r="R34" s="75"/>
      <c r="S34" s="75"/>
      <c r="T34" s="75"/>
      <c r="U34" s="77"/>
      <c r="V34" s="77"/>
      <c r="W34" s="77"/>
      <c r="X34" s="77"/>
      <c r="Z34" s="50">
        <v>110</v>
      </c>
      <c r="AA34" s="50">
        <f>Z34-INT(Z34/8)-3</f>
        <v>94</v>
      </c>
    </row>
    <row r="35" spans="1:27" ht="18" customHeight="1" x14ac:dyDescent="0.15">
      <c r="A35" s="70" t="s">
        <v>29</v>
      </c>
      <c r="B35" s="66" t="s">
        <v>30</v>
      </c>
      <c r="C35" s="40">
        <f>SUM(E35:X35)</f>
        <v>150</v>
      </c>
      <c r="D35" s="67" t="s">
        <v>31</v>
      </c>
      <c r="E35" s="48">
        <v>89</v>
      </c>
      <c r="F35" s="48">
        <v>6</v>
      </c>
      <c r="G35" s="48">
        <v>6</v>
      </c>
      <c r="H35" s="48">
        <v>3</v>
      </c>
      <c r="I35" s="48">
        <v>6</v>
      </c>
      <c r="J35" s="48">
        <v>2</v>
      </c>
      <c r="K35" s="48">
        <v>3</v>
      </c>
      <c r="L35" s="48">
        <v>21</v>
      </c>
      <c r="M35" s="48">
        <v>6</v>
      </c>
      <c r="N35" s="48">
        <v>2</v>
      </c>
      <c r="O35" s="48">
        <v>3</v>
      </c>
      <c r="P35" s="48">
        <v>3</v>
      </c>
      <c r="Q35" s="48"/>
      <c r="R35" s="48"/>
      <c r="S35" s="48"/>
      <c r="T35" s="48"/>
      <c r="U35" s="48"/>
      <c r="V35" s="48"/>
      <c r="W35" s="48"/>
      <c r="X35" s="48"/>
      <c r="Z35" s="50">
        <v>150</v>
      </c>
      <c r="AA35" s="50">
        <f>Z35-INT(Z35/8)-3</f>
        <v>129</v>
      </c>
    </row>
    <row r="36" spans="1:27" ht="18" customHeight="1" x14ac:dyDescent="0.15">
      <c r="A36" s="84" t="s">
        <v>32</v>
      </c>
      <c r="B36" s="85"/>
      <c r="C36" s="85"/>
      <c r="D36" s="86"/>
      <c r="E36" s="48">
        <v>110</v>
      </c>
      <c r="F36" s="48">
        <v>110</v>
      </c>
      <c r="G36" s="48">
        <v>110</v>
      </c>
      <c r="H36" s="48">
        <v>10</v>
      </c>
      <c r="I36" s="48">
        <v>110</v>
      </c>
      <c r="J36" s="48">
        <v>10</v>
      </c>
      <c r="K36" s="48">
        <v>10</v>
      </c>
      <c r="L36" s="48">
        <v>110</v>
      </c>
      <c r="M36" s="48">
        <v>110</v>
      </c>
      <c r="N36" s="48">
        <v>110</v>
      </c>
      <c r="O36" s="48">
        <v>10</v>
      </c>
      <c r="P36" s="48">
        <v>10</v>
      </c>
      <c r="Q36" s="48"/>
      <c r="R36" s="48"/>
      <c r="S36" s="48"/>
      <c r="T36" s="48"/>
      <c r="U36" s="48"/>
      <c r="V36" s="48"/>
      <c r="W36" s="48"/>
      <c r="X36" s="48"/>
    </row>
    <row r="37" spans="1:27" ht="18" customHeight="1" x14ac:dyDescent="0.15">
      <c r="A37" s="84" t="s">
        <v>33</v>
      </c>
      <c r="B37" s="85"/>
      <c r="C37" s="85"/>
      <c r="D37" s="86"/>
      <c r="E37" s="48">
        <v>6</v>
      </c>
      <c r="F37" s="48">
        <v>0.95</v>
      </c>
      <c r="G37" s="48">
        <v>0.95</v>
      </c>
      <c r="H37" s="48">
        <v>0.95</v>
      </c>
      <c r="I37" s="48">
        <v>0.95</v>
      </c>
      <c r="J37" s="48">
        <v>0.95</v>
      </c>
      <c r="K37" s="48">
        <v>0.95</v>
      </c>
      <c r="L37" s="48">
        <v>6</v>
      </c>
      <c r="M37" s="48">
        <v>0.95</v>
      </c>
      <c r="N37" s="48">
        <v>0.95</v>
      </c>
      <c r="O37" s="48">
        <v>0.95</v>
      </c>
      <c r="P37" s="48">
        <v>0.95</v>
      </c>
      <c r="Q37" s="48"/>
      <c r="R37" s="48"/>
      <c r="S37" s="48"/>
      <c r="T37" s="48"/>
      <c r="U37" s="48"/>
      <c r="V37" s="48"/>
      <c r="W37" s="48"/>
      <c r="X37" s="48"/>
    </row>
    <row r="38" spans="1:27" ht="18" customHeight="1" x14ac:dyDescent="0.15">
      <c r="A38" s="84" t="s">
        <v>34</v>
      </c>
      <c r="B38" s="85"/>
      <c r="C38" s="85"/>
      <c r="D38" s="86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</row>
  </sheetData>
  <mergeCells count="74">
    <mergeCell ref="T2:U3"/>
    <mergeCell ref="V2:X3"/>
    <mergeCell ref="A3:E4"/>
    <mergeCell ref="F3:G4"/>
    <mergeCell ref="H3:K4"/>
    <mergeCell ref="L3:M4"/>
    <mergeCell ref="P3:R4"/>
    <mergeCell ref="S3:S4"/>
    <mergeCell ref="H1:K2"/>
    <mergeCell ref="V1:X1"/>
    <mergeCell ref="T4:U4"/>
    <mergeCell ref="V4:X4"/>
    <mergeCell ref="L1:M2"/>
    <mergeCell ref="N1:O4"/>
    <mergeCell ref="P1:S2"/>
    <mergeCell ref="T1:U1"/>
    <mergeCell ref="A36:D36"/>
    <mergeCell ref="A37:D37"/>
    <mergeCell ref="A38:D38"/>
    <mergeCell ref="A1:E2"/>
    <mergeCell ref="F1:G2"/>
    <mergeCell ref="A31:B31"/>
    <mergeCell ref="C31:D31"/>
    <mergeCell ref="A32:B32"/>
    <mergeCell ref="C32:D32"/>
    <mergeCell ref="A28:B28"/>
    <mergeCell ref="C28:D28"/>
    <mergeCell ref="A29:B29"/>
    <mergeCell ref="C29:D29"/>
    <mergeCell ref="A30:B30"/>
    <mergeCell ref="C30:D30"/>
    <mergeCell ref="A25:B25"/>
    <mergeCell ref="C25:D25"/>
    <mergeCell ref="A26:B26"/>
    <mergeCell ref="C26:D26"/>
    <mergeCell ref="A27:B27"/>
    <mergeCell ref="C27:D27"/>
    <mergeCell ref="A22:B22"/>
    <mergeCell ref="C22:D22"/>
    <mergeCell ref="A23:B23"/>
    <mergeCell ref="C23:D23"/>
    <mergeCell ref="A24:B24"/>
    <mergeCell ref="C24:D24"/>
    <mergeCell ref="A21:B21"/>
    <mergeCell ref="C21:D21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20:B20"/>
    <mergeCell ref="C20:D20"/>
    <mergeCell ref="A11:B11"/>
    <mergeCell ref="C11:D11"/>
    <mergeCell ref="A12:B12"/>
    <mergeCell ref="C12:D12"/>
    <mergeCell ref="A13:B13"/>
    <mergeCell ref="C13:D13"/>
    <mergeCell ref="A8:B8"/>
    <mergeCell ref="C8:D8"/>
    <mergeCell ref="A9:B9"/>
    <mergeCell ref="C9:D9"/>
    <mergeCell ref="A10:B10"/>
    <mergeCell ref="C10:D10"/>
    <mergeCell ref="A5:B5"/>
    <mergeCell ref="C5:D5"/>
    <mergeCell ref="A6:B6"/>
    <mergeCell ref="C6:D6"/>
    <mergeCell ref="A7:B7"/>
    <mergeCell ref="C7:D7"/>
  </mergeCells>
  <phoneticPr fontId="2"/>
  <pageMargins left="0.78740157480314965" right="0" top="0.39370078740157483" bottom="0" header="0.23622047244094491" footer="0.31496062992125984"/>
  <pageSetup paperSize="9" scale="9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1"/>
  <dimension ref="A1:Y36"/>
  <sheetViews>
    <sheetView zoomScaleNormal="100" workbookViewId="0">
      <selection sqref="A1:E1"/>
    </sheetView>
  </sheetViews>
  <sheetFormatPr defaultRowHeight="11.25" x14ac:dyDescent="0.15"/>
  <cols>
    <col min="1" max="1" width="5.125" style="32" customWidth="1"/>
    <col min="2" max="2" width="0.875" style="32" customWidth="1"/>
    <col min="3" max="3" width="4.625" style="32" customWidth="1"/>
    <col min="4" max="4" width="0.875" style="32" customWidth="1"/>
    <col min="5" max="24" width="4.125" style="3" customWidth="1"/>
    <col min="25" max="16384" width="9" style="3"/>
  </cols>
  <sheetData>
    <row r="1" spans="1:25" ht="20.100000000000001" customHeight="1" x14ac:dyDescent="0.15">
      <c r="A1" s="182" t="s">
        <v>0</v>
      </c>
      <c r="B1" s="182"/>
      <c r="C1" s="182"/>
      <c r="D1" s="182"/>
      <c r="E1" s="182"/>
      <c r="F1" s="183" t="s">
        <v>37</v>
      </c>
      <c r="G1" s="184"/>
      <c r="H1" s="177" t="s">
        <v>1</v>
      </c>
      <c r="I1" s="178"/>
      <c r="J1" s="178"/>
      <c r="K1" s="178"/>
      <c r="L1" s="178"/>
      <c r="M1" s="178"/>
      <c r="N1" s="181" t="s">
        <v>2</v>
      </c>
      <c r="O1" s="181"/>
      <c r="P1" s="179">
        <v>38057</v>
      </c>
      <c r="Q1" s="180"/>
      <c r="R1" s="180"/>
      <c r="S1" s="180"/>
      <c r="T1" s="176" t="s">
        <v>3</v>
      </c>
      <c r="U1" s="176"/>
      <c r="V1" s="170" t="s">
        <v>42</v>
      </c>
      <c r="W1" s="170"/>
      <c r="X1" s="170"/>
    </row>
    <row r="2" spans="1:25" ht="20.100000000000001" customHeight="1" x14ac:dyDescent="0.15">
      <c r="A2" s="171" t="s">
        <v>4</v>
      </c>
      <c r="B2" s="171"/>
      <c r="C2" s="171"/>
      <c r="D2" s="171"/>
      <c r="E2" s="171"/>
      <c r="F2" s="172" t="s">
        <v>38</v>
      </c>
      <c r="G2" s="160"/>
      <c r="H2" s="33" t="s">
        <v>1</v>
      </c>
      <c r="I2" s="33"/>
      <c r="J2" s="33"/>
      <c r="K2" s="33" t="s">
        <v>41</v>
      </c>
      <c r="L2" s="34"/>
      <c r="M2" s="35"/>
      <c r="N2" s="171" t="s">
        <v>5</v>
      </c>
      <c r="O2" s="171"/>
      <c r="P2" s="173" t="s">
        <v>43</v>
      </c>
      <c r="Q2" s="174"/>
      <c r="R2" s="175"/>
      <c r="S2" s="36" t="s">
        <v>39</v>
      </c>
      <c r="T2" s="176" t="s">
        <v>6</v>
      </c>
      <c r="U2" s="176"/>
      <c r="V2" s="170">
        <v>2004.1</v>
      </c>
      <c r="W2" s="170"/>
      <c r="X2" s="170"/>
    </row>
    <row r="3" spans="1:25" ht="18" customHeight="1" x14ac:dyDescent="0.15">
      <c r="A3" s="185"/>
      <c r="B3" s="186"/>
      <c r="C3" s="186"/>
      <c r="D3" s="18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</row>
    <row r="4" spans="1:25" ht="18" customHeight="1" x14ac:dyDescent="0.15">
      <c r="A4" s="166"/>
      <c r="B4" s="167"/>
      <c r="C4" s="167"/>
      <c r="D4" s="167"/>
      <c r="X4" s="8"/>
    </row>
    <row r="5" spans="1:25" ht="18" customHeight="1" x14ac:dyDescent="0.15">
      <c r="A5" s="166"/>
      <c r="B5" s="167"/>
      <c r="C5" s="167"/>
      <c r="D5" s="167"/>
      <c r="X5" s="8"/>
    </row>
    <row r="6" spans="1:25" ht="18" customHeight="1" x14ac:dyDescent="0.15">
      <c r="A6" s="166"/>
      <c r="B6" s="167"/>
      <c r="C6" s="167"/>
      <c r="D6" s="167"/>
      <c r="X6" s="8"/>
    </row>
    <row r="7" spans="1:25" ht="18" customHeight="1" x14ac:dyDescent="0.15">
      <c r="A7" s="166"/>
      <c r="B7" s="167"/>
      <c r="C7" s="167"/>
      <c r="D7" s="167"/>
      <c r="X7" s="8"/>
    </row>
    <row r="8" spans="1:25" ht="147.75" customHeight="1" x14ac:dyDescent="0.15">
      <c r="A8" s="166"/>
      <c r="B8" s="167"/>
      <c r="C8" s="167"/>
      <c r="D8" s="167"/>
      <c r="X8" s="8"/>
    </row>
    <row r="9" spans="1:25" ht="18" customHeight="1" x14ac:dyDescent="0.15">
      <c r="A9" s="166"/>
      <c r="B9" s="167"/>
      <c r="C9" s="167"/>
      <c r="D9" s="167"/>
      <c r="X9" s="8"/>
    </row>
    <row r="10" spans="1:25" ht="18" customHeight="1" x14ac:dyDescent="0.15">
      <c r="A10" s="166"/>
      <c r="B10" s="167"/>
      <c r="C10" s="167"/>
      <c r="D10" s="167"/>
      <c r="X10" s="8"/>
    </row>
    <row r="11" spans="1:25" ht="18" customHeight="1" x14ac:dyDescent="0.15">
      <c r="A11" s="166"/>
      <c r="B11" s="167"/>
      <c r="C11" s="167"/>
      <c r="D11" s="167"/>
      <c r="X11" s="8"/>
    </row>
    <row r="12" spans="1:25" ht="18" customHeight="1" x14ac:dyDescent="0.15">
      <c r="A12" s="168"/>
      <c r="B12" s="169"/>
      <c r="C12" s="167"/>
      <c r="D12" s="167"/>
      <c r="X12" s="8"/>
    </row>
    <row r="13" spans="1:25" ht="18" customHeight="1" x14ac:dyDescent="0.15">
      <c r="A13" s="160"/>
      <c r="B13" s="161"/>
      <c r="C13" s="161"/>
      <c r="D13" s="161"/>
      <c r="E13" s="9"/>
      <c r="F13" s="9"/>
      <c r="G13" s="9"/>
      <c r="H13" s="9"/>
      <c r="I13" s="9"/>
      <c r="J13" s="10"/>
      <c r="K13" s="10"/>
      <c r="L13" s="10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4"/>
    </row>
    <row r="14" spans="1:25" s="13" customFormat="1" ht="18" customHeight="1" x14ac:dyDescent="0.15">
      <c r="A14" s="165" t="s">
        <v>7</v>
      </c>
      <c r="B14" s="165"/>
      <c r="C14" s="165"/>
      <c r="D14" s="165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2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8" customFormat="1" ht="18" customHeight="1" x14ac:dyDescent="0.15">
      <c r="A15" s="165" t="s">
        <v>8</v>
      </c>
      <c r="B15" s="165"/>
      <c r="C15" s="165"/>
      <c r="D15" s="165"/>
      <c r="E15" s="14" t="s">
        <v>9</v>
      </c>
      <c r="F15" s="14" t="s">
        <v>10</v>
      </c>
      <c r="G15" s="14" t="s">
        <v>11</v>
      </c>
      <c r="H15" s="14" t="s">
        <v>12</v>
      </c>
      <c r="I15" s="14" t="s">
        <v>13</v>
      </c>
      <c r="J15" s="14" t="s">
        <v>12</v>
      </c>
      <c r="K15" s="14" t="s">
        <v>14</v>
      </c>
      <c r="L15" s="14" t="s">
        <v>15</v>
      </c>
      <c r="M15" s="14" t="s">
        <v>16</v>
      </c>
      <c r="N15" s="14" t="s">
        <v>17</v>
      </c>
      <c r="O15" s="14" t="s">
        <v>18</v>
      </c>
      <c r="P15" s="15" t="s">
        <v>19</v>
      </c>
      <c r="Q15" s="16"/>
      <c r="S15" s="17"/>
      <c r="T15" s="17"/>
      <c r="U15" s="17"/>
      <c r="V15" s="17"/>
      <c r="W15" s="17"/>
      <c r="X15" s="17"/>
    </row>
    <row r="16" spans="1:25" s="18" customFormat="1" ht="125.1" customHeight="1" x14ac:dyDescent="0.15">
      <c r="A16" s="164"/>
      <c r="B16" s="155"/>
      <c r="C16" s="155"/>
      <c r="D16" s="156"/>
      <c r="E16" s="19"/>
      <c r="F16" s="20"/>
      <c r="G16" s="20"/>
      <c r="H16" s="20"/>
      <c r="I16" s="19"/>
      <c r="J16" s="20"/>
      <c r="K16" s="16"/>
      <c r="L16" s="20"/>
      <c r="M16" s="20"/>
      <c r="N16" s="20"/>
      <c r="O16" s="20"/>
      <c r="P16" s="16"/>
      <c r="Q16" s="20"/>
      <c r="R16" s="20"/>
      <c r="T16" s="20"/>
      <c r="U16" s="20"/>
      <c r="V16" s="20"/>
      <c r="W16" s="20"/>
      <c r="X16" s="16"/>
      <c r="Y16" s="21"/>
    </row>
    <row r="17" spans="1:24" ht="18" customHeight="1" x14ac:dyDescent="0.15">
      <c r="A17" s="164" t="s">
        <v>20</v>
      </c>
      <c r="B17" s="155"/>
      <c r="C17" s="155" t="s">
        <v>21</v>
      </c>
      <c r="D17" s="156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3"/>
      <c r="R17" s="23"/>
      <c r="S17" s="23"/>
      <c r="T17" s="23"/>
      <c r="U17" s="23"/>
      <c r="V17" s="23"/>
      <c r="W17" s="23"/>
      <c r="X17" s="23"/>
    </row>
    <row r="18" spans="1:24" ht="18" customHeight="1" x14ac:dyDescent="0.15">
      <c r="A18" s="164" t="s">
        <v>22</v>
      </c>
      <c r="B18" s="155"/>
      <c r="C18" s="155" t="s">
        <v>23</v>
      </c>
      <c r="D18" s="156"/>
      <c r="E18" s="23"/>
      <c r="F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</row>
    <row r="19" spans="1:24" ht="18" customHeight="1" x14ac:dyDescent="0.15">
      <c r="A19" s="164" t="s">
        <v>40</v>
      </c>
      <c r="B19" s="155"/>
      <c r="C19" s="155" t="s">
        <v>24</v>
      </c>
      <c r="D19" s="156"/>
      <c r="E19" s="23"/>
      <c r="F19" s="23"/>
      <c r="G19" s="23"/>
      <c r="H19" s="23"/>
      <c r="I19" s="23"/>
      <c r="J19" s="23"/>
      <c r="K19" s="23"/>
      <c r="L19" s="23"/>
      <c r="M19" s="23"/>
      <c r="N19" s="23"/>
      <c r="P19" s="23"/>
      <c r="Q19" s="23"/>
      <c r="R19" s="23"/>
      <c r="S19" s="23"/>
      <c r="T19" s="23"/>
      <c r="U19" s="23"/>
      <c r="V19" s="23"/>
      <c r="W19" s="23"/>
      <c r="X19" s="23"/>
    </row>
    <row r="20" spans="1:24" ht="18" customHeight="1" x14ac:dyDescent="0.15">
      <c r="A20" s="164" t="s">
        <v>25</v>
      </c>
      <c r="B20" s="155"/>
      <c r="C20" s="155" t="s">
        <v>26</v>
      </c>
      <c r="D20" s="156"/>
      <c r="E20" s="23"/>
      <c r="F20" s="23"/>
      <c r="G20" s="24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</row>
    <row r="21" spans="1:24" ht="18" customHeight="1" x14ac:dyDescent="0.15">
      <c r="A21" s="157" t="s">
        <v>27</v>
      </c>
      <c r="B21" s="158"/>
      <c r="C21" s="158" t="s">
        <v>28</v>
      </c>
      <c r="D21" s="159"/>
      <c r="E21" s="25"/>
      <c r="F21" s="25"/>
      <c r="G21" s="25"/>
      <c r="H21" s="25"/>
      <c r="I21" s="25"/>
      <c r="J21" s="25"/>
      <c r="L21" s="25"/>
      <c r="M21" s="25"/>
      <c r="N21" s="25"/>
      <c r="O21" s="25"/>
      <c r="P21" s="25"/>
      <c r="Q21" s="23"/>
      <c r="R21" s="23"/>
      <c r="S21" s="23"/>
      <c r="T21" s="23"/>
      <c r="U21" s="23"/>
      <c r="V21" s="23"/>
      <c r="W21" s="23"/>
      <c r="X21" s="23"/>
    </row>
    <row r="22" spans="1:24" ht="18" customHeight="1" x14ac:dyDescent="0.15">
      <c r="A22" s="163"/>
      <c r="B22" s="149"/>
      <c r="C22" s="150"/>
      <c r="D22" s="151"/>
      <c r="E22" s="2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</row>
    <row r="23" spans="1:24" ht="18" customHeight="1" x14ac:dyDescent="0.15">
      <c r="A23" s="160"/>
      <c r="B23" s="161"/>
      <c r="C23" s="161"/>
      <c r="D23" s="162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</row>
    <row r="24" spans="1:24" ht="18" customHeight="1" x14ac:dyDescent="0.15">
      <c r="A24" s="149"/>
      <c r="B24" s="150"/>
      <c r="C24" s="155"/>
      <c r="D24" s="156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</row>
    <row r="25" spans="1:24" ht="18" customHeight="1" x14ac:dyDescent="0.15">
      <c r="A25" s="149"/>
      <c r="B25" s="150"/>
      <c r="C25" s="155"/>
      <c r="D25" s="156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</row>
    <row r="26" spans="1:24" ht="18" customHeight="1" x14ac:dyDescent="0.15">
      <c r="A26" s="149"/>
      <c r="B26" s="150"/>
      <c r="C26" s="155"/>
      <c r="D26" s="156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</row>
    <row r="27" spans="1:24" ht="18" customHeight="1" x14ac:dyDescent="0.15">
      <c r="A27" s="149"/>
      <c r="B27" s="150"/>
      <c r="C27" s="150"/>
      <c r="D27" s="151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</row>
    <row r="28" spans="1:24" ht="18" customHeight="1" x14ac:dyDescent="0.15">
      <c r="A28" s="149"/>
      <c r="B28" s="150"/>
      <c r="C28" s="150"/>
      <c r="D28" s="151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</row>
    <row r="29" spans="1:24" ht="18" customHeight="1" x14ac:dyDescent="0.15">
      <c r="A29" s="149"/>
      <c r="B29" s="150"/>
      <c r="C29" s="150"/>
      <c r="D29" s="151"/>
      <c r="E29" s="23"/>
      <c r="F29" s="23"/>
      <c r="G29" s="23"/>
      <c r="H29" s="27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</row>
    <row r="30" spans="1:24" ht="18" customHeight="1" x14ac:dyDescent="0.15">
      <c r="A30" s="149"/>
      <c r="B30" s="150"/>
      <c r="C30" s="150"/>
      <c r="D30" s="151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</row>
    <row r="31" spans="1:24" ht="18" customHeight="1" x14ac:dyDescent="0.15">
      <c r="A31" s="152"/>
      <c r="B31" s="153"/>
      <c r="C31" s="153"/>
      <c r="D31" s="154"/>
      <c r="E31" s="23"/>
      <c r="F31" s="23"/>
      <c r="G31" s="23"/>
      <c r="H31" s="23"/>
      <c r="I31" s="1"/>
      <c r="J31" s="23"/>
      <c r="K31" s="23"/>
      <c r="L31" s="1"/>
      <c r="M31" s="23"/>
      <c r="N31" s="1"/>
      <c r="P31" s="23"/>
      <c r="Q31" s="1"/>
      <c r="R31" s="2"/>
      <c r="S31" s="2"/>
      <c r="T31" s="2"/>
      <c r="U31" s="2"/>
      <c r="V31" s="23"/>
      <c r="W31" s="23"/>
      <c r="X31" s="23"/>
    </row>
    <row r="32" spans="1:24" ht="18" customHeight="1" x14ac:dyDescent="0.15">
      <c r="A32" s="152"/>
      <c r="B32" s="153"/>
      <c r="C32" s="153"/>
      <c r="D32" s="154"/>
      <c r="E32" s="23"/>
      <c r="F32" s="1"/>
      <c r="G32" s="23"/>
      <c r="H32" s="23"/>
      <c r="I32" s="23"/>
      <c r="J32" s="1"/>
      <c r="K32" s="23"/>
      <c r="L32" s="23"/>
      <c r="M32" s="1"/>
      <c r="N32" s="23"/>
      <c r="O32" s="23"/>
      <c r="P32" s="23"/>
      <c r="Q32" s="23"/>
      <c r="R32" s="2"/>
      <c r="S32" s="2"/>
      <c r="T32" s="2"/>
      <c r="U32" s="2"/>
      <c r="V32" s="23"/>
      <c r="W32" s="23"/>
      <c r="X32" s="23"/>
    </row>
    <row r="33" spans="1:24" ht="18" customHeight="1" x14ac:dyDescent="0.15">
      <c r="A33" s="28" t="s">
        <v>29</v>
      </c>
      <c r="B33" s="29" t="s">
        <v>30</v>
      </c>
      <c r="C33" s="30">
        <f>SUM(E33:X33)</f>
        <v>150</v>
      </c>
      <c r="D33" s="31" t="s">
        <v>31</v>
      </c>
      <c r="E33" s="1">
        <v>91</v>
      </c>
      <c r="F33" s="1">
        <v>6</v>
      </c>
      <c r="G33" s="1">
        <v>2</v>
      </c>
      <c r="H33" s="1">
        <v>3</v>
      </c>
      <c r="I33" s="1">
        <v>7</v>
      </c>
      <c r="J33" s="1">
        <v>2</v>
      </c>
      <c r="K33" s="1">
        <v>3</v>
      </c>
      <c r="L33" s="1">
        <v>22</v>
      </c>
      <c r="M33" s="1">
        <v>6</v>
      </c>
      <c r="N33" s="1">
        <v>2</v>
      </c>
      <c r="O33" s="1">
        <v>3</v>
      </c>
      <c r="P33" s="1">
        <v>3</v>
      </c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52" t="s">
        <v>32</v>
      </c>
      <c r="B34" s="153"/>
      <c r="C34" s="153"/>
      <c r="D34" s="154"/>
      <c r="E34" s="5">
        <v>110</v>
      </c>
      <c r="F34" s="5">
        <v>110</v>
      </c>
      <c r="G34" s="5">
        <v>110</v>
      </c>
      <c r="H34" s="5">
        <v>10</v>
      </c>
      <c r="I34" s="5">
        <v>110</v>
      </c>
      <c r="J34" s="5">
        <v>10</v>
      </c>
      <c r="K34" s="5">
        <v>10</v>
      </c>
      <c r="L34" s="5">
        <v>110</v>
      </c>
      <c r="M34" s="5">
        <v>110</v>
      </c>
      <c r="N34" s="5">
        <v>110</v>
      </c>
      <c r="O34" s="5">
        <v>10</v>
      </c>
      <c r="P34" s="5">
        <v>10</v>
      </c>
      <c r="Q34" s="5"/>
      <c r="R34" s="5"/>
      <c r="S34" s="5"/>
      <c r="T34" s="5"/>
      <c r="U34" s="5"/>
      <c r="V34" s="5"/>
      <c r="W34" s="5"/>
      <c r="X34" s="5"/>
    </row>
    <row r="35" spans="1:24" ht="18" customHeight="1" x14ac:dyDescent="0.15">
      <c r="A35" s="152" t="s">
        <v>33</v>
      </c>
      <c r="B35" s="153"/>
      <c r="C35" s="153"/>
      <c r="D35" s="154"/>
      <c r="E35" s="5">
        <v>6</v>
      </c>
      <c r="F35" s="5">
        <v>0.95</v>
      </c>
      <c r="G35" s="5">
        <v>0.95</v>
      </c>
      <c r="H35" s="5">
        <v>0.95</v>
      </c>
      <c r="I35" s="5">
        <v>0.95</v>
      </c>
      <c r="J35" s="5">
        <v>0.95</v>
      </c>
      <c r="K35" s="5">
        <v>0.95</v>
      </c>
      <c r="L35" s="5">
        <v>6</v>
      </c>
      <c r="M35" s="5">
        <v>0.95</v>
      </c>
      <c r="N35" s="5">
        <v>0.95</v>
      </c>
      <c r="O35" s="5">
        <v>0.95</v>
      </c>
      <c r="P35" s="5">
        <v>0.95</v>
      </c>
      <c r="Q35" s="5"/>
      <c r="R35" s="5"/>
      <c r="S35" s="5"/>
      <c r="T35" s="5"/>
      <c r="U35" s="5"/>
      <c r="V35" s="5"/>
      <c r="W35" s="5"/>
      <c r="X35" s="5"/>
    </row>
    <row r="36" spans="1:24" ht="18" customHeight="1" x14ac:dyDescent="0.15">
      <c r="A36" s="152" t="s">
        <v>34</v>
      </c>
      <c r="B36" s="153"/>
      <c r="C36" s="153"/>
      <c r="D36" s="154"/>
      <c r="E36" s="5" t="s">
        <v>35</v>
      </c>
      <c r="F36" s="5" t="s">
        <v>36</v>
      </c>
      <c r="G36" s="5" t="s">
        <v>36</v>
      </c>
      <c r="H36" s="5" t="s">
        <v>36</v>
      </c>
      <c r="I36" s="5" t="s">
        <v>36</v>
      </c>
      <c r="J36" s="5" t="s">
        <v>36</v>
      </c>
      <c r="K36" s="5" t="s">
        <v>36</v>
      </c>
      <c r="L36" s="5" t="s">
        <v>36</v>
      </c>
      <c r="M36" s="5" t="s">
        <v>35</v>
      </c>
      <c r="N36" s="5" t="s">
        <v>35</v>
      </c>
      <c r="O36" s="5" t="s">
        <v>35</v>
      </c>
      <c r="P36" s="5" t="s">
        <v>35</v>
      </c>
      <c r="Q36" s="5"/>
      <c r="R36" s="5"/>
      <c r="S36" s="5"/>
      <c r="T36" s="5"/>
      <c r="U36" s="5"/>
      <c r="V36" s="5"/>
      <c r="W36" s="5"/>
      <c r="X36" s="5"/>
    </row>
  </sheetData>
  <mergeCells count="71">
    <mergeCell ref="A3:B3"/>
    <mergeCell ref="C3:D3"/>
    <mergeCell ref="A4:B4"/>
    <mergeCell ref="A6:B6"/>
    <mergeCell ref="C4:D4"/>
    <mergeCell ref="A5:B5"/>
    <mergeCell ref="C5:D5"/>
    <mergeCell ref="V1:X1"/>
    <mergeCell ref="A2:E2"/>
    <mergeCell ref="F2:G2"/>
    <mergeCell ref="N2:O2"/>
    <mergeCell ref="P2:R2"/>
    <mergeCell ref="T2:U2"/>
    <mergeCell ref="V2:X2"/>
    <mergeCell ref="H1:M1"/>
    <mergeCell ref="P1:S1"/>
    <mergeCell ref="T1:U1"/>
    <mergeCell ref="N1:O1"/>
    <mergeCell ref="A1:E1"/>
    <mergeCell ref="F1:G1"/>
    <mergeCell ref="A9:B9"/>
    <mergeCell ref="C9:D9"/>
    <mergeCell ref="A10:B10"/>
    <mergeCell ref="C10:D10"/>
    <mergeCell ref="C6:D6"/>
    <mergeCell ref="A7:B7"/>
    <mergeCell ref="C7:D7"/>
    <mergeCell ref="A8:B8"/>
    <mergeCell ref="C8:D8"/>
    <mergeCell ref="A14:D14"/>
    <mergeCell ref="A15:D15"/>
    <mergeCell ref="A13:B13"/>
    <mergeCell ref="C13:D13"/>
    <mergeCell ref="A11:B11"/>
    <mergeCell ref="C11:D11"/>
    <mergeCell ref="A12:B12"/>
    <mergeCell ref="C12:D12"/>
    <mergeCell ref="A20:B20"/>
    <mergeCell ref="C20:D20"/>
    <mergeCell ref="A16:D16"/>
    <mergeCell ref="A17:B17"/>
    <mergeCell ref="C17:D17"/>
    <mergeCell ref="A18:B18"/>
    <mergeCell ref="C18:D18"/>
    <mergeCell ref="A19:B19"/>
    <mergeCell ref="C19:D19"/>
    <mergeCell ref="A21:B21"/>
    <mergeCell ref="C21:D21"/>
    <mergeCell ref="A24:B24"/>
    <mergeCell ref="C24:D24"/>
    <mergeCell ref="A23:B23"/>
    <mergeCell ref="C23:D23"/>
    <mergeCell ref="C22:D22"/>
    <mergeCell ref="A22:B22"/>
    <mergeCell ref="A27:B27"/>
    <mergeCell ref="C27:D27"/>
    <mergeCell ref="A28:B28"/>
    <mergeCell ref="C28:D28"/>
    <mergeCell ref="A25:B25"/>
    <mergeCell ref="C25:D25"/>
    <mergeCell ref="A26:B26"/>
    <mergeCell ref="C26:D26"/>
    <mergeCell ref="A29:B29"/>
    <mergeCell ref="C29:D29"/>
    <mergeCell ref="A30:B30"/>
    <mergeCell ref="C30:D30"/>
    <mergeCell ref="A36:D36"/>
    <mergeCell ref="A34:D34"/>
    <mergeCell ref="A35:D35"/>
    <mergeCell ref="A31:D31"/>
    <mergeCell ref="A32:D32"/>
  </mergeCells>
  <phoneticPr fontId="2"/>
  <pageMargins left="0.98425196850393704" right="0.11811023622047245" top="0.43307086614173229" bottom="0.59055118110236227" header="0.23622047244094491" footer="0.31496062992125984"/>
  <pageSetup paperSize="9" scale="94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2026-02-10</vt:lpstr>
      <vt:lpstr>420029</vt:lpstr>
      <vt:lpstr>'2026-02-10'!Print_Area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hamada</dc:creator>
  <cp:lastModifiedBy>繁内 修二</cp:lastModifiedBy>
  <cp:lastPrinted>2025-06-06T07:57:45Z</cp:lastPrinted>
  <dcterms:created xsi:type="dcterms:W3CDTF">2003-04-03T01:22:37Z</dcterms:created>
  <dcterms:modified xsi:type="dcterms:W3CDTF">2026-02-21T12:25:45Z</dcterms:modified>
</cp:coreProperties>
</file>