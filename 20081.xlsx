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192.168.1.30\server共有\本社\保守\定期点検・設定関係\01設定値\R7新設・改良・受取分\受取\2-28関連\2-28現示階梯図（最終）\"/>
    </mc:Choice>
  </mc:AlternateContent>
  <xr:revisionPtr revIDLastSave="0" documentId="13_ncr:1_{4C8B7487-DA1A-4D8D-AB5E-4896EFC278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20" sheetId="3" r:id="rId1"/>
    <sheet name="100807" sheetId="2" r:id="rId2"/>
    <sheet name="250081" sheetId="1" r:id="rId3"/>
  </sheets>
  <definedNames>
    <definedName name="_xlnm.Print_Area" localSheetId="0">'2026-02-20'!$A$1:$X$40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3" i="3" l="1"/>
  <c r="AD13" i="3" s="1"/>
  <c r="AA15" i="3"/>
  <c r="AD15" i="3" s="1"/>
  <c r="AA14" i="3"/>
  <c r="AD14" i="3" s="1"/>
  <c r="C36" i="3"/>
  <c r="AA37" i="3"/>
  <c r="AA36" i="3"/>
  <c r="C37" i="3"/>
  <c r="C33" i="2"/>
  <c r="C33" i="1"/>
</calcChain>
</file>

<file path=xl/sharedStrings.xml><?xml version="1.0" encoding="utf-8"?>
<sst xmlns="http://schemas.openxmlformats.org/spreadsheetml/2006/main" count="223" uniqueCount="77">
  <si>
    <t>規制番号　名称</t>
    <rPh sb="0" eb="2">
      <t>キセイ</t>
    </rPh>
    <rPh sb="2" eb="4">
      <t>バンゴウ</t>
    </rPh>
    <rPh sb="5" eb="7">
      <t>メイショウ</t>
    </rPh>
    <phoneticPr fontId="1"/>
  </si>
  <si>
    <t xml:space="preserve">2-0081 </t>
    <phoneticPr fontId="1"/>
  </si>
  <si>
    <t>海上自衛隊呉総監部前</t>
    <rPh sb="0" eb="2">
      <t>カイジョウ</t>
    </rPh>
    <rPh sb="2" eb="4">
      <t>ジエイ</t>
    </rPh>
    <rPh sb="4" eb="5">
      <t>タイ</t>
    </rPh>
    <rPh sb="5" eb="6">
      <t>クレ</t>
    </rPh>
    <rPh sb="6" eb="8">
      <t>ソウカン</t>
    </rPh>
    <rPh sb="8" eb="9">
      <t>ブ</t>
    </rPh>
    <rPh sb="9" eb="10">
      <t>マエ</t>
    </rPh>
    <phoneticPr fontId="1"/>
  </si>
  <si>
    <t>運　用</t>
    <rPh sb="0" eb="1">
      <t>ウン</t>
    </rPh>
    <rPh sb="2" eb="3">
      <t>ヨウ</t>
    </rPh>
    <phoneticPr fontId="1"/>
  </si>
  <si>
    <t>H.14年12月 2日</t>
    <rPh sb="4" eb="5">
      <t>ネン</t>
    </rPh>
    <rPh sb="7" eb="8">
      <t>ガツ</t>
    </rPh>
    <rPh sb="10" eb="11">
      <t>ニチ</t>
    </rPh>
    <phoneticPr fontId="1"/>
  </si>
  <si>
    <t>製造番号</t>
    <rPh sb="0" eb="2">
      <t>セイゾウ</t>
    </rPh>
    <rPh sb="2" eb="4">
      <t>バンゴウ</t>
    </rPh>
    <phoneticPr fontId="1"/>
  </si>
  <si>
    <t>2C0747</t>
    <phoneticPr fontId="1"/>
  </si>
  <si>
    <t>管制番号　名称</t>
    <rPh sb="0" eb="2">
      <t>カンセイ</t>
    </rPh>
    <rPh sb="2" eb="4">
      <t>バンゴウ</t>
    </rPh>
    <rPh sb="5" eb="7">
      <t>メイショウ</t>
    </rPh>
    <phoneticPr fontId="1"/>
  </si>
  <si>
    <t xml:space="preserve">250081 </t>
    <phoneticPr fontId="1"/>
  </si>
  <si>
    <t>（Ⅰ型）</t>
    <rPh sb="2" eb="3">
      <t>カタ</t>
    </rPh>
    <phoneticPr fontId="1"/>
  </si>
  <si>
    <t>開始日時</t>
    <rPh sb="0" eb="2">
      <t>カイシ</t>
    </rPh>
    <rPh sb="2" eb="4">
      <t>ニチジ</t>
    </rPh>
    <phoneticPr fontId="1"/>
  </si>
  <si>
    <t>～</t>
    <phoneticPr fontId="1"/>
  </si>
  <si>
    <t>製造年月</t>
    <rPh sb="0" eb="2">
      <t>セイゾウ</t>
    </rPh>
    <rPh sb="2" eb="4">
      <t>ネンゲツ</t>
    </rPh>
    <phoneticPr fontId="1"/>
  </si>
  <si>
    <t>平成14年 9月</t>
    <rPh sb="0" eb="2">
      <t>ヘイセイ</t>
    </rPh>
    <rPh sb="4" eb="5">
      <t>ネン</t>
    </rPh>
    <rPh sb="7" eb="8">
      <t>ガツ</t>
    </rPh>
    <phoneticPr fontId="1"/>
  </si>
  <si>
    <t>ステップ番号</t>
    <rPh sb="4" eb="6">
      <t>バンゴウ</t>
    </rPh>
    <phoneticPr fontId="1"/>
  </si>
  <si>
    <t>ステップ名称</t>
    <rPh sb="4" eb="6">
      <t>メイショウ</t>
    </rPh>
    <phoneticPr fontId="1"/>
  </si>
  <si>
    <t>1PG</t>
    <phoneticPr fontId="1"/>
  </si>
  <si>
    <t>1PW</t>
    <phoneticPr fontId="1"/>
  </si>
  <si>
    <t>1 G</t>
    <phoneticPr fontId="1"/>
  </si>
  <si>
    <t>1 Y</t>
    <phoneticPr fontId="1"/>
  </si>
  <si>
    <t>1 R</t>
    <phoneticPr fontId="1"/>
  </si>
  <si>
    <t>2PG</t>
    <phoneticPr fontId="1"/>
  </si>
  <si>
    <t>2PW</t>
    <phoneticPr fontId="1"/>
  </si>
  <si>
    <t>2 G</t>
    <phoneticPr fontId="1"/>
  </si>
  <si>
    <t>2 Y</t>
    <phoneticPr fontId="1"/>
  </si>
  <si>
    <t>2 R</t>
    <phoneticPr fontId="1"/>
  </si>
  <si>
    <t>3PG</t>
    <phoneticPr fontId="1"/>
  </si>
  <si>
    <t>3PW</t>
    <phoneticPr fontId="1"/>
  </si>
  <si>
    <t>3 G</t>
    <phoneticPr fontId="1"/>
  </si>
  <si>
    <t>3 Y</t>
    <phoneticPr fontId="1"/>
  </si>
  <si>
    <t>3 R</t>
    <phoneticPr fontId="1"/>
  </si>
  <si>
    <t>１</t>
    <phoneticPr fontId="1"/>
  </si>
  <si>
    <t>[ 1V ]</t>
    <phoneticPr fontId="1"/>
  </si>
  <si>
    <t xml:space="preserve"> １’</t>
    <phoneticPr fontId="1"/>
  </si>
  <si>
    <t>[ 4V ]</t>
    <phoneticPr fontId="1"/>
  </si>
  <si>
    <t>１’左矢</t>
    <rPh sb="2" eb="4">
      <t>ヒダリヤ</t>
    </rPh>
    <phoneticPr fontId="1"/>
  </si>
  <si>
    <t>[ 4A ]</t>
    <phoneticPr fontId="1"/>
  </si>
  <si>
    <t>　２Ｐ</t>
    <phoneticPr fontId="1"/>
  </si>
  <si>
    <t>[ 2P ]</t>
    <phoneticPr fontId="1"/>
  </si>
  <si>
    <t>２</t>
    <phoneticPr fontId="1"/>
  </si>
  <si>
    <t>[ 2V ]</t>
    <phoneticPr fontId="1"/>
  </si>
  <si>
    <t>　３Ｐ</t>
    <phoneticPr fontId="1"/>
  </si>
  <si>
    <t>[ 3P ]</t>
    <phoneticPr fontId="1"/>
  </si>
  <si>
    <t>３</t>
    <phoneticPr fontId="1"/>
  </si>
  <si>
    <t>[ 3V ]</t>
    <phoneticPr fontId="1"/>
  </si>
  <si>
    <t>最終指定</t>
    <rPh sb="0" eb="1">
      <t>サイ</t>
    </rPh>
    <rPh sb="1" eb="2">
      <t>オワリ</t>
    </rPh>
    <rPh sb="2" eb="4">
      <t>シテイ</t>
    </rPh>
    <phoneticPr fontId="1"/>
  </si>
  <si>
    <t>○</t>
    <phoneticPr fontId="1"/>
  </si>
  <si>
    <t>スプリット数：</t>
    <rPh sb="5" eb="6">
      <t>スウ</t>
    </rPh>
    <phoneticPr fontId="1"/>
  </si>
  <si>
    <t>可変指定</t>
    <rPh sb="0" eb="2">
      <t>カヘン</t>
    </rPh>
    <rPh sb="2" eb="4">
      <t>シテイ</t>
    </rPh>
    <phoneticPr fontId="1"/>
  </si>
  <si>
    <t>○</t>
    <phoneticPr fontId="1"/>
  </si>
  <si>
    <t>保安秒時</t>
    <rPh sb="0" eb="2">
      <t>ホアン</t>
    </rPh>
    <rPh sb="2" eb="4">
      <t>ビョウジ</t>
    </rPh>
    <phoneticPr fontId="1"/>
  </si>
  <si>
    <t>(</t>
    <phoneticPr fontId="1"/>
  </si>
  <si>
    <t>)</t>
    <phoneticPr fontId="1"/>
  </si>
  <si>
    <t>最長時間（秒）</t>
    <rPh sb="0" eb="2">
      <t>サイチョウ</t>
    </rPh>
    <rPh sb="2" eb="4">
      <t>ジカン</t>
    </rPh>
    <rPh sb="5" eb="6">
      <t>ビョウ</t>
    </rPh>
    <phoneticPr fontId="1"/>
  </si>
  <si>
    <t>最短時間（秒）</t>
    <rPh sb="0" eb="2">
      <t>サイタン</t>
    </rPh>
    <rPh sb="2" eb="4">
      <t>ジカン</t>
    </rPh>
    <rPh sb="5" eb="6">
      <t>ビョウ</t>
    </rPh>
    <phoneticPr fontId="1"/>
  </si>
  <si>
    <t>ＡＢ連動出力</t>
    <rPh sb="2" eb="4">
      <t>レンドウ</t>
    </rPh>
    <rPh sb="4" eb="6">
      <t>シュツリョク</t>
    </rPh>
    <phoneticPr fontId="1"/>
  </si>
  <si>
    <t>A</t>
    <phoneticPr fontId="1"/>
  </si>
  <si>
    <t>B</t>
    <phoneticPr fontId="1"/>
  </si>
  <si>
    <t xml:space="preserve">020081 </t>
    <phoneticPr fontId="1"/>
  </si>
  <si>
    <t>H22.8</t>
    <phoneticPr fontId="1"/>
  </si>
  <si>
    <t>(UD-TTR)</t>
    <phoneticPr fontId="1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</si>
  <si>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1"/>
  </si>
  <si>
    <t>1012号「版6」</t>
    <phoneticPr fontId="1"/>
  </si>
  <si>
    <t>メーカー</t>
    <phoneticPr fontId="1"/>
  </si>
  <si>
    <t>Int№：</t>
    <phoneticPr fontId="1"/>
  </si>
  <si>
    <t>地方総監部前</t>
    <rPh sb="0" eb="2">
      <t>チホウ</t>
    </rPh>
    <rPh sb="2" eb="5">
      <t>ソウカンブ</t>
    </rPh>
    <rPh sb="5" eb="6">
      <t>マエ</t>
    </rPh>
    <phoneticPr fontId="1"/>
  </si>
  <si>
    <t>02-0081</t>
    <phoneticPr fontId="1"/>
  </si>
  <si>
    <t>20081</t>
    <phoneticPr fontId="1"/>
  </si>
  <si>
    <t>ＰＵ</t>
    <phoneticPr fontId="1"/>
  </si>
  <si>
    <t>ＰＬ</t>
    <phoneticPr fontId="1"/>
  </si>
  <si>
    <t>３Ｐ</t>
    <phoneticPr fontId="1"/>
  </si>
  <si>
    <t>１左矢</t>
    <rPh sb="1" eb="3">
      <t>ヒダリヤ</t>
    </rPh>
    <phoneticPr fontId="1"/>
  </si>
  <si>
    <t>[ 1A ]</t>
    <phoneticPr fontId="1"/>
  </si>
  <si>
    <t>１Ｐ</t>
    <phoneticPr fontId="1"/>
  </si>
  <si>
    <t>[ 1P ]</t>
    <phoneticPr fontId="1"/>
  </si>
  <si>
    <t>日本信号</t>
    <rPh sb="0" eb="4">
      <t>ニホンシンゴウ</t>
    </rPh>
    <phoneticPr fontId="1"/>
  </si>
  <si>
    <t>K0000002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</si>
</sst>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\(#,##0\)"/>
    <numFmt numFmtId="177" formatCode="###&quot;秒&quot;"/>
    <numFmt numFmtId="178" formatCode="yyyy&quot;年&quot;m&quot;月&quot;d&quot;日&quot;;@"/>
    <numFmt numFmtId="179" formatCode="yyyy&quot;年&quot;m&quot;月&quot;;@"/>
    <numFmt numFmtId="180" formatCode="h&quot;時&quot;mm&quot;分&quot;;@"/>
    <numFmt numFmtId="181" formatCode="0.0"/>
  </numFmts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6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5" xfId="0" applyFont="1" applyBorder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49" fontId="7" fillId="0" borderId="8" xfId="0" applyNumberFormat="1" applyFont="1" applyBorder="1" applyAlignment="1">
      <alignment horizontal="left" vertical="center"/>
    </xf>
    <xf numFmtId="49" fontId="8" fillId="0" borderId="9" xfId="0" applyNumberFormat="1" applyFont="1" applyBorder="1" applyAlignment="1">
      <alignment horizontal="right" vertical="center"/>
    </xf>
    <xf numFmtId="177" fontId="2" fillId="0" borderId="9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quotePrefix="1" applyFont="1" applyAlignment="1">
      <alignment horizontal="right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right" vertical="center"/>
    </xf>
    <xf numFmtId="49" fontId="10" fillId="0" borderId="9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vertical="center"/>
    </xf>
    <xf numFmtId="49" fontId="9" fillId="0" borderId="0" xfId="0" applyNumberFormat="1" applyFont="1" applyAlignment="1">
      <alignment horizontal="center" vertical="center"/>
    </xf>
    <xf numFmtId="49" fontId="9" fillId="0" borderId="6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10" fillId="0" borderId="7" xfId="0" applyNumberFormat="1" applyFont="1" applyBorder="1" applyAlignment="1">
      <alignment vertical="center"/>
    </xf>
    <xf numFmtId="176" fontId="10" fillId="0" borderId="7" xfId="0" applyNumberFormat="1" applyFont="1" applyBorder="1" applyAlignment="1">
      <alignment vertical="center"/>
    </xf>
    <xf numFmtId="49" fontId="9" fillId="0" borderId="0" xfId="0" applyNumberFormat="1" applyFont="1" applyAlignment="1">
      <alignment horizontal="right" vertical="center"/>
    </xf>
    <xf numFmtId="181" fontId="9" fillId="0" borderId="0" xfId="0" applyNumberFormat="1" applyFont="1" applyAlignment="1">
      <alignment vertical="center"/>
    </xf>
    <xf numFmtId="49" fontId="9" fillId="0" borderId="13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9" fillId="0" borderId="15" xfId="0" applyNumberFormat="1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15" xfId="0" applyNumberFormat="1" applyFont="1" applyBorder="1" applyAlignment="1">
      <alignment horizontal="right" vertical="center"/>
    </xf>
    <xf numFmtId="49" fontId="9" fillId="0" borderId="0" xfId="0" applyNumberFormat="1" applyFont="1" applyAlignment="1">
      <alignment horizontal="right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left" vertical="center"/>
    </xf>
    <xf numFmtId="49" fontId="9" fillId="0" borderId="14" xfId="0" applyNumberFormat="1" applyFont="1" applyBorder="1" applyAlignment="1">
      <alignment horizontal="right" vertical="center"/>
    </xf>
    <xf numFmtId="49" fontId="9" fillId="0" borderId="6" xfId="0" applyNumberFormat="1" applyFont="1" applyBorder="1" applyAlignment="1">
      <alignment horizontal="right" vertical="center"/>
    </xf>
    <xf numFmtId="49" fontId="9" fillId="0" borderId="6" xfId="0" applyNumberFormat="1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49" fontId="9" fillId="0" borderId="13" xfId="0" quotePrefix="1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vertical="center"/>
    </xf>
    <xf numFmtId="49" fontId="10" fillId="0" borderId="9" xfId="0" applyNumberFormat="1" applyFont="1" applyBorder="1" applyAlignment="1">
      <alignment vertical="center"/>
    </xf>
    <xf numFmtId="49" fontId="10" fillId="0" borderId="7" xfId="0" applyNumberFormat="1" applyFont="1" applyBorder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9" fontId="9" fillId="0" borderId="13" xfId="0" applyNumberFormat="1" applyFont="1" applyBorder="1" applyAlignment="1">
      <alignment horizontal="center" vertical="center"/>
    </xf>
    <xf numFmtId="179" fontId="9" fillId="0" borderId="3" xfId="0" applyNumberFormat="1" applyFont="1" applyBorder="1" applyAlignment="1">
      <alignment horizontal="center" vertical="center"/>
    </xf>
    <xf numFmtId="179" fontId="9" fillId="0" borderId="4" xfId="0" applyNumberFormat="1" applyFont="1" applyBorder="1" applyAlignment="1">
      <alignment horizontal="center" vertical="center"/>
    </xf>
    <xf numFmtId="179" fontId="9" fillId="0" borderId="14" xfId="0" applyNumberFormat="1" applyFont="1" applyBorder="1" applyAlignment="1">
      <alignment horizontal="center" vertical="center"/>
    </xf>
    <xf numFmtId="179" fontId="9" fillId="0" borderId="6" xfId="0" applyNumberFormat="1" applyFont="1" applyBorder="1" applyAlignment="1">
      <alignment horizontal="center" vertical="center"/>
    </xf>
    <xf numFmtId="179" fontId="9" fillId="0" borderId="2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9" fontId="9" fillId="0" borderId="24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25" xfId="0" applyFont="1" applyBorder="1" applyAlignment="1">
      <alignment horizontal="center" vertical="center" shrinkToFit="1"/>
    </xf>
    <xf numFmtId="0" fontId="9" fillId="0" borderId="26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shrinkToFit="1"/>
    </xf>
    <xf numFmtId="180" fontId="9" fillId="0" borderId="24" xfId="0" applyNumberFormat="1" applyFont="1" applyBorder="1" applyAlignment="1">
      <alignment horizontal="center" vertical="center"/>
    </xf>
    <xf numFmtId="180" fontId="9" fillId="0" borderId="25" xfId="0" applyNumberFormat="1" applyFont="1" applyBorder="1" applyAlignment="1">
      <alignment horizontal="center" vertical="center"/>
    </xf>
    <xf numFmtId="180" fontId="9" fillId="0" borderId="14" xfId="0" applyNumberFormat="1" applyFont="1" applyBorder="1" applyAlignment="1">
      <alignment horizontal="center" vertical="center"/>
    </xf>
    <xf numFmtId="180" fontId="9" fillId="0" borderId="6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78" fontId="9" fillId="0" borderId="13" xfId="0" applyNumberFormat="1" applyFont="1" applyBorder="1" applyAlignment="1">
      <alignment horizontal="center" vertical="center"/>
    </xf>
    <xf numFmtId="178" fontId="9" fillId="0" borderId="3" xfId="0" applyNumberFormat="1" applyFont="1" applyBorder="1" applyAlignment="1">
      <alignment horizontal="center" vertical="center"/>
    </xf>
    <xf numFmtId="178" fontId="9" fillId="0" borderId="4" xfId="0" applyNumberFormat="1" applyFont="1" applyBorder="1" applyAlignment="1">
      <alignment horizontal="center" vertical="center"/>
    </xf>
    <xf numFmtId="178" fontId="9" fillId="0" borderId="21" xfId="0" applyNumberFormat="1" applyFont="1" applyBorder="1" applyAlignment="1">
      <alignment horizontal="center" vertical="center"/>
    </xf>
    <xf numFmtId="178" fontId="9" fillId="0" borderId="22" xfId="0" applyNumberFormat="1" applyFont="1" applyBorder="1" applyAlignment="1">
      <alignment horizontal="center" vertical="center"/>
    </xf>
    <xf numFmtId="178" fontId="9" fillId="0" borderId="2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32" fontId="2" fillId="0" borderId="10" xfId="0" applyNumberFormat="1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49" fontId="2" fillId="0" borderId="11" xfId="0" applyNumberFormat="1" applyFont="1" applyBorder="1" applyAlignment="1">
      <alignment horizontal="right" vertical="center"/>
    </xf>
    <xf numFmtId="49" fontId="2" fillId="0" borderId="12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49" fontId="2" fillId="0" borderId="15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2" fillId="0" borderId="10" xfId="0" applyNumberFormat="1" applyFont="1" applyBorder="1" applyAlignment="1">
      <alignment horizontal="right" vertical="center"/>
    </xf>
    <xf numFmtId="49" fontId="2" fillId="0" borderId="14" xfId="0" applyNumberFormat="1" applyFont="1" applyBorder="1" applyAlignment="1">
      <alignment horizontal="right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2" fillId="0" borderId="6" xfId="0" applyNumberFormat="1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4</xdr:row>
      <xdr:rowOff>142875</xdr:rowOff>
    </xdr:from>
    <xdr:to>
      <xdr:col>22</xdr:col>
      <xdr:colOff>0</xdr:colOff>
      <xdr:row>14</xdr:row>
      <xdr:rowOff>62885</xdr:rowOff>
    </xdr:to>
    <xdr:grpSp>
      <xdr:nvGrpSpPr>
        <xdr:cNvPr id="175" name="グループ化 174">
          <a:extLst>
            <a:ext uri="{FF2B5EF4-FFF2-40B4-BE49-F238E27FC236}">
              <a16:creationId xmlns:a16="http://schemas.microsoft.com/office/drawing/2014/main" id="{2F48C0CE-7D9F-4EC5-85F7-D2771BDB05A7}"/>
            </a:ext>
          </a:extLst>
        </xdr:cNvPr>
        <xdr:cNvGrpSpPr>
          <a:grpSpLocks noChangeAspect="1"/>
        </xdr:cNvGrpSpPr>
      </xdr:nvGrpSpPr>
      <xdr:grpSpPr>
        <a:xfrm>
          <a:off x="638175" y="714375"/>
          <a:ext cx="6334125" cy="3853835"/>
          <a:chOff x="7640852" y="979016"/>
          <a:chExt cx="10862823" cy="6559893"/>
        </a:xfrm>
      </xdr:grpSpPr>
      <xdr:sp macro="" textlink="">
        <xdr:nvSpPr>
          <xdr:cNvPr id="151" name="テキスト ボックス 150">
            <a:extLst>
              <a:ext uri="{FF2B5EF4-FFF2-40B4-BE49-F238E27FC236}">
                <a16:creationId xmlns:a16="http://schemas.microsoft.com/office/drawing/2014/main" id="{EDD04DFF-C57C-4CDC-92F0-27ABC7B63062}"/>
              </a:ext>
            </a:extLst>
          </xdr:cNvPr>
          <xdr:cNvSpPr txBox="1"/>
        </xdr:nvSpPr>
        <xdr:spPr>
          <a:xfrm>
            <a:off x="16086437" y="1743847"/>
            <a:ext cx="436521" cy="250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0" rIns="36000" bIns="0" rtlCol="0" anchor="t">
            <a:spAutoFit/>
          </a:bodyPr>
          <a:lstStyle/>
          <a:p>
            <a:r>
              <a:rPr kumimoji="1" lang="en-US" altLang="ja-JP" sz="1600">
                <a:solidFill>
                  <a:srgbClr val="FF00FF"/>
                </a:solidFill>
              </a:rPr>
              <a:t>12.9</a:t>
            </a:r>
            <a:endParaRPr kumimoji="1" lang="ja-JP" altLang="en-US" sz="1600">
              <a:solidFill>
                <a:srgbClr val="FF00FF"/>
              </a:solidFill>
            </a:endParaRPr>
          </a:p>
        </xdr:txBody>
      </xdr:sp>
      <xdr:cxnSp macro="">
        <xdr:nvCxnSpPr>
          <xdr:cNvPr id="152" name="直線矢印コネクタ 151">
            <a:extLst>
              <a:ext uri="{FF2B5EF4-FFF2-40B4-BE49-F238E27FC236}">
                <a16:creationId xmlns:a16="http://schemas.microsoft.com/office/drawing/2014/main" id="{6F586682-C899-4423-B1A1-F2BB4459ACA1}"/>
              </a:ext>
            </a:extLst>
          </xdr:cNvPr>
          <xdr:cNvCxnSpPr/>
        </xdr:nvCxnSpPr>
        <xdr:spPr>
          <a:xfrm>
            <a:off x="15343744" y="1309044"/>
            <a:ext cx="628393" cy="425278"/>
          </a:xfrm>
          <a:prstGeom prst="straightConnector1">
            <a:avLst/>
          </a:prstGeom>
          <a:ln w="19050">
            <a:solidFill>
              <a:srgbClr val="FF00FF"/>
            </a:solidFill>
            <a:headEnd type="arrow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3" name="テキスト ボックス 152">
            <a:extLst>
              <a:ext uri="{FF2B5EF4-FFF2-40B4-BE49-F238E27FC236}">
                <a16:creationId xmlns:a16="http://schemas.microsoft.com/office/drawing/2014/main" id="{B3631C91-5B19-4E6B-B91D-D814ED3746F6}"/>
              </a:ext>
            </a:extLst>
          </xdr:cNvPr>
          <xdr:cNvSpPr txBox="1"/>
        </xdr:nvSpPr>
        <xdr:spPr>
          <a:xfrm>
            <a:off x="12925424" y="1702658"/>
            <a:ext cx="436521" cy="250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0" rIns="36000" bIns="0" rtlCol="0" anchor="t">
            <a:spAutoFit/>
          </a:bodyPr>
          <a:lstStyle/>
          <a:p>
            <a:r>
              <a:rPr kumimoji="1" lang="en-US" altLang="ja-JP" sz="1600">
                <a:solidFill>
                  <a:srgbClr val="FF00FF"/>
                </a:solidFill>
              </a:rPr>
              <a:t>19.4</a:t>
            </a:r>
            <a:endParaRPr kumimoji="1" lang="ja-JP" altLang="en-US" sz="1600">
              <a:solidFill>
                <a:srgbClr val="FF00FF"/>
              </a:solidFill>
            </a:endParaRPr>
          </a:p>
        </xdr:txBody>
      </xdr:sp>
      <xdr:cxnSp macro="">
        <xdr:nvCxnSpPr>
          <xdr:cNvPr id="154" name="直線矢印コネクタ 153">
            <a:extLst>
              <a:ext uri="{FF2B5EF4-FFF2-40B4-BE49-F238E27FC236}">
                <a16:creationId xmlns:a16="http://schemas.microsoft.com/office/drawing/2014/main" id="{86D2A868-74D2-4716-BCDB-2D3BB03012C8}"/>
              </a:ext>
            </a:extLst>
          </xdr:cNvPr>
          <xdr:cNvCxnSpPr/>
        </xdr:nvCxnSpPr>
        <xdr:spPr>
          <a:xfrm flipV="1">
            <a:off x="13544292" y="1521683"/>
            <a:ext cx="1085335" cy="279314"/>
          </a:xfrm>
          <a:prstGeom prst="straightConnector1">
            <a:avLst/>
          </a:prstGeom>
          <a:ln w="19050">
            <a:solidFill>
              <a:srgbClr val="FF00FF"/>
            </a:solidFill>
            <a:headEnd type="arrow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5" name="直線矢印コネクタ 154">
            <a:extLst>
              <a:ext uri="{FF2B5EF4-FFF2-40B4-BE49-F238E27FC236}">
                <a16:creationId xmlns:a16="http://schemas.microsoft.com/office/drawing/2014/main" id="{46377CCC-A8BA-4856-83DD-6A1D197407F7}"/>
              </a:ext>
            </a:extLst>
          </xdr:cNvPr>
          <xdr:cNvCxnSpPr/>
        </xdr:nvCxnSpPr>
        <xdr:spPr>
          <a:xfrm flipV="1">
            <a:off x="13182342" y="3010672"/>
            <a:ext cx="685542" cy="1431327"/>
          </a:xfrm>
          <a:prstGeom prst="straightConnector1">
            <a:avLst/>
          </a:prstGeom>
          <a:ln w="28575">
            <a:solidFill>
              <a:srgbClr val="00B050"/>
            </a:solidFill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6" name="直線矢印コネクタ 155">
            <a:extLst>
              <a:ext uri="{FF2B5EF4-FFF2-40B4-BE49-F238E27FC236}">
                <a16:creationId xmlns:a16="http://schemas.microsoft.com/office/drawing/2014/main" id="{867C6C6B-1A06-48D5-901E-2E45AACC4D07}"/>
              </a:ext>
            </a:extLst>
          </xdr:cNvPr>
          <xdr:cNvCxnSpPr/>
        </xdr:nvCxnSpPr>
        <xdr:spPr>
          <a:xfrm>
            <a:off x="13753842" y="1664558"/>
            <a:ext cx="94993" cy="1365164"/>
          </a:xfrm>
          <a:prstGeom prst="straightConnector1">
            <a:avLst/>
          </a:prstGeom>
          <a:ln w="28575">
            <a:solidFill>
              <a:srgbClr val="00B050"/>
            </a:solidFill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7" name="テキスト ボックス 156">
            <a:extLst>
              <a:ext uri="{FF2B5EF4-FFF2-40B4-BE49-F238E27FC236}">
                <a16:creationId xmlns:a16="http://schemas.microsoft.com/office/drawing/2014/main" id="{DA13EE1F-410E-4A86-A020-D7AB5CA5B827}"/>
              </a:ext>
            </a:extLst>
          </xdr:cNvPr>
          <xdr:cNvSpPr txBox="1"/>
        </xdr:nvSpPr>
        <xdr:spPr>
          <a:xfrm>
            <a:off x="13525242" y="2886847"/>
            <a:ext cx="436521" cy="250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0" rIns="36000" bIns="0" rtlCol="0" anchor="t">
            <a:spAutoFit/>
          </a:bodyPr>
          <a:lstStyle/>
          <a:p>
            <a:r>
              <a:rPr kumimoji="1" lang="en-US" altLang="ja-JP" sz="1600">
                <a:solidFill>
                  <a:srgbClr val="00B050"/>
                </a:solidFill>
              </a:rPr>
              <a:t>46.8</a:t>
            </a:r>
            <a:endParaRPr kumimoji="1" lang="ja-JP" altLang="en-US" sz="1600">
              <a:solidFill>
                <a:srgbClr val="00B050"/>
              </a:solidFill>
            </a:endParaRPr>
          </a:p>
        </xdr:txBody>
      </xdr:sp>
      <xdr:cxnSp macro="">
        <xdr:nvCxnSpPr>
          <xdr:cNvPr id="158" name="直線矢印コネクタ 157">
            <a:extLst>
              <a:ext uri="{FF2B5EF4-FFF2-40B4-BE49-F238E27FC236}">
                <a16:creationId xmlns:a16="http://schemas.microsoft.com/office/drawing/2014/main" id="{F5D2F050-C225-4AD4-8C30-7FCCD307B303}"/>
              </a:ext>
            </a:extLst>
          </xdr:cNvPr>
          <xdr:cNvCxnSpPr/>
        </xdr:nvCxnSpPr>
        <xdr:spPr>
          <a:xfrm flipH="1">
            <a:off x="13458568" y="1413819"/>
            <a:ext cx="2275701" cy="3126517"/>
          </a:xfrm>
          <a:prstGeom prst="straightConnector1">
            <a:avLst/>
          </a:prstGeom>
          <a:ln w="28575">
            <a:solidFill>
              <a:srgbClr val="00B050"/>
            </a:solidFill>
            <a:headEnd type="arrow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9" name="テキスト ボックス 158">
            <a:extLst>
              <a:ext uri="{FF2B5EF4-FFF2-40B4-BE49-F238E27FC236}">
                <a16:creationId xmlns:a16="http://schemas.microsoft.com/office/drawing/2014/main" id="{8A7D4A7F-C24D-4AF0-BBDA-6F842BC12C3E}"/>
              </a:ext>
            </a:extLst>
          </xdr:cNvPr>
          <xdr:cNvSpPr txBox="1"/>
        </xdr:nvSpPr>
        <xdr:spPr>
          <a:xfrm>
            <a:off x="13753842" y="3794554"/>
            <a:ext cx="436521" cy="250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0" rIns="36000" bIns="0" rtlCol="0" anchor="t">
            <a:spAutoFit/>
          </a:bodyPr>
          <a:lstStyle/>
          <a:p>
            <a:r>
              <a:rPr kumimoji="1" lang="en-US" altLang="ja-JP" sz="1600">
                <a:solidFill>
                  <a:srgbClr val="00B050"/>
                </a:solidFill>
              </a:rPr>
              <a:t>62.5</a:t>
            </a:r>
            <a:endParaRPr kumimoji="1" lang="ja-JP" altLang="en-US" sz="1600">
              <a:solidFill>
                <a:srgbClr val="00B050"/>
              </a:solidFill>
            </a:endParaRPr>
          </a:p>
        </xdr:txBody>
      </xdr:sp>
      <xdr:cxnSp macro="">
        <xdr:nvCxnSpPr>
          <xdr:cNvPr id="160" name="直線矢印コネクタ 159">
            <a:extLst>
              <a:ext uri="{FF2B5EF4-FFF2-40B4-BE49-F238E27FC236}">
                <a16:creationId xmlns:a16="http://schemas.microsoft.com/office/drawing/2014/main" id="{6BE2EDE0-0002-446C-BB56-B47C743BD96A}"/>
              </a:ext>
            </a:extLst>
          </xdr:cNvPr>
          <xdr:cNvCxnSpPr/>
        </xdr:nvCxnSpPr>
        <xdr:spPr>
          <a:xfrm flipH="1" flipV="1">
            <a:off x="14067909" y="2410597"/>
            <a:ext cx="1808978" cy="161928"/>
          </a:xfrm>
          <a:prstGeom prst="straightConnector1">
            <a:avLst/>
          </a:prstGeom>
          <a:ln w="28575">
            <a:solidFill>
              <a:srgbClr val="00B050"/>
            </a:solidFill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1" name="直線矢印コネクタ 160">
            <a:extLst>
              <a:ext uri="{FF2B5EF4-FFF2-40B4-BE49-F238E27FC236}">
                <a16:creationId xmlns:a16="http://schemas.microsoft.com/office/drawing/2014/main" id="{F970A7F6-F0DA-402B-9E6B-27F819F3AC3A}"/>
              </a:ext>
            </a:extLst>
          </xdr:cNvPr>
          <xdr:cNvCxnSpPr/>
        </xdr:nvCxnSpPr>
        <xdr:spPr>
          <a:xfrm>
            <a:off x="13848834" y="1635983"/>
            <a:ext cx="209550" cy="793664"/>
          </a:xfrm>
          <a:prstGeom prst="straightConnector1">
            <a:avLst/>
          </a:prstGeom>
          <a:ln w="28575">
            <a:solidFill>
              <a:srgbClr val="00B050"/>
            </a:solidFill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2" name="テキスト ボックス 161">
            <a:extLst>
              <a:ext uri="{FF2B5EF4-FFF2-40B4-BE49-F238E27FC236}">
                <a16:creationId xmlns:a16="http://schemas.microsoft.com/office/drawing/2014/main" id="{99DFB78B-A409-4B33-BEE4-500A42A70D0D}"/>
              </a:ext>
            </a:extLst>
          </xdr:cNvPr>
          <xdr:cNvSpPr txBox="1"/>
        </xdr:nvSpPr>
        <xdr:spPr>
          <a:xfrm>
            <a:off x="14039334" y="2334397"/>
            <a:ext cx="436521" cy="2504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0" rIns="36000" bIns="0" rtlCol="0" anchor="t">
            <a:spAutoFit/>
          </a:bodyPr>
          <a:lstStyle/>
          <a:p>
            <a:r>
              <a:rPr kumimoji="1" lang="en-US" altLang="ja-JP" sz="1600">
                <a:solidFill>
                  <a:srgbClr val="00B050"/>
                </a:solidFill>
              </a:rPr>
              <a:t>42.2</a:t>
            </a:r>
            <a:endParaRPr kumimoji="1" lang="ja-JP" altLang="en-US" sz="1600">
              <a:solidFill>
                <a:srgbClr val="00B050"/>
              </a:solidFill>
            </a:endParaRPr>
          </a:p>
        </xdr:txBody>
      </xdr:sp>
      <xdr:pic>
        <xdr:nvPicPr>
          <xdr:cNvPr id="38" name="図 37">
            <a:extLst>
              <a:ext uri="{FF2B5EF4-FFF2-40B4-BE49-F238E27FC236}">
                <a16:creationId xmlns:a16="http://schemas.microsoft.com/office/drawing/2014/main" id="{8C3AFC37-ABAA-4E45-9878-1477DBF92F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640852" y="979016"/>
            <a:ext cx="10862823" cy="6559077"/>
          </a:xfrm>
          <a:prstGeom prst="rect">
            <a:avLst/>
          </a:prstGeom>
        </xdr:spPr>
      </xdr:pic>
      <xdr:sp macro="" textlink="">
        <xdr:nvSpPr>
          <xdr:cNvPr id="169" name="正方形/長方形 168">
            <a:extLst>
              <a:ext uri="{FF2B5EF4-FFF2-40B4-BE49-F238E27FC236}">
                <a16:creationId xmlns:a16="http://schemas.microsoft.com/office/drawing/2014/main" id="{500A0424-AB64-4E44-85F2-0039EDDB4574}"/>
              </a:ext>
            </a:extLst>
          </xdr:cNvPr>
          <xdr:cNvSpPr/>
        </xdr:nvSpPr>
        <xdr:spPr bwMode="auto">
          <a:xfrm>
            <a:off x="7650376" y="979016"/>
            <a:ext cx="6265133" cy="94580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0" name="正方形/長方形 169">
            <a:extLst>
              <a:ext uri="{FF2B5EF4-FFF2-40B4-BE49-F238E27FC236}">
                <a16:creationId xmlns:a16="http://schemas.microsoft.com/office/drawing/2014/main" id="{9E00DC8D-7B8F-4F07-93FC-AF19705F40AC}"/>
              </a:ext>
            </a:extLst>
          </xdr:cNvPr>
          <xdr:cNvSpPr/>
        </xdr:nvSpPr>
        <xdr:spPr bwMode="auto">
          <a:xfrm>
            <a:off x="7650377" y="1635983"/>
            <a:ext cx="4294231" cy="1050839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1" name="正方形/長方形 170">
            <a:extLst>
              <a:ext uri="{FF2B5EF4-FFF2-40B4-BE49-F238E27FC236}">
                <a16:creationId xmlns:a16="http://schemas.microsoft.com/office/drawing/2014/main" id="{AA23B686-0781-4D32-94BA-C0309A6A86C5}"/>
              </a:ext>
            </a:extLst>
          </xdr:cNvPr>
          <xdr:cNvSpPr/>
        </xdr:nvSpPr>
        <xdr:spPr bwMode="auto">
          <a:xfrm>
            <a:off x="7650377" y="1791472"/>
            <a:ext cx="3104120" cy="104775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2" name="正方形/長方形 171">
            <a:extLst>
              <a:ext uri="{FF2B5EF4-FFF2-40B4-BE49-F238E27FC236}">
                <a16:creationId xmlns:a16="http://schemas.microsoft.com/office/drawing/2014/main" id="{32D874E2-36E0-4FD4-8931-ED1FA8B363EB}"/>
              </a:ext>
            </a:extLst>
          </xdr:cNvPr>
          <xdr:cNvSpPr/>
        </xdr:nvSpPr>
        <xdr:spPr bwMode="auto">
          <a:xfrm>
            <a:off x="7745627" y="2620146"/>
            <a:ext cx="1123693" cy="3143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3" name="正方形/長方形 172">
            <a:extLst>
              <a:ext uri="{FF2B5EF4-FFF2-40B4-BE49-F238E27FC236}">
                <a16:creationId xmlns:a16="http://schemas.microsoft.com/office/drawing/2014/main" id="{BB3093C1-5A0A-4748-80FA-2D6D84FCE1C3}"/>
              </a:ext>
            </a:extLst>
          </xdr:cNvPr>
          <xdr:cNvSpPr/>
        </xdr:nvSpPr>
        <xdr:spPr bwMode="auto">
          <a:xfrm>
            <a:off x="10306822" y="2629671"/>
            <a:ext cx="818893" cy="3143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4" name="正方形/長方形 173">
            <a:extLst>
              <a:ext uri="{FF2B5EF4-FFF2-40B4-BE49-F238E27FC236}">
                <a16:creationId xmlns:a16="http://schemas.microsoft.com/office/drawing/2014/main" id="{32378D16-578C-4494-BEAF-F3FCB4D4B93A}"/>
              </a:ext>
            </a:extLst>
          </xdr:cNvPr>
          <xdr:cNvSpPr/>
        </xdr:nvSpPr>
        <xdr:spPr bwMode="auto">
          <a:xfrm>
            <a:off x="7888502" y="6054553"/>
            <a:ext cx="3627738" cy="148435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FE6112C7-15F0-4C02-B2E5-115F9276284D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16</xdr:col>
      <xdr:colOff>0</xdr:colOff>
      <xdr:row>22</xdr:row>
      <xdr:rowOff>95250</xdr:rowOff>
    </xdr:from>
    <xdr:to>
      <xdr:col>19</xdr:col>
      <xdr:colOff>0</xdr:colOff>
      <xdr:row>22</xdr:row>
      <xdr:rowOff>142875</xdr:rowOff>
    </xdr:to>
    <xdr:grpSp>
      <xdr:nvGrpSpPr>
        <xdr:cNvPr id="10" name="Group 17">
          <a:extLst>
            <a:ext uri="{FF2B5EF4-FFF2-40B4-BE49-F238E27FC236}">
              <a16:creationId xmlns:a16="http://schemas.microsoft.com/office/drawing/2014/main" id="{0BEA5901-85A9-41A2-A6EE-B3C08DBD968B}"/>
            </a:ext>
          </a:extLst>
        </xdr:cNvPr>
        <xdr:cNvGrpSpPr>
          <a:grpSpLocks/>
        </xdr:cNvGrpSpPr>
      </xdr:nvGrpSpPr>
      <xdr:grpSpPr bwMode="auto">
        <a:xfrm>
          <a:off x="5086350" y="7781925"/>
          <a:ext cx="942975" cy="47625"/>
          <a:chOff x="158" y="715"/>
          <a:chExt cx="33" cy="5"/>
        </a:xfrm>
      </xdr:grpSpPr>
      <xdr:sp macro="" textlink="">
        <xdr:nvSpPr>
          <xdr:cNvPr id="11" name="Line 18">
            <a:extLst>
              <a:ext uri="{FF2B5EF4-FFF2-40B4-BE49-F238E27FC236}">
                <a16:creationId xmlns:a16="http://schemas.microsoft.com/office/drawing/2014/main" id="{E1B37424-7C2B-48BB-99C3-37D33C57BDC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9">
            <a:extLst>
              <a:ext uri="{FF2B5EF4-FFF2-40B4-BE49-F238E27FC236}">
                <a16:creationId xmlns:a16="http://schemas.microsoft.com/office/drawing/2014/main" id="{CB9A9074-82AF-45DB-98AA-188C2DFFC31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22</xdr:row>
      <xdr:rowOff>95250</xdr:rowOff>
    </xdr:from>
    <xdr:to>
      <xdr:col>14</xdr:col>
      <xdr:colOff>0</xdr:colOff>
      <xdr:row>22</xdr:row>
      <xdr:rowOff>142875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8EA5E2C3-A7F5-4F4C-93DE-097FE37549C5}"/>
            </a:ext>
          </a:extLst>
        </xdr:cNvPr>
        <xdr:cNvGrpSpPr>
          <a:grpSpLocks/>
        </xdr:cNvGrpSpPr>
      </xdr:nvGrpSpPr>
      <xdr:grpSpPr bwMode="auto">
        <a:xfrm>
          <a:off x="1314450" y="7781925"/>
          <a:ext cx="3143250" cy="47625"/>
          <a:chOff x="158" y="715"/>
          <a:chExt cx="33" cy="5"/>
        </a:xfrm>
      </xdr:grpSpPr>
      <xdr:sp macro="" textlink="">
        <xdr:nvSpPr>
          <xdr:cNvPr id="14" name="Line 21">
            <a:extLst>
              <a:ext uri="{FF2B5EF4-FFF2-40B4-BE49-F238E27FC236}">
                <a16:creationId xmlns:a16="http://schemas.microsoft.com/office/drawing/2014/main" id="{72FC1F63-F94C-41D8-9352-4858FE1024C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22">
            <a:extLst>
              <a:ext uri="{FF2B5EF4-FFF2-40B4-BE49-F238E27FC236}">
                <a16:creationId xmlns:a16="http://schemas.microsoft.com/office/drawing/2014/main" id="{86846F49-08EB-47BA-90B9-CF21BB4E37A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47625</xdr:colOff>
      <xdr:row>22</xdr:row>
      <xdr:rowOff>38100</xdr:rowOff>
    </xdr:from>
    <xdr:to>
      <xdr:col>15</xdr:col>
      <xdr:colOff>266700</xdr:colOff>
      <xdr:row>22</xdr:row>
      <xdr:rowOff>190500</xdr:rowOff>
    </xdr:to>
    <xdr:grpSp>
      <xdr:nvGrpSpPr>
        <xdr:cNvPr id="16" name="Group 23">
          <a:extLst>
            <a:ext uri="{FF2B5EF4-FFF2-40B4-BE49-F238E27FC236}">
              <a16:creationId xmlns:a16="http://schemas.microsoft.com/office/drawing/2014/main" id="{E7CAC2C4-F2F9-4848-AF0B-A9F77361A43B}"/>
            </a:ext>
          </a:extLst>
        </xdr:cNvPr>
        <xdr:cNvGrpSpPr>
          <a:grpSpLocks/>
        </xdr:cNvGrpSpPr>
      </xdr:nvGrpSpPr>
      <xdr:grpSpPr bwMode="auto">
        <a:xfrm>
          <a:off x="4819650" y="7724775"/>
          <a:ext cx="219075" cy="152400"/>
          <a:chOff x="132" y="708"/>
          <a:chExt cx="20" cy="14"/>
        </a:xfrm>
      </xdr:grpSpPr>
      <xdr:sp macro="" textlink="">
        <xdr:nvSpPr>
          <xdr:cNvPr id="17" name="Line 24">
            <a:extLst>
              <a:ext uri="{FF2B5EF4-FFF2-40B4-BE49-F238E27FC236}">
                <a16:creationId xmlns:a16="http://schemas.microsoft.com/office/drawing/2014/main" id="{DBAEF5EE-EA7A-4AD4-AB78-CC960E6F882C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25">
            <a:extLst>
              <a:ext uri="{FF2B5EF4-FFF2-40B4-BE49-F238E27FC236}">
                <a16:creationId xmlns:a16="http://schemas.microsoft.com/office/drawing/2014/main" id="{3A23C6A1-8DF6-430A-8FE5-E34E2177FD3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26">
            <a:extLst>
              <a:ext uri="{FF2B5EF4-FFF2-40B4-BE49-F238E27FC236}">
                <a16:creationId xmlns:a16="http://schemas.microsoft.com/office/drawing/2014/main" id="{53B54A2D-C623-49C0-8E33-C054F14CAFC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27">
            <a:extLst>
              <a:ext uri="{FF2B5EF4-FFF2-40B4-BE49-F238E27FC236}">
                <a16:creationId xmlns:a16="http://schemas.microsoft.com/office/drawing/2014/main" id="{96439C18-ED8C-4057-B4F5-F132A4717808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22</xdr:row>
      <xdr:rowOff>114300</xdr:rowOff>
    </xdr:from>
    <xdr:to>
      <xdr:col>15</xdr:col>
      <xdr:colOff>0</xdr:colOff>
      <xdr:row>22</xdr:row>
      <xdr:rowOff>114300</xdr:rowOff>
    </xdr:to>
    <xdr:sp macro="" textlink="">
      <xdr:nvSpPr>
        <xdr:cNvPr id="21" name="Line 28">
          <a:extLst>
            <a:ext uri="{FF2B5EF4-FFF2-40B4-BE49-F238E27FC236}">
              <a16:creationId xmlns:a16="http://schemas.microsoft.com/office/drawing/2014/main" id="{E708DE43-8D14-4762-B338-6955E435C0D9}"/>
            </a:ext>
          </a:extLst>
        </xdr:cNvPr>
        <xdr:cNvSpPr>
          <a:spLocks noChangeShapeType="1"/>
        </xdr:cNvSpPr>
      </xdr:nvSpPr>
      <xdr:spPr bwMode="auto">
        <a:xfrm>
          <a:off x="4019550" y="79533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19050</xdr:colOff>
      <xdr:row>19</xdr:row>
      <xdr:rowOff>47625</xdr:rowOff>
    </xdr:from>
    <xdr:to>
      <xdr:col>8</xdr:col>
      <xdr:colOff>0</xdr:colOff>
      <xdr:row>19</xdr:row>
      <xdr:rowOff>190500</xdr:rowOff>
    </xdr:to>
    <xdr:sp macro="" textlink="">
      <xdr:nvSpPr>
        <xdr:cNvPr id="22" name="Freeform 32">
          <a:extLst>
            <a:ext uri="{FF2B5EF4-FFF2-40B4-BE49-F238E27FC236}">
              <a16:creationId xmlns:a16="http://schemas.microsoft.com/office/drawing/2014/main" id="{0ABACE30-14DA-4C36-BB8C-033034C2A61B}"/>
            </a:ext>
          </a:extLst>
        </xdr:cNvPr>
        <xdr:cNvSpPr>
          <a:spLocks/>
        </xdr:cNvSpPr>
      </xdr:nvSpPr>
      <xdr:spPr bwMode="auto">
        <a:xfrm>
          <a:off x="1838325" y="76581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9525</xdr:colOff>
      <xdr:row>19</xdr:row>
      <xdr:rowOff>95250</xdr:rowOff>
    </xdr:from>
    <xdr:to>
      <xdr:col>19</xdr:col>
      <xdr:colOff>0</xdr:colOff>
      <xdr:row>19</xdr:row>
      <xdr:rowOff>152400</xdr:rowOff>
    </xdr:to>
    <xdr:grpSp>
      <xdr:nvGrpSpPr>
        <xdr:cNvPr id="23" name="Group 33">
          <a:extLst>
            <a:ext uri="{FF2B5EF4-FFF2-40B4-BE49-F238E27FC236}">
              <a16:creationId xmlns:a16="http://schemas.microsoft.com/office/drawing/2014/main" id="{B5004AAA-A749-4676-9262-D6FF695AD5CF}"/>
            </a:ext>
          </a:extLst>
        </xdr:cNvPr>
        <xdr:cNvGrpSpPr>
          <a:grpSpLocks/>
        </xdr:cNvGrpSpPr>
      </xdr:nvGrpSpPr>
      <xdr:grpSpPr bwMode="auto">
        <a:xfrm>
          <a:off x="2581275" y="7096125"/>
          <a:ext cx="3448050" cy="57150"/>
          <a:chOff x="158" y="715"/>
          <a:chExt cx="33" cy="5"/>
        </a:xfrm>
      </xdr:grpSpPr>
      <xdr:sp macro="" textlink="">
        <xdr:nvSpPr>
          <xdr:cNvPr id="24" name="Line 34">
            <a:extLst>
              <a:ext uri="{FF2B5EF4-FFF2-40B4-BE49-F238E27FC236}">
                <a16:creationId xmlns:a16="http://schemas.microsoft.com/office/drawing/2014/main" id="{7E02B106-E401-44DB-A525-D3DE503079D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5">
            <a:extLst>
              <a:ext uri="{FF2B5EF4-FFF2-40B4-BE49-F238E27FC236}">
                <a16:creationId xmlns:a16="http://schemas.microsoft.com/office/drawing/2014/main" id="{9802A387-EC57-4D2A-92CA-8CF82F8F70F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19</xdr:row>
      <xdr:rowOff>114300</xdr:rowOff>
    </xdr:from>
    <xdr:to>
      <xdr:col>7</xdr:col>
      <xdr:colOff>9525</xdr:colOff>
      <xdr:row>19</xdr:row>
      <xdr:rowOff>114300</xdr:rowOff>
    </xdr:to>
    <xdr:sp macro="" textlink="">
      <xdr:nvSpPr>
        <xdr:cNvPr id="26" name="Line 36">
          <a:extLst>
            <a:ext uri="{FF2B5EF4-FFF2-40B4-BE49-F238E27FC236}">
              <a16:creationId xmlns:a16="http://schemas.microsoft.com/office/drawing/2014/main" id="{5D4DBC47-D075-4BAE-A890-976C38000796}"/>
            </a:ext>
          </a:extLst>
        </xdr:cNvPr>
        <xdr:cNvSpPr>
          <a:spLocks noChangeShapeType="1"/>
        </xdr:cNvSpPr>
      </xdr:nvSpPr>
      <xdr:spPr bwMode="auto">
        <a:xfrm>
          <a:off x="885825" y="77247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57150</xdr:colOff>
      <xdr:row>18</xdr:row>
      <xdr:rowOff>38100</xdr:rowOff>
    </xdr:from>
    <xdr:to>
      <xdr:col>5</xdr:col>
      <xdr:colOff>276225</xdr:colOff>
      <xdr:row>18</xdr:row>
      <xdr:rowOff>190500</xdr:rowOff>
    </xdr:to>
    <xdr:grpSp>
      <xdr:nvGrpSpPr>
        <xdr:cNvPr id="27" name="Group 40">
          <a:extLst>
            <a:ext uri="{FF2B5EF4-FFF2-40B4-BE49-F238E27FC236}">
              <a16:creationId xmlns:a16="http://schemas.microsoft.com/office/drawing/2014/main" id="{307AB3B1-0450-4FB9-A2B3-BD077FC8806F}"/>
            </a:ext>
          </a:extLst>
        </xdr:cNvPr>
        <xdr:cNvGrpSpPr>
          <a:grpSpLocks/>
        </xdr:cNvGrpSpPr>
      </xdr:nvGrpSpPr>
      <xdr:grpSpPr bwMode="auto">
        <a:xfrm>
          <a:off x="1685925" y="6810375"/>
          <a:ext cx="219075" cy="152400"/>
          <a:chOff x="132" y="708"/>
          <a:chExt cx="20" cy="14"/>
        </a:xfrm>
      </xdr:grpSpPr>
      <xdr:sp macro="" textlink="">
        <xdr:nvSpPr>
          <xdr:cNvPr id="28" name="Line 41">
            <a:extLst>
              <a:ext uri="{FF2B5EF4-FFF2-40B4-BE49-F238E27FC236}">
                <a16:creationId xmlns:a16="http://schemas.microsoft.com/office/drawing/2014/main" id="{BAAF614B-9168-4FFD-9BA2-4CE60FBB7A7F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42">
            <a:extLst>
              <a:ext uri="{FF2B5EF4-FFF2-40B4-BE49-F238E27FC236}">
                <a16:creationId xmlns:a16="http://schemas.microsoft.com/office/drawing/2014/main" id="{3EA397D4-4C69-4603-B71C-3FDDB37C799A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43">
            <a:extLst>
              <a:ext uri="{FF2B5EF4-FFF2-40B4-BE49-F238E27FC236}">
                <a16:creationId xmlns:a16="http://schemas.microsoft.com/office/drawing/2014/main" id="{80008A15-CCD1-43CD-960E-A505B054FB4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44">
            <a:extLst>
              <a:ext uri="{FF2B5EF4-FFF2-40B4-BE49-F238E27FC236}">
                <a16:creationId xmlns:a16="http://schemas.microsoft.com/office/drawing/2014/main" id="{D78846B9-CAFA-4ADC-BCF3-A6FBC263473B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9525</xdr:colOff>
      <xdr:row>18</xdr:row>
      <xdr:rowOff>95250</xdr:rowOff>
    </xdr:from>
    <xdr:to>
      <xdr:col>19</xdr:col>
      <xdr:colOff>0</xdr:colOff>
      <xdr:row>18</xdr:row>
      <xdr:rowOff>142875</xdr:rowOff>
    </xdr:to>
    <xdr:grpSp>
      <xdr:nvGrpSpPr>
        <xdr:cNvPr id="32" name="Group 45">
          <a:extLst>
            <a:ext uri="{FF2B5EF4-FFF2-40B4-BE49-F238E27FC236}">
              <a16:creationId xmlns:a16="http://schemas.microsoft.com/office/drawing/2014/main" id="{CCDA442B-476A-486D-AFC8-0459D7E96C2E}"/>
            </a:ext>
          </a:extLst>
        </xdr:cNvPr>
        <xdr:cNvGrpSpPr>
          <a:grpSpLocks/>
        </xdr:cNvGrpSpPr>
      </xdr:nvGrpSpPr>
      <xdr:grpSpPr bwMode="auto">
        <a:xfrm>
          <a:off x="1952625" y="6867525"/>
          <a:ext cx="4076700" cy="47625"/>
          <a:chOff x="158" y="715"/>
          <a:chExt cx="33" cy="5"/>
        </a:xfrm>
      </xdr:grpSpPr>
      <xdr:sp macro="" textlink="">
        <xdr:nvSpPr>
          <xdr:cNvPr id="33" name="Line 46">
            <a:extLst>
              <a:ext uri="{FF2B5EF4-FFF2-40B4-BE49-F238E27FC236}">
                <a16:creationId xmlns:a16="http://schemas.microsoft.com/office/drawing/2014/main" id="{090A692F-852F-44FA-9BA1-AE2ECF57106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47">
            <a:extLst>
              <a:ext uri="{FF2B5EF4-FFF2-40B4-BE49-F238E27FC236}">
                <a16:creationId xmlns:a16="http://schemas.microsoft.com/office/drawing/2014/main" id="{56506A99-B89C-4570-84CC-0D2776A5A14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18</xdr:row>
      <xdr:rowOff>114300</xdr:rowOff>
    </xdr:from>
    <xdr:to>
      <xdr:col>5</xdr:col>
      <xdr:colOff>9525</xdr:colOff>
      <xdr:row>18</xdr:row>
      <xdr:rowOff>114300</xdr:rowOff>
    </xdr:to>
    <xdr:sp macro="" textlink="">
      <xdr:nvSpPr>
        <xdr:cNvPr id="35" name="Line 48">
          <a:extLst>
            <a:ext uri="{FF2B5EF4-FFF2-40B4-BE49-F238E27FC236}">
              <a16:creationId xmlns:a16="http://schemas.microsoft.com/office/drawing/2014/main" id="{2FC89047-8706-47C8-88DD-F0094A4D1752}"/>
            </a:ext>
          </a:extLst>
        </xdr:cNvPr>
        <xdr:cNvSpPr>
          <a:spLocks noChangeShapeType="1"/>
        </xdr:cNvSpPr>
      </xdr:nvSpPr>
      <xdr:spPr bwMode="auto">
        <a:xfrm>
          <a:off x="885825" y="74961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23</xdr:row>
      <xdr:rowOff>95250</xdr:rowOff>
    </xdr:from>
    <xdr:to>
      <xdr:col>14</xdr:col>
      <xdr:colOff>0</xdr:colOff>
      <xdr:row>23</xdr:row>
      <xdr:rowOff>142875</xdr:rowOff>
    </xdr:to>
    <xdr:grpSp>
      <xdr:nvGrpSpPr>
        <xdr:cNvPr id="43" name="Group 56">
          <a:extLst>
            <a:ext uri="{FF2B5EF4-FFF2-40B4-BE49-F238E27FC236}">
              <a16:creationId xmlns:a16="http://schemas.microsoft.com/office/drawing/2014/main" id="{E4ABC8B8-69A3-46F3-8BCC-614EFEFB695F}"/>
            </a:ext>
          </a:extLst>
        </xdr:cNvPr>
        <xdr:cNvGrpSpPr>
          <a:grpSpLocks/>
        </xdr:cNvGrpSpPr>
      </xdr:nvGrpSpPr>
      <xdr:grpSpPr bwMode="auto">
        <a:xfrm>
          <a:off x="1314450" y="8010525"/>
          <a:ext cx="3143250" cy="47625"/>
          <a:chOff x="158" y="715"/>
          <a:chExt cx="33" cy="5"/>
        </a:xfrm>
      </xdr:grpSpPr>
      <xdr:sp macro="" textlink="">
        <xdr:nvSpPr>
          <xdr:cNvPr id="44" name="Line 57">
            <a:extLst>
              <a:ext uri="{FF2B5EF4-FFF2-40B4-BE49-F238E27FC236}">
                <a16:creationId xmlns:a16="http://schemas.microsoft.com/office/drawing/2014/main" id="{D88841B3-1AD2-4532-8C6B-46C3FB87645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58">
            <a:extLst>
              <a:ext uri="{FF2B5EF4-FFF2-40B4-BE49-F238E27FC236}">
                <a16:creationId xmlns:a16="http://schemas.microsoft.com/office/drawing/2014/main" id="{C2732053-83A0-47EC-BCC2-62F767B7F07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9525</xdr:colOff>
      <xdr:row>23</xdr:row>
      <xdr:rowOff>47625</xdr:rowOff>
    </xdr:from>
    <xdr:to>
      <xdr:col>17</xdr:col>
      <xdr:colOff>304800</xdr:colOff>
      <xdr:row>23</xdr:row>
      <xdr:rowOff>190500</xdr:rowOff>
    </xdr:to>
    <xdr:sp macro="" textlink="">
      <xdr:nvSpPr>
        <xdr:cNvPr id="46" name="Freeform 59">
          <a:extLst>
            <a:ext uri="{FF2B5EF4-FFF2-40B4-BE49-F238E27FC236}">
              <a16:creationId xmlns:a16="http://schemas.microsoft.com/office/drawing/2014/main" id="{B74DC9F9-9F94-4E9D-A33C-30AAB71813F4}"/>
            </a:ext>
          </a:extLst>
        </xdr:cNvPr>
        <xdr:cNvSpPr>
          <a:spLocks/>
        </xdr:cNvSpPr>
      </xdr:nvSpPr>
      <xdr:spPr bwMode="auto">
        <a:xfrm>
          <a:off x="4972050" y="8115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23</xdr:row>
      <xdr:rowOff>114300</xdr:rowOff>
    </xdr:from>
    <xdr:to>
      <xdr:col>17</xdr:col>
      <xdr:colOff>0</xdr:colOff>
      <xdr:row>23</xdr:row>
      <xdr:rowOff>114300</xdr:rowOff>
    </xdr:to>
    <xdr:sp macro="" textlink="">
      <xdr:nvSpPr>
        <xdr:cNvPr id="47" name="Line 60">
          <a:extLst>
            <a:ext uri="{FF2B5EF4-FFF2-40B4-BE49-F238E27FC236}">
              <a16:creationId xmlns:a16="http://schemas.microsoft.com/office/drawing/2014/main" id="{F8E55F79-A6CD-45B2-894A-D812CA058ACA}"/>
            </a:ext>
          </a:extLst>
        </xdr:cNvPr>
        <xdr:cNvSpPr>
          <a:spLocks noChangeShapeType="1"/>
        </xdr:cNvSpPr>
      </xdr:nvSpPr>
      <xdr:spPr bwMode="auto">
        <a:xfrm>
          <a:off x="4019550" y="81819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23</xdr:row>
      <xdr:rowOff>95250</xdr:rowOff>
    </xdr:from>
    <xdr:to>
      <xdr:col>19</xdr:col>
      <xdr:colOff>0</xdr:colOff>
      <xdr:row>23</xdr:row>
      <xdr:rowOff>142875</xdr:rowOff>
    </xdr:to>
    <xdr:grpSp>
      <xdr:nvGrpSpPr>
        <xdr:cNvPr id="48" name="Group 61">
          <a:extLst>
            <a:ext uri="{FF2B5EF4-FFF2-40B4-BE49-F238E27FC236}">
              <a16:creationId xmlns:a16="http://schemas.microsoft.com/office/drawing/2014/main" id="{1EE537D3-ADFD-4CD5-9B29-BF531D30D1D2}"/>
            </a:ext>
          </a:extLst>
        </xdr:cNvPr>
        <xdr:cNvGrpSpPr>
          <a:grpSpLocks/>
        </xdr:cNvGrpSpPr>
      </xdr:nvGrpSpPr>
      <xdr:grpSpPr bwMode="auto">
        <a:xfrm>
          <a:off x="5715000" y="8010525"/>
          <a:ext cx="314325" cy="47625"/>
          <a:chOff x="158" y="715"/>
          <a:chExt cx="33" cy="5"/>
        </a:xfrm>
      </xdr:grpSpPr>
      <xdr:sp macro="" textlink="">
        <xdr:nvSpPr>
          <xdr:cNvPr id="49" name="Line 62">
            <a:extLst>
              <a:ext uri="{FF2B5EF4-FFF2-40B4-BE49-F238E27FC236}">
                <a16:creationId xmlns:a16="http://schemas.microsoft.com/office/drawing/2014/main" id="{4E4EA7BC-1483-4EEF-B975-A2D9DCB50FA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63">
            <a:extLst>
              <a:ext uri="{FF2B5EF4-FFF2-40B4-BE49-F238E27FC236}">
                <a16:creationId xmlns:a16="http://schemas.microsoft.com/office/drawing/2014/main" id="{1AE37A13-0621-4899-9359-6FDD9447A3F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10273</xdr:colOff>
      <xdr:row>17</xdr:row>
      <xdr:rowOff>864462</xdr:rowOff>
    </xdr:from>
    <xdr:to>
      <xdr:col>8</xdr:col>
      <xdr:colOff>10059</xdr:colOff>
      <xdr:row>17</xdr:row>
      <xdr:rowOff>1159737</xdr:rowOff>
    </xdr:to>
    <xdr:grpSp>
      <xdr:nvGrpSpPr>
        <xdr:cNvPr id="69" name="Group 82">
          <a:extLst>
            <a:ext uri="{FF2B5EF4-FFF2-40B4-BE49-F238E27FC236}">
              <a16:creationId xmlns:a16="http://schemas.microsoft.com/office/drawing/2014/main" id="{FB8AAF66-6295-48B9-9FF8-5072F0219017}"/>
            </a:ext>
          </a:extLst>
        </xdr:cNvPr>
        <xdr:cNvGrpSpPr>
          <a:grpSpLocks/>
        </xdr:cNvGrpSpPr>
      </xdr:nvGrpSpPr>
      <xdr:grpSpPr bwMode="auto">
        <a:xfrm rot="337504">
          <a:off x="1639048" y="6055587"/>
          <a:ext cx="942761" cy="295275"/>
          <a:chOff x="287" y="628"/>
          <a:chExt cx="99" cy="31"/>
        </a:xfrm>
      </xdr:grpSpPr>
      <xdr:sp macro="" textlink="">
        <xdr:nvSpPr>
          <xdr:cNvPr id="70" name="Line 83">
            <a:extLst>
              <a:ext uri="{FF2B5EF4-FFF2-40B4-BE49-F238E27FC236}">
                <a16:creationId xmlns:a16="http://schemas.microsoft.com/office/drawing/2014/main" id="{D6FBBE31-DC30-4E16-A824-A2DC2C3DF044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288" y="643"/>
            <a:ext cx="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Freeform 84">
            <a:extLst>
              <a:ext uri="{FF2B5EF4-FFF2-40B4-BE49-F238E27FC236}">
                <a16:creationId xmlns:a16="http://schemas.microsoft.com/office/drawing/2014/main" id="{46DE457E-8858-4F14-BEF3-06DAA1A684BA}"/>
              </a:ext>
            </a:extLst>
          </xdr:cNvPr>
          <xdr:cNvSpPr>
            <a:spLocks/>
          </xdr:cNvSpPr>
        </xdr:nvSpPr>
        <xdr:spPr bwMode="auto">
          <a:xfrm rot="-10800000">
            <a:off x="287" y="64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2" name="Freeform 85">
            <a:extLst>
              <a:ext uri="{FF2B5EF4-FFF2-40B4-BE49-F238E27FC236}">
                <a16:creationId xmlns:a16="http://schemas.microsoft.com/office/drawing/2014/main" id="{0EE77A3C-7F05-4BEF-A174-B8ED51F7617C}"/>
              </a:ext>
            </a:extLst>
          </xdr:cNvPr>
          <xdr:cNvSpPr>
            <a:spLocks/>
          </xdr:cNvSpPr>
        </xdr:nvSpPr>
        <xdr:spPr bwMode="auto">
          <a:xfrm rot="-10800000">
            <a:off x="342" y="64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3" name="Line 86">
            <a:extLst>
              <a:ext uri="{FF2B5EF4-FFF2-40B4-BE49-F238E27FC236}">
                <a16:creationId xmlns:a16="http://schemas.microsoft.com/office/drawing/2014/main" id="{074ABD23-C59A-4F4D-AA05-479150F16607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342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Freeform 87">
            <a:extLst>
              <a:ext uri="{FF2B5EF4-FFF2-40B4-BE49-F238E27FC236}">
                <a16:creationId xmlns:a16="http://schemas.microsoft.com/office/drawing/2014/main" id="{E9540AA6-AED7-4374-BDA7-290C4A2A9B64}"/>
              </a:ext>
            </a:extLst>
          </xdr:cNvPr>
          <xdr:cNvSpPr>
            <a:spLocks/>
          </xdr:cNvSpPr>
        </xdr:nvSpPr>
        <xdr:spPr bwMode="auto">
          <a:xfrm rot="-10800000">
            <a:off x="338" y="652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5" name="Freeform 88">
            <a:extLst>
              <a:ext uri="{FF2B5EF4-FFF2-40B4-BE49-F238E27FC236}">
                <a16:creationId xmlns:a16="http://schemas.microsoft.com/office/drawing/2014/main" id="{8A7EA2A6-9675-442F-93EE-8F30A7B8925E}"/>
              </a:ext>
            </a:extLst>
          </xdr:cNvPr>
          <xdr:cNvSpPr>
            <a:spLocks/>
          </xdr:cNvSpPr>
        </xdr:nvSpPr>
        <xdr:spPr bwMode="auto">
          <a:xfrm rot="-10800000">
            <a:off x="331" y="636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6" name="Line 89">
            <a:extLst>
              <a:ext uri="{FF2B5EF4-FFF2-40B4-BE49-F238E27FC236}">
                <a16:creationId xmlns:a16="http://schemas.microsoft.com/office/drawing/2014/main" id="{CBEAEAED-C54F-49E9-A6E6-9FAD6FFA9961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331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Freeform 90">
            <a:extLst>
              <a:ext uri="{FF2B5EF4-FFF2-40B4-BE49-F238E27FC236}">
                <a16:creationId xmlns:a16="http://schemas.microsoft.com/office/drawing/2014/main" id="{1AEDE505-5C63-4739-9E1D-593DC30D269A}"/>
              </a:ext>
            </a:extLst>
          </xdr:cNvPr>
          <xdr:cNvSpPr>
            <a:spLocks/>
          </xdr:cNvSpPr>
        </xdr:nvSpPr>
        <xdr:spPr bwMode="auto">
          <a:xfrm rot="-10800000">
            <a:off x="327" y="628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8" name="Line 91">
            <a:extLst>
              <a:ext uri="{FF2B5EF4-FFF2-40B4-BE49-F238E27FC236}">
                <a16:creationId xmlns:a16="http://schemas.microsoft.com/office/drawing/2014/main" id="{B28213B6-C1AF-49E0-AB80-829B7432CD5D}"/>
              </a:ext>
            </a:extLst>
          </xdr:cNvPr>
          <xdr:cNvSpPr>
            <a:spLocks noChangeShapeType="1"/>
          </xdr:cNvSpPr>
        </xdr:nvSpPr>
        <xdr:spPr bwMode="auto">
          <a:xfrm rot="-12821404">
            <a:off x="354" y="634"/>
            <a:ext cx="32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66228</xdr:colOff>
      <xdr:row>17</xdr:row>
      <xdr:rowOff>471178</xdr:rowOff>
    </xdr:from>
    <xdr:to>
      <xdr:col>7</xdr:col>
      <xdr:colOff>255777</xdr:colOff>
      <xdr:row>17</xdr:row>
      <xdr:rowOff>629783</xdr:rowOff>
    </xdr:to>
    <xdr:grpSp>
      <xdr:nvGrpSpPr>
        <xdr:cNvPr id="133" name="グループ化 132">
          <a:extLst>
            <a:ext uri="{FF2B5EF4-FFF2-40B4-BE49-F238E27FC236}">
              <a16:creationId xmlns:a16="http://schemas.microsoft.com/office/drawing/2014/main" id="{4F0E1324-6FBA-4375-BD5D-F86183B20420}"/>
            </a:ext>
          </a:extLst>
        </xdr:cNvPr>
        <xdr:cNvGrpSpPr/>
      </xdr:nvGrpSpPr>
      <xdr:grpSpPr>
        <a:xfrm>
          <a:off x="1695003" y="5662303"/>
          <a:ext cx="818199" cy="158605"/>
          <a:chOff x="1699085" y="5661903"/>
          <a:chExt cx="821881" cy="158605"/>
        </a:xfrm>
      </xdr:grpSpPr>
      <xdr:grpSp>
        <xdr:nvGrpSpPr>
          <xdr:cNvPr id="80" name="Group 93">
            <a:extLst>
              <a:ext uri="{FF2B5EF4-FFF2-40B4-BE49-F238E27FC236}">
                <a16:creationId xmlns:a16="http://schemas.microsoft.com/office/drawing/2014/main" id="{60A3B26A-7944-4103-BF43-FBC9796313A0}"/>
              </a:ext>
            </a:extLst>
          </xdr:cNvPr>
          <xdr:cNvGrpSpPr>
            <a:grpSpLocks/>
          </xdr:cNvGrpSpPr>
        </xdr:nvGrpSpPr>
        <xdr:grpSpPr bwMode="auto">
          <a:xfrm rot="337504">
            <a:off x="1860135" y="5661903"/>
            <a:ext cx="114943" cy="152400"/>
            <a:chOff x="307" y="589"/>
            <a:chExt cx="12" cy="16"/>
          </a:xfrm>
        </xdr:grpSpPr>
        <xdr:sp macro="" textlink="">
          <xdr:nvSpPr>
            <xdr:cNvPr id="86" name="Freeform 94">
              <a:extLst>
                <a:ext uri="{FF2B5EF4-FFF2-40B4-BE49-F238E27FC236}">
                  <a16:creationId xmlns:a16="http://schemas.microsoft.com/office/drawing/2014/main" id="{7C107E97-CB51-46F7-9E43-0740E14B46F6}"/>
                </a:ext>
              </a:extLst>
            </xdr:cNvPr>
            <xdr:cNvSpPr>
              <a:spLocks/>
            </xdr:cNvSpPr>
          </xdr:nvSpPr>
          <xdr:spPr bwMode="auto">
            <a:xfrm flipV="1">
              <a:off x="307" y="597"/>
              <a:ext cx="8" cy="8"/>
            </a:xfrm>
            <a:custGeom>
              <a:avLst/>
              <a:gdLst>
                <a:gd name="T0" fmla="*/ 2 w 193"/>
                <a:gd name="T1" fmla="*/ 0 h 199"/>
                <a:gd name="T2" fmla="*/ 7 w 193"/>
                <a:gd name="T3" fmla="*/ 1 h 199"/>
                <a:gd name="T4" fmla="*/ 12 w 193"/>
                <a:gd name="T5" fmla="*/ 1 h 199"/>
                <a:gd name="T6" fmla="*/ 17 w 193"/>
                <a:gd name="T7" fmla="*/ 2 h 199"/>
                <a:gd name="T8" fmla="*/ 22 w 193"/>
                <a:gd name="T9" fmla="*/ 2 h 199"/>
                <a:gd name="T10" fmla="*/ 27 w 193"/>
                <a:gd name="T11" fmla="*/ 3 h 199"/>
                <a:gd name="T12" fmla="*/ 32 w 193"/>
                <a:gd name="T13" fmla="*/ 4 h 199"/>
                <a:gd name="T14" fmla="*/ 36 w 193"/>
                <a:gd name="T15" fmla="*/ 5 h 199"/>
                <a:gd name="T16" fmla="*/ 41 w 193"/>
                <a:gd name="T17" fmla="*/ 6 h 199"/>
                <a:gd name="T18" fmla="*/ 46 w 193"/>
                <a:gd name="T19" fmla="*/ 7 h 199"/>
                <a:gd name="T20" fmla="*/ 51 w 193"/>
                <a:gd name="T21" fmla="*/ 9 h 199"/>
                <a:gd name="T22" fmla="*/ 55 w 193"/>
                <a:gd name="T23" fmla="*/ 10 h 199"/>
                <a:gd name="T24" fmla="*/ 60 w 193"/>
                <a:gd name="T25" fmla="*/ 12 h 199"/>
                <a:gd name="T26" fmla="*/ 65 w 193"/>
                <a:gd name="T27" fmla="*/ 14 h 199"/>
                <a:gd name="T28" fmla="*/ 69 w 193"/>
                <a:gd name="T29" fmla="*/ 15 h 199"/>
                <a:gd name="T30" fmla="*/ 74 w 193"/>
                <a:gd name="T31" fmla="*/ 17 h 199"/>
                <a:gd name="T32" fmla="*/ 78 w 193"/>
                <a:gd name="T33" fmla="*/ 19 h 199"/>
                <a:gd name="T34" fmla="*/ 83 w 193"/>
                <a:gd name="T35" fmla="*/ 22 h 199"/>
                <a:gd name="T36" fmla="*/ 87 w 193"/>
                <a:gd name="T37" fmla="*/ 24 h 199"/>
                <a:gd name="T38" fmla="*/ 91 w 193"/>
                <a:gd name="T39" fmla="*/ 26 h 199"/>
                <a:gd name="T40" fmla="*/ 95 w 193"/>
                <a:gd name="T41" fmla="*/ 29 h 199"/>
                <a:gd name="T42" fmla="*/ 100 w 193"/>
                <a:gd name="T43" fmla="*/ 31 h 199"/>
                <a:gd name="T44" fmla="*/ 104 w 193"/>
                <a:gd name="T45" fmla="*/ 35 h 199"/>
                <a:gd name="T46" fmla="*/ 108 w 193"/>
                <a:gd name="T47" fmla="*/ 38 h 199"/>
                <a:gd name="T48" fmla="*/ 112 w 193"/>
                <a:gd name="T49" fmla="*/ 41 h 199"/>
                <a:gd name="T50" fmla="*/ 116 w 193"/>
                <a:gd name="T51" fmla="*/ 44 h 199"/>
                <a:gd name="T52" fmla="*/ 119 w 193"/>
                <a:gd name="T53" fmla="*/ 47 h 199"/>
                <a:gd name="T54" fmla="*/ 123 w 193"/>
                <a:gd name="T55" fmla="*/ 50 h 199"/>
                <a:gd name="T56" fmla="*/ 127 w 193"/>
                <a:gd name="T57" fmla="*/ 53 h 199"/>
                <a:gd name="T58" fmla="*/ 130 w 193"/>
                <a:gd name="T59" fmla="*/ 56 h 199"/>
                <a:gd name="T60" fmla="*/ 134 w 193"/>
                <a:gd name="T61" fmla="*/ 60 h 199"/>
                <a:gd name="T62" fmla="*/ 137 w 193"/>
                <a:gd name="T63" fmla="*/ 63 h 199"/>
                <a:gd name="T64" fmla="*/ 141 w 193"/>
                <a:gd name="T65" fmla="*/ 67 h 199"/>
                <a:gd name="T66" fmla="*/ 144 w 193"/>
                <a:gd name="T67" fmla="*/ 71 h 199"/>
                <a:gd name="T68" fmla="*/ 147 w 193"/>
                <a:gd name="T69" fmla="*/ 74 h 199"/>
                <a:gd name="T70" fmla="*/ 150 w 193"/>
                <a:gd name="T71" fmla="*/ 78 h 199"/>
                <a:gd name="T72" fmla="*/ 153 w 193"/>
                <a:gd name="T73" fmla="*/ 82 h 199"/>
                <a:gd name="T74" fmla="*/ 156 w 193"/>
                <a:gd name="T75" fmla="*/ 86 h 199"/>
                <a:gd name="T76" fmla="*/ 159 w 193"/>
                <a:gd name="T77" fmla="*/ 90 h 199"/>
                <a:gd name="T78" fmla="*/ 161 w 193"/>
                <a:gd name="T79" fmla="*/ 94 h 199"/>
                <a:gd name="T80" fmla="*/ 165 w 193"/>
                <a:gd name="T81" fmla="*/ 98 h 199"/>
                <a:gd name="T82" fmla="*/ 167 w 193"/>
                <a:gd name="T83" fmla="*/ 103 h 199"/>
                <a:gd name="T84" fmla="*/ 170 w 193"/>
                <a:gd name="T85" fmla="*/ 107 h 199"/>
                <a:gd name="T86" fmla="*/ 172 w 193"/>
                <a:gd name="T87" fmla="*/ 111 h 199"/>
                <a:gd name="T88" fmla="*/ 174 w 193"/>
                <a:gd name="T89" fmla="*/ 116 h 199"/>
                <a:gd name="T90" fmla="*/ 176 w 193"/>
                <a:gd name="T91" fmla="*/ 121 h 199"/>
                <a:gd name="T92" fmla="*/ 178 w 193"/>
                <a:gd name="T93" fmla="*/ 126 h 199"/>
                <a:gd name="T94" fmla="*/ 180 w 193"/>
                <a:gd name="T95" fmla="*/ 130 h 199"/>
                <a:gd name="T96" fmla="*/ 182 w 193"/>
                <a:gd name="T97" fmla="*/ 135 h 199"/>
                <a:gd name="T98" fmla="*/ 183 w 193"/>
                <a:gd name="T99" fmla="*/ 140 h 199"/>
                <a:gd name="T100" fmla="*/ 185 w 193"/>
                <a:gd name="T101" fmla="*/ 144 h 199"/>
                <a:gd name="T102" fmla="*/ 186 w 193"/>
                <a:gd name="T103" fmla="*/ 149 h 199"/>
                <a:gd name="T104" fmla="*/ 187 w 193"/>
                <a:gd name="T105" fmla="*/ 154 h 199"/>
                <a:gd name="T106" fmla="*/ 188 w 193"/>
                <a:gd name="T107" fmla="*/ 158 h 199"/>
                <a:gd name="T108" fmla="*/ 189 w 193"/>
                <a:gd name="T109" fmla="*/ 163 h 199"/>
                <a:gd name="T110" fmla="*/ 190 w 193"/>
                <a:gd name="T111" fmla="*/ 168 h 199"/>
                <a:gd name="T112" fmla="*/ 191 w 193"/>
                <a:gd name="T113" fmla="*/ 173 h 199"/>
                <a:gd name="T114" fmla="*/ 192 w 193"/>
                <a:gd name="T115" fmla="*/ 178 h 199"/>
                <a:gd name="T116" fmla="*/ 192 w 193"/>
                <a:gd name="T117" fmla="*/ 183 h 199"/>
                <a:gd name="T118" fmla="*/ 193 w 193"/>
                <a:gd name="T119" fmla="*/ 187 h 199"/>
                <a:gd name="T120" fmla="*/ 193 w 193"/>
                <a:gd name="T121" fmla="*/ 192 h 199"/>
                <a:gd name="T122" fmla="*/ 193 w 193"/>
                <a:gd name="T123" fmla="*/ 197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87" name="Line 95">
              <a:extLst>
                <a:ext uri="{FF2B5EF4-FFF2-40B4-BE49-F238E27FC236}">
                  <a16:creationId xmlns:a16="http://schemas.microsoft.com/office/drawing/2014/main" id="{8B1E112B-2BDC-4104-9142-1E34CE7BBFA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15" y="590"/>
              <a:ext cx="0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8" name="Freeform 96">
              <a:extLst>
                <a:ext uri="{FF2B5EF4-FFF2-40B4-BE49-F238E27FC236}">
                  <a16:creationId xmlns:a16="http://schemas.microsoft.com/office/drawing/2014/main" id="{B2D5061C-4F01-428E-BD5B-47BA706925C8}"/>
                </a:ext>
              </a:extLst>
            </xdr:cNvPr>
            <xdr:cNvSpPr>
              <a:spLocks/>
            </xdr:cNvSpPr>
          </xdr:nvSpPr>
          <xdr:spPr bwMode="auto">
            <a:xfrm flipV="1">
              <a:off x="311" y="589"/>
              <a:ext cx="8" cy="6"/>
            </a:xfrm>
            <a:custGeom>
              <a:avLst/>
              <a:gdLst>
                <a:gd name="T0" fmla="*/ 201 w 201"/>
                <a:gd name="T1" fmla="*/ 0 h 174"/>
                <a:gd name="T2" fmla="*/ 101 w 201"/>
                <a:gd name="T3" fmla="*/ 174 h 174"/>
                <a:gd name="T4" fmla="*/ 0 w 201"/>
                <a:gd name="T5" fmla="*/ 0 h 1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81" name="Line 98">
            <a:extLst>
              <a:ext uri="{FF2B5EF4-FFF2-40B4-BE49-F238E27FC236}">
                <a16:creationId xmlns:a16="http://schemas.microsoft.com/office/drawing/2014/main" id="{2DE30705-7F21-409F-8C25-0427AE458D34}"/>
              </a:ext>
            </a:extLst>
          </xdr:cNvPr>
          <xdr:cNvSpPr>
            <a:spLocks noChangeShapeType="1"/>
          </xdr:cNvSpPr>
        </xdr:nvSpPr>
        <xdr:spPr bwMode="auto">
          <a:xfrm rot="11137504" flipH="1">
            <a:off x="1699085" y="5820508"/>
            <a:ext cx="55556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32" name="グループ化 131">
            <a:extLst>
              <a:ext uri="{FF2B5EF4-FFF2-40B4-BE49-F238E27FC236}">
                <a16:creationId xmlns:a16="http://schemas.microsoft.com/office/drawing/2014/main" id="{6575CD6A-35E9-4D6B-A49E-E377E2012F7A}"/>
              </a:ext>
            </a:extLst>
          </xdr:cNvPr>
          <xdr:cNvGrpSpPr/>
        </xdr:nvGrpSpPr>
        <xdr:grpSpPr>
          <a:xfrm>
            <a:off x="2232966" y="5694109"/>
            <a:ext cx="288000" cy="90753"/>
            <a:chOff x="2232966" y="5694109"/>
            <a:chExt cx="288000" cy="90753"/>
          </a:xfrm>
        </xdr:grpSpPr>
        <xdr:sp macro="" textlink="">
          <xdr:nvSpPr>
            <xdr:cNvPr id="83" name="Line 100">
              <a:extLst>
                <a:ext uri="{FF2B5EF4-FFF2-40B4-BE49-F238E27FC236}">
                  <a16:creationId xmlns:a16="http://schemas.microsoft.com/office/drawing/2014/main" id="{2544454D-9A24-444F-8BDD-44B4E3638B4C}"/>
                </a:ext>
              </a:extLst>
            </xdr:cNvPr>
            <xdr:cNvSpPr>
              <a:spLocks noChangeShapeType="1"/>
            </xdr:cNvSpPr>
          </xdr:nvSpPr>
          <xdr:spPr bwMode="auto">
            <a:xfrm rot="14662984" flipH="1">
              <a:off x="2376966" y="5640862"/>
              <a:ext cx="0" cy="288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5" name="Freeform 101">
              <a:extLst>
                <a:ext uri="{FF2B5EF4-FFF2-40B4-BE49-F238E27FC236}">
                  <a16:creationId xmlns:a16="http://schemas.microsoft.com/office/drawing/2014/main" id="{F60081E1-1B08-47CD-B975-F32CC4936DBB}"/>
                </a:ext>
              </a:extLst>
            </xdr:cNvPr>
            <xdr:cNvSpPr>
              <a:spLocks/>
            </xdr:cNvSpPr>
          </xdr:nvSpPr>
          <xdr:spPr bwMode="auto">
            <a:xfrm rot="14662984" flipH="1">
              <a:off x="2448145" y="5699086"/>
              <a:ext cx="76629" cy="66675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8</xdr:col>
      <xdr:colOff>14322</xdr:colOff>
      <xdr:row>17</xdr:row>
      <xdr:rowOff>962058</xdr:rowOff>
    </xdr:from>
    <xdr:to>
      <xdr:col>8</xdr:col>
      <xdr:colOff>73128</xdr:colOff>
      <xdr:row>17</xdr:row>
      <xdr:rowOff>1381158</xdr:rowOff>
    </xdr:to>
    <xdr:grpSp>
      <xdr:nvGrpSpPr>
        <xdr:cNvPr id="89" name="Group 102">
          <a:extLst>
            <a:ext uri="{FF2B5EF4-FFF2-40B4-BE49-F238E27FC236}">
              <a16:creationId xmlns:a16="http://schemas.microsoft.com/office/drawing/2014/main" id="{DDF39271-0489-4101-8E72-26325DAF940C}"/>
            </a:ext>
          </a:extLst>
        </xdr:cNvPr>
        <xdr:cNvGrpSpPr>
          <a:grpSpLocks/>
        </xdr:cNvGrpSpPr>
      </xdr:nvGrpSpPr>
      <xdr:grpSpPr bwMode="auto">
        <a:xfrm rot="960000">
          <a:off x="2586072" y="6153183"/>
          <a:ext cx="58806" cy="419100"/>
          <a:chOff x="122" y="579"/>
          <a:chExt cx="6" cy="44"/>
        </a:xfrm>
      </xdr:grpSpPr>
      <xdr:sp macro="" textlink="">
        <xdr:nvSpPr>
          <xdr:cNvPr id="90" name="Line 103">
            <a:extLst>
              <a:ext uri="{FF2B5EF4-FFF2-40B4-BE49-F238E27FC236}">
                <a16:creationId xmlns:a16="http://schemas.microsoft.com/office/drawing/2014/main" id="{00D43302-FD0A-4C85-8ABB-D54A5860226B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6" y="602"/>
            <a:ext cx="3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Freeform 104">
            <a:extLst>
              <a:ext uri="{FF2B5EF4-FFF2-40B4-BE49-F238E27FC236}">
                <a16:creationId xmlns:a16="http://schemas.microsoft.com/office/drawing/2014/main" id="{BAC53FC7-E23F-4CC2-B638-71FB2D4D3746}"/>
              </a:ext>
            </a:extLst>
          </xdr:cNvPr>
          <xdr:cNvSpPr>
            <a:spLocks/>
          </xdr:cNvSpPr>
        </xdr:nvSpPr>
        <xdr:spPr bwMode="auto">
          <a:xfrm rot="5400000">
            <a:off x="121" y="617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" name="Freeform 105">
            <a:extLst>
              <a:ext uri="{FF2B5EF4-FFF2-40B4-BE49-F238E27FC236}">
                <a16:creationId xmlns:a16="http://schemas.microsoft.com/office/drawing/2014/main" id="{D1EB1EB5-DC6C-4B82-A351-2F3D72BAF2C2}"/>
              </a:ext>
            </a:extLst>
          </xdr:cNvPr>
          <xdr:cNvSpPr>
            <a:spLocks/>
          </xdr:cNvSpPr>
        </xdr:nvSpPr>
        <xdr:spPr bwMode="auto">
          <a:xfrm rot="-5400000">
            <a:off x="121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18</xdr:col>
      <xdr:colOff>28575</xdr:colOff>
      <xdr:row>17</xdr:row>
      <xdr:rowOff>205030</xdr:rowOff>
    </xdr:from>
    <xdr:to>
      <xdr:col>18</xdr:col>
      <xdr:colOff>85725</xdr:colOff>
      <xdr:row>17</xdr:row>
      <xdr:rowOff>624130</xdr:rowOff>
    </xdr:to>
    <xdr:grpSp>
      <xdr:nvGrpSpPr>
        <xdr:cNvPr id="122" name="Group 135">
          <a:extLst>
            <a:ext uri="{FF2B5EF4-FFF2-40B4-BE49-F238E27FC236}">
              <a16:creationId xmlns:a16="http://schemas.microsoft.com/office/drawing/2014/main" id="{9CE07159-2309-42DD-9ECD-C06B67BBB9C0}"/>
            </a:ext>
          </a:extLst>
        </xdr:cNvPr>
        <xdr:cNvGrpSpPr>
          <a:grpSpLocks/>
        </xdr:cNvGrpSpPr>
      </xdr:nvGrpSpPr>
      <xdr:grpSpPr bwMode="auto">
        <a:xfrm rot="-1555494">
          <a:off x="5743575" y="5396155"/>
          <a:ext cx="57150" cy="419100"/>
          <a:chOff x="122" y="579"/>
          <a:chExt cx="6" cy="44"/>
        </a:xfrm>
      </xdr:grpSpPr>
      <xdr:sp macro="" textlink="">
        <xdr:nvSpPr>
          <xdr:cNvPr id="123" name="Line 136">
            <a:extLst>
              <a:ext uri="{FF2B5EF4-FFF2-40B4-BE49-F238E27FC236}">
                <a16:creationId xmlns:a16="http://schemas.microsoft.com/office/drawing/2014/main" id="{81667DF1-5FAF-4729-AB51-FE7A21D25A1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6" y="602"/>
            <a:ext cx="3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" name="Freeform 137">
            <a:extLst>
              <a:ext uri="{FF2B5EF4-FFF2-40B4-BE49-F238E27FC236}">
                <a16:creationId xmlns:a16="http://schemas.microsoft.com/office/drawing/2014/main" id="{81544DB7-7B0A-4A8D-9B2B-FE6508B939A2}"/>
              </a:ext>
            </a:extLst>
          </xdr:cNvPr>
          <xdr:cNvSpPr>
            <a:spLocks/>
          </xdr:cNvSpPr>
        </xdr:nvSpPr>
        <xdr:spPr bwMode="auto">
          <a:xfrm rot="5400000">
            <a:off x="121" y="617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" name="Freeform 138">
            <a:extLst>
              <a:ext uri="{FF2B5EF4-FFF2-40B4-BE49-F238E27FC236}">
                <a16:creationId xmlns:a16="http://schemas.microsoft.com/office/drawing/2014/main" id="{9F4F40B2-5281-4B76-B6A8-84D05CD331C2}"/>
              </a:ext>
            </a:extLst>
          </xdr:cNvPr>
          <xdr:cNvSpPr>
            <a:spLocks/>
          </xdr:cNvSpPr>
        </xdr:nvSpPr>
        <xdr:spPr bwMode="auto">
          <a:xfrm rot="-5400000">
            <a:off x="121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0</xdr:col>
      <xdr:colOff>38100</xdr:colOff>
      <xdr:row>12</xdr:row>
      <xdr:rowOff>19050</xdr:rowOff>
    </xdr:from>
    <xdr:ext cx="844265" cy="636516"/>
    <xdr:sp macro="" textlink="">
      <xdr:nvSpPr>
        <xdr:cNvPr id="126" name="Text Box 139">
          <a:extLst>
            <a:ext uri="{FF2B5EF4-FFF2-40B4-BE49-F238E27FC236}">
              <a16:creationId xmlns:a16="http://schemas.microsoft.com/office/drawing/2014/main" id="{2A079332-B468-45B3-8AA1-FF5559209B80}"/>
            </a:ext>
          </a:extLst>
        </xdr:cNvPr>
        <xdr:cNvSpPr txBox="1">
          <a:spLocks noChangeArrowheads="1"/>
        </xdr:cNvSpPr>
      </xdr:nvSpPr>
      <xdr:spPr bwMode="auto">
        <a:xfrm>
          <a:off x="38100" y="4067175"/>
          <a:ext cx="844265" cy="63651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付加機能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連動出力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</xdr:txBody>
    </xdr:sp>
    <xdr:clientData/>
  </xdr:oneCellAnchor>
  <xdr:oneCellAnchor>
    <xdr:from>
      <xdr:col>7</xdr:col>
      <xdr:colOff>123825</xdr:colOff>
      <xdr:row>17</xdr:row>
      <xdr:rowOff>1400175</xdr:rowOff>
    </xdr:from>
    <xdr:ext cx="361244" cy="150041"/>
    <xdr:sp macro="" textlink="">
      <xdr:nvSpPr>
        <xdr:cNvPr id="127" name="Text Box 140">
          <a:extLst>
            <a:ext uri="{FF2B5EF4-FFF2-40B4-BE49-F238E27FC236}">
              <a16:creationId xmlns:a16="http://schemas.microsoft.com/office/drawing/2014/main" id="{E4310A95-6958-47F1-9E72-E474A53C39A0}"/>
            </a:ext>
          </a:extLst>
        </xdr:cNvPr>
        <xdr:cNvSpPr txBox="1">
          <a:spLocks noChangeArrowheads="1"/>
        </xdr:cNvSpPr>
      </xdr:nvSpPr>
      <xdr:spPr bwMode="auto">
        <a:xfrm>
          <a:off x="2381250" y="659130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12.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9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17</xdr:col>
      <xdr:colOff>133350</xdr:colOff>
      <xdr:row>17</xdr:row>
      <xdr:rowOff>43105</xdr:rowOff>
    </xdr:from>
    <xdr:ext cx="361244" cy="150041"/>
    <xdr:sp macro="" textlink="">
      <xdr:nvSpPr>
        <xdr:cNvPr id="128" name="Text Box 141">
          <a:extLst>
            <a:ext uri="{FF2B5EF4-FFF2-40B4-BE49-F238E27FC236}">
              <a16:creationId xmlns:a16="http://schemas.microsoft.com/office/drawing/2014/main" id="{36ABD228-0D97-4822-AF19-301258F12AB6}"/>
            </a:ext>
          </a:extLst>
        </xdr:cNvPr>
        <xdr:cNvSpPr txBox="1">
          <a:spLocks noChangeArrowheads="1"/>
        </xdr:cNvSpPr>
      </xdr:nvSpPr>
      <xdr:spPr bwMode="auto">
        <a:xfrm>
          <a:off x="5534025" y="523423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19.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4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twoCellAnchor>
    <xdr:from>
      <xdr:col>9</xdr:col>
      <xdr:colOff>295275</xdr:colOff>
      <xdr:row>17</xdr:row>
      <xdr:rowOff>476250</xdr:rowOff>
    </xdr:from>
    <xdr:to>
      <xdr:col>13</xdr:col>
      <xdr:colOff>38100</xdr:colOff>
      <xdr:row>17</xdr:row>
      <xdr:rowOff>1143000</xdr:rowOff>
    </xdr:to>
    <xdr:grpSp>
      <xdr:nvGrpSpPr>
        <xdr:cNvPr id="129" name="グループ化 128">
          <a:extLst>
            <a:ext uri="{FF2B5EF4-FFF2-40B4-BE49-F238E27FC236}">
              <a16:creationId xmlns:a16="http://schemas.microsoft.com/office/drawing/2014/main" id="{2539C64C-8A2C-4D47-9153-7D883D555F2E}"/>
            </a:ext>
          </a:extLst>
        </xdr:cNvPr>
        <xdr:cNvGrpSpPr/>
      </xdr:nvGrpSpPr>
      <xdr:grpSpPr>
        <a:xfrm rot="523097">
          <a:off x="3181350" y="5667375"/>
          <a:ext cx="1000125" cy="666750"/>
          <a:chOff x="3181350" y="5667375"/>
          <a:chExt cx="1000125" cy="666750"/>
        </a:xfrm>
      </xdr:grpSpPr>
      <xdr:grpSp>
        <xdr:nvGrpSpPr>
          <xdr:cNvPr id="60" name="Group 73">
            <a:extLst>
              <a:ext uri="{FF2B5EF4-FFF2-40B4-BE49-F238E27FC236}">
                <a16:creationId xmlns:a16="http://schemas.microsoft.com/office/drawing/2014/main" id="{61EA6C4F-DA90-4967-A4B4-7ED4F6C3C318}"/>
              </a:ext>
            </a:extLst>
          </xdr:cNvPr>
          <xdr:cNvGrpSpPr>
            <a:grpSpLocks/>
          </xdr:cNvGrpSpPr>
        </xdr:nvGrpSpPr>
        <xdr:grpSpPr bwMode="auto">
          <a:xfrm>
            <a:off x="3181350" y="6038850"/>
            <a:ext cx="1000125" cy="295275"/>
            <a:chOff x="122" y="628"/>
            <a:chExt cx="105" cy="31"/>
          </a:xfrm>
        </xdr:grpSpPr>
        <xdr:sp macro="" textlink="">
          <xdr:nvSpPr>
            <xdr:cNvPr id="61" name="Line 74">
              <a:extLst>
                <a:ext uri="{FF2B5EF4-FFF2-40B4-BE49-F238E27FC236}">
                  <a16:creationId xmlns:a16="http://schemas.microsoft.com/office/drawing/2014/main" id="{38F96BA9-FFE3-4C02-B651-C04026900E41}"/>
                </a:ext>
              </a:extLst>
            </xdr:cNvPr>
            <xdr:cNvSpPr>
              <a:spLocks noChangeShapeType="1"/>
            </xdr:cNvSpPr>
          </xdr:nvSpPr>
          <xdr:spPr bwMode="auto">
            <a:xfrm rot="-10800000">
              <a:off x="123" y="64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2" name="Freeform 75">
              <a:extLst>
                <a:ext uri="{FF2B5EF4-FFF2-40B4-BE49-F238E27FC236}">
                  <a16:creationId xmlns:a16="http://schemas.microsoft.com/office/drawing/2014/main" id="{C93C8660-25B2-4D87-BC96-5AC16C82BD8F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22" y="640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3" name="Freeform 76">
              <a:extLst>
                <a:ext uri="{FF2B5EF4-FFF2-40B4-BE49-F238E27FC236}">
                  <a16:creationId xmlns:a16="http://schemas.microsoft.com/office/drawing/2014/main" id="{C28D82AA-4A55-4B1D-B825-42E6CA495CBD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95" y="643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4" name="Line 77">
              <a:extLst>
                <a:ext uri="{FF2B5EF4-FFF2-40B4-BE49-F238E27FC236}">
                  <a16:creationId xmlns:a16="http://schemas.microsoft.com/office/drawing/2014/main" id="{7216A99F-C749-4619-B548-43E79A69D603}"/>
                </a:ext>
              </a:extLst>
            </xdr:cNvPr>
            <xdr:cNvSpPr>
              <a:spLocks noChangeShapeType="1"/>
            </xdr:cNvSpPr>
          </xdr:nvSpPr>
          <xdr:spPr bwMode="auto">
            <a:xfrm rot="10800000" flipV="1">
              <a:off x="195" y="651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5" name="Freeform 78">
              <a:extLst>
                <a:ext uri="{FF2B5EF4-FFF2-40B4-BE49-F238E27FC236}">
                  <a16:creationId xmlns:a16="http://schemas.microsoft.com/office/drawing/2014/main" id="{FA4237A6-52A8-4FE8-9B2A-CF2ED3C892DC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91" y="652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6" name="Freeform 79">
              <a:extLst>
                <a:ext uri="{FF2B5EF4-FFF2-40B4-BE49-F238E27FC236}">
                  <a16:creationId xmlns:a16="http://schemas.microsoft.com/office/drawing/2014/main" id="{D2D73070-48AD-4BE3-9D55-2E94760E06F8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84" y="636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7" name="Line 80">
              <a:extLst>
                <a:ext uri="{FF2B5EF4-FFF2-40B4-BE49-F238E27FC236}">
                  <a16:creationId xmlns:a16="http://schemas.microsoft.com/office/drawing/2014/main" id="{F1A2BD90-7B4B-4302-9513-08D213411541}"/>
                </a:ext>
              </a:extLst>
            </xdr:cNvPr>
            <xdr:cNvSpPr>
              <a:spLocks noChangeShapeType="1"/>
            </xdr:cNvSpPr>
          </xdr:nvSpPr>
          <xdr:spPr bwMode="auto">
            <a:xfrm rot="-10800000">
              <a:off x="184" y="629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8" name="Freeform 81">
              <a:extLst>
                <a:ext uri="{FF2B5EF4-FFF2-40B4-BE49-F238E27FC236}">
                  <a16:creationId xmlns:a16="http://schemas.microsoft.com/office/drawing/2014/main" id="{7E875134-AF8E-443D-87EF-F5C378EB07A6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80" y="628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2" name="グループ化 1">
            <a:extLst>
              <a:ext uri="{FF2B5EF4-FFF2-40B4-BE49-F238E27FC236}">
                <a16:creationId xmlns:a16="http://schemas.microsoft.com/office/drawing/2014/main" id="{B9E7E14B-3C4D-4740-964A-2AA80C14C6A3}"/>
              </a:ext>
            </a:extLst>
          </xdr:cNvPr>
          <xdr:cNvGrpSpPr/>
        </xdr:nvGrpSpPr>
        <xdr:grpSpPr>
          <a:xfrm>
            <a:off x="3181350" y="5667375"/>
            <a:ext cx="1000125" cy="304800"/>
            <a:chOff x="3181350" y="5667375"/>
            <a:chExt cx="1000125" cy="304800"/>
          </a:xfrm>
        </xdr:grpSpPr>
        <xdr:grpSp>
          <xdr:nvGrpSpPr>
            <xdr:cNvPr id="51" name="Group 64">
              <a:extLst>
                <a:ext uri="{FF2B5EF4-FFF2-40B4-BE49-F238E27FC236}">
                  <a16:creationId xmlns:a16="http://schemas.microsoft.com/office/drawing/2014/main" id="{7B14C045-1FAC-46E0-A3B1-E4D1B8393B1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81350" y="5667375"/>
              <a:ext cx="1000125" cy="304800"/>
              <a:chOff x="122" y="589"/>
              <a:chExt cx="105" cy="32"/>
            </a:xfrm>
          </xdr:grpSpPr>
          <xdr:sp macro="" textlink="">
            <xdr:nvSpPr>
              <xdr:cNvPr id="52" name="Line 65">
                <a:extLst>
                  <a:ext uri="{FF2B5EF4-FFF2-40B4-BE49-F238E27FC236}">
                    <a16:creationId xmlns:a16="http://schemas.microsoft.com/office/drawing/2014/main" id="{7EF47A53-459A-49C3-B0D2-C76009752612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22" y="605"/>
                <a:ext cx="104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53" name="Freeform 66">
                <a:extLst>
                  <a:ext uri="{FF2B5EF4-FFF2-40B4-BE49-F238E27FC236}">
                    <a16:creationId xmlns:a16="http://schemas.microsoft.com/office/drawing/2014/main" id="{8D44B409-0A69-4359-9EE8-120C2D339F7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20" y="602"/>
                <a:ext cx="7" cy="6"/>
              </a:xfrm>
              <a:custGeom>
                <a:avLst/>
                <a:gdLst>
                  <a:gd name="T0" fmla="*/ 0 w 181"/>
                  <a:gd name="T1" fmla="*/ 204 h 204"/>
                  <a:gd name="T2" fmla="*/ 181 w 181"/>
                  <a:gd name="T3" fmla="*/ 102 h 204"/>
                  <a:gd name="T4" fmla="*/ 0 w 181"/>
                  <a:gd name="T5" fmla="*/ 0 h 20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</a:cxnLst>
                <a:rect l="0" t="0" r="r" b="b"/>
                <a:pathLst>
                  <a:path w="181" h="204">
                    <a:moveTo>
                      <a:pt x="0" y="204"/>
                    </a:moveTo>
                    <a:lnTo>
                      <a:pt x="181" y="102"/>
                    </a:lnTo>
                    <a:lnTo>
                      <a:pt x="0" y="0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4" name="Freeform 67">
                <a:extLst>
                  <a:ext uri="{FF2B5EF4-FFF2-40B4-BE49-F238E27FC236}">
                    <a16:creationId xmlns:a16="http://schemas.microsoft.com/office/drawing/2014/main" id="{358E3C4D-5E38-4966-A9BF-D619D38BAD0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46" y="597"/>
                <a:ext cx="7" cy="8"/>
              </a:xfrm>
              <a:custGeom>
                <a:avLst/>
                <a:gdLst>
                  <a:gd name="T0" fmla="*/ 203 w 203"/>
                  <a:gd name="T1" fmla="*/ 2 h 199"/>
                  <a:gd name="T2" fmla="*/ 203 w 203"/>
                  <a:gd name="T3" fmla="*/ 7 h 199"/>
                  <a:gd name="T4" fmla="*/ 202 w 203"/>
                  <a:gd name="T5" fmla="*/ 12 h 199"/>
                  <a:gd name="T6" fmla="*/ 202 w 203"/>
                  <a:gd name="T7" fmla="*/ 17 h 199"/>
                  <a:gd name="T8" fmla="*/ 200 w 203"/>
                  <a:gd name="T9" fmla="*/ 22 h 199"/>
                  <a:gd name="T10" fmla="*/ 199 w 203"/>
                  <a:gd name="T11" fmla="*/ 27 h 199"/>
                  <a:gd name="T12" fmla="*/ 199 w 203"/>
                  <a:gd name="T13" fmla="*/ 33 h 199"/>
                  <a:gd name="T14" fmla="*/ 198 w 203"/>
                  <a:gd name="T15" fmla="*/ 38 h 199"/>
                  <a:gd name="T16" fmla="*/ 197 w 203"/>
                  <a:gd name="T17" fmla="*/ 42 h 199"/>
                  <a:gd name="T18" fmla="*/ 195 w 203"/>
                  <a:gd name="T19" fmla="*/ 47 h 199"/>
                  <a:gd name="T20" fmla="*/ 194 w 203"/>
                  <a:gd name="T21" fmla="*/ 52 h 199"/>
                  <a:gd name="T22" fmla="*/ 193 w 203"/>
                  <a:gd name="T23" fmla="*/ 57 h 199"/>
                  <a:gd name="T24" fmla="*/ 191 w 203"/>
                  <a:gd name="T25" fmla="*/ 61 h 199"/>
                  <a:gd name="T26" fmla="*/ 189 w 203"/>
                  <a:gd name="T27" fmla="*/ 66 h 199"/>
                  <a:gd name="T28" fmla="*/ 188 w 203"/>
                  <a:gd name="T29" fmla="*/ 70 h 199"/>
                  <a:gd name="T30" fmla="*/ 186 w 203"/>
                  <a:gd name="T31" fmla="*/ 75 h 199"/>
                  <a:gd name="T32" fmla="*/ 184 w 203"/>
                  <a:gd name="T33" fmla="*/ 79 h 199"/>
                  <a:gd name="T34" fmla="*/ 182 w 203"/>
                  <a:gd name="T35" fmla="*/ 85 h 199"/>
                  <a:gd name="T36" fmla="*/ 179 w 203"/>
                  <a:gd name="T37" fmla="*/ 89 h 199"/>
                  <a:gd name="T38" fmla="*/ 177 w 203"/>
                  <a:gd name="T39" fmla="*/ 94 h 199"/>
                  <a:gd name="T40" fmla="*/ 175 w 203"/>
                  <a:gd name="T41" fmla="*/ 98 h 199"/>
                  <a:gd name="T42" fmla="*/ 171 w 203"/>
                  <a:gd name="T43" fmla="*/ 102 h 199"/>
                  <a:gd name="T44" fmla="*/ 169 w 203"/>
                  <a:gd name="T45" fmla="*/ 106 h 199"/>
                  <a:gd name="T46" fmla="*/ 166 w 203"/>
                  <a:gd name="T47" fmla="*/ 110 h 199"/>
                  <a:gd name="T48" fmla="*/ 163 w 203"/>
                  <a:gd name="T49" fmla="*/ 114 h 199"/>
                  <a:gd name="T50" fmla="*/ 160 w 203"/>
                  <a:gd name="T51" fmla="*/ 118 h 199"/>
                  <a:gd name="T52" fmla="*/ 157 w 203"/>
                  <a:gd name="T53" fmla="*/ 122 h 199"/>
                  <a:gd name="T54" fmla="*/ 154 w 203"/>
                  <a:gd name="T55" fmla="*/ 126 h 199"/>
                  <a:gd name="T56" fmla="*/ 151 w 203"/>
                  <a:gd name="T57" fmla="*/ 131 h 199"/>
                  <a:gd name="T58" fmla="*/ 147 w 203"/>
                  <a:gd name="T59" fmla="*/ 134 h 199"/>
                  <a:gd name="T60" fmla="*/ 143 w 203"/>
                  <a:gd name="T61" fmla="*/ 138 h 199"/>
                  <a:gd name="T62" fmla="*/ 140 w 203"/>
                  <a:gd name="T63" fmla="*/ 141 h 199"/>
                  <a:gd name="T64" fmla="*/ 136 w 203"/>
                  <a:gd name="T65" fmla="*/ 145 h 199"/>
                  <a:gd name="T66" fmla="*/ 132 w 203"/>
                  <a:gd name="T67" fmla="*/ 148 h 199"/>
                  <a:gd name="T68" fmla="*/ 129 w 203"/>
                  <a:gd name="T69" fmla="*/ 151 h 199"/>
                  <a:gd name="T70" fmla="*/ 125 w 203"/>
                  <a:gd name="T71" fmla="*/ 154 h 199"/>
                  <a:gd name="T72" fmla="*/ 121 w 203"/>
                  <a:gd name="T73" fmla="*/ 157 h 199"/>
                  <a:gd name="T74" fmla="*/ 116 w 203"/>
                  <a:gd name="T75" fmla="*/ 160 h 199"/>
                  <a:gd name="T76" fmla="*/ 112 w 203"/>
                  <a:gd name="T77" fmla="*/ 163 h 199"/>
                  <a:gd name="T78" fmla="*/ 108 w 203"/>
                  <a:gd name="T79" fmla="*/ 166 h 199"/>
                  <a:gd name="T80" fmla="*/ 104 w 203"/>
                  <a:gd name="T81" fmla="*/ 168 h 199"/>
                  <a:gd name="T82" fmla="*/ 100 w 203"/>
                  <a:gd name="T83" fmla="*/ 171 h 199"/>
                  <a:gd name="T84" fmla="*/ 95 w 203"/>
                  <a:gd name="T85" fmla="*/ 173 h 199"/>
                  <a:gd name="T86" fmla="*/ 90 w 203"/>
                  <a:gd name="T87" fmla="*/ 177 h 199"/>
                  <a:gd name="T88" fmla="*/ 86 w 203"/>
                  <a:gd name="T89" fmla="*/ 179 h 199"/>
                  <a:gd name="T90" fmla="*/ 81 w 203"/>
                  <a:gd name="T91" fmla="*/ 181 h 199"/>
                  <a:gd name="T92" fmla="*/ 77 w 203"/>
                  <a:gd name="T93" fmla="*/ 183 h 199"/>
                  <a:gd name="T94" fmla="*/ 72 w 203"/>
                  <a:gd name="T95" fmla="*/ 185 h 199"/>
                  <a:gd name="T96" fmla="*/ 68 w 203"/>
                  <a:gd name="T97" fmla="*/ 187 h 199"/>
                  <a:gd name="T98" fmla="*/ 62 w 203"/>
                  <a:gd name="T99" fmla="*/ 188 h 199"/>
                  <a:gd name="T100" fmla="*/ 57 w 203"/>
                  <a:gd name="T101" fmla="*/ 190 h 199"/>
                  <a:gd name="T102" fmla="*/ 53 w 203"/>
                  <a:gd name="T103" fmla="*/ 191 h 199"/>
                  <a:gd name="T104" fmla="*/ 48 w 203"/>
                  <a:gd name="T105" fmla="*/ 192 h 199"/>
                  <a:gd name="T106" fmla="*/ 43 w 203"/>
                  <a:gd name="T107" fmla="*/ 194 h 199"/>
                  <a:gd name="T108" fmla="*/ 38 w 203"/>
                  <a:gd name="T109" fmla="*/ 195 h 199"/>
                  <a:gd name="T110" fmla="*/ 33 w 203"/>
                  <a:gd name="T111" fmla="*/ 196 h 199"/>
                  <a:gd name="T112" fmla="*/ 28 w 203"/>
                  <a:gd name="T113" fmla="*/ 196 h 199"/>
                  <a:gd name="T114" fmla="*/ 23 w 203"/>
                  <a:gd name="T115" fmla="*/ 197 h 199"/>
                  <a:gd name="T116" fmla="*/ 18 w 203"/>
                  <a:gd name="T117" fmla="*/ 198 h 199"/>
                  <a:gd name="T118" fmla="*/ 13 w 203"/>
                  <a:gd name="T119" fmla="*/ 198 h 199"/>
                  <a:gd name="T120" fmla="*/ 7 w 203"/>
                  <a:gd name="T121" fmla="*/ 199 h 199"/>
                  <a:gd name="T122" fmla="*/ 2 w 203"/>
                  <a:gd name="T123" fmla="*/ 199 h 19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</a:cxnLst>
                <a:rect l="0" t="0" r="r" b="b"/>
                <a:pathLst>
                  <a:path w="203" h="199">
                    <a:moveTo>
                      <a:pt x="203" y="0"/>
                    </a:moveTo>
                    <a:lnTo>
                      <a:pt x="203" y="2"/>
                    </a:lnTo>
                    <a:lnTo>
                      <a:pt x="203" y="5"/>
                    </a:lnTo>
                    <a:lnTo>
                      <a:pt x="203" y="7"/>
                    </a:lnTo>
                    <a:lnTo>
                      <a:pt x="202" y="10"/>
                    </a:lnTo>
                    <a:lnTo>
                      <a:pt x="202" y="12"/>
                    </a:lnTo>
                    <a:lnTo>
                      <a:pt x="202" y="15"/>
                    </a:lnTo>
                    <a:lnTo>
                      <a:pt x="202" y="17"/>
                    </a:lnTo>
                    <a:lnTo>
                      <a:pt x="200" y="20"/>
                    </a:lnTo>
                    <a:lnTo>
                      <a:pt x="200" y="22"/>
                    </a:lnTo>
                    <a:lnTo>
                      <a:pt x="200" y="24"/>
                    </a:lnTo>
                    <a:lnTo>
                      <a:pt x="199" y="27"/>
                    </a:lnTo>
                    <a:lnTo>
                      <a:pt x="199" y="29"/>
                    </a:lnTo>
                    <a:lnTo>
                      <a:pt x="199" y="33"/>
                    </a:lnTo>
                    <a:lnTo>
                      <a:pt x="198" y="35"/>
                    </a:lnTo>
                    <a:lnTo>
                      <a:pt x="198" y="38"/>
                    </a:lnTo>
                    <a:lnTo>
                      <a:pt x="197" y="40"/>
                    </a:lnTo>
                    <a:lnTo>
                      <a:pt x="197" y="42"/>
                    </a:lnTo>
                    <a:lnTo>
                      <a:pt x="196" y="45"/>
                    </a:lnTo>
                    <a:lnTo>
                      <a:pt x="195" y="47"/>
                    </a:lnTo>
                    <a:lnTo>
                      <a:pt x="195" y="49"/>
                    </a:lnTo>
                    <a:lnTo>
                      <a:pt x="194" y="52"/>
                    </a:lnTo>
                    <a:lnTo>
                      <a:pt x="193" y="54"/>
                    </a:lnTo>
                    <a:lnTo>
                      <a:pt x="193" y="57"/>
                    </a:lnTo>
                    <a:lnTo>
                      <a:pt x="192" y="59"/>
                    </a:lnTo>
                    <a:lnTo>
                      <a:pt x="191" y="61"/>
                    </a:lnTo>
                    <a:lnTo>
                      <a:pt x="190" y="63"/>
                    </a:lnTo>
                    <a:lnTo>
                      <a:pt x="189" y="66"/>
                    </a:lnTo>
                    <a:lnTo>
                      <a:pt x="189" y="68"/>
                    </a:lnTo>
                    <a:lnTo>
                      <a:pt x="188" y="70"/>
                    </a:lnTo>
                    <a:lnTo>
                      <a:pt x="187" y="73"/>
                    </a:lnTo>
                    <a:lnTo>
                      <a:pt x="186" y="75"/>
                    </a:lnTo>
                    <a:lnTo>
                      <a:pt x="185" y="77"/>
                    </a:lnTo>
                    <a:lnTo>
                      <a:pt x="184" y="79"/>
                    </a:lnTo>
                    <a:lnTo>
                      <a:pt x="183" y="83"/>
                    </a:lnTo>
                    <a:lnTo>
                      <a:pt x="182" y="85"/>
                    </a:lnTo>
                    <a:lnTo>
                      <a:pt x="181" y="87"/>
                    </a:lnTo>
                    <a:lnTo>
                      <a:pt x="179" y="89"/>
                    </a:lnTo>
                    <a:lnTo>
                      <a:pt x="178" y="91"/>
                    </a:lnTo>
                    <a:lnTo>
                      <a:pt x="177" y="94"/>
                    </a:lnTo>
                    <a:lnTo>
                      <a:pt x="176" y="96"/>
                    </a:lnTo>
                    <a:lnTo>
                      <a:pt x="175" y="98"/>
                    </a:lnTo>
                    <a:lnTo>
                      <a:pt x="172" y="100"/>
                    </a:lnTo>
                    <a:lnTo>
                      <a:pt x="171" y="102"/>
                    </a:lnTo>
                    <a:lnTo>
                      <a:pt x="170" y="104"/>
                    </a:lnTo>
                    <a:lnTo>
                      <a:pt x="169" y="106"/>
                    </a:lnTo>
                    <a:lnTo>
                      <a:pt x="167" y="108"/>
                    </a:lnTo>
                    <a:lnTo>
                      <a:pt x="166" y="110"/>
                    </a:lnTo>
                    <a:lnTo>
                      <a:pt x="164" y="112"/>
                    </a:lnTo>
                    <a:lnTo>
                      <a:pt x="163" y="114"/>
                    </a:lnTo>
                    <a:lnTo>
                      <a:pt x="162" y="116"/>
                    </a:lnTo>
                    <a:lnTo>
                      <a:pt x="160" y="118"/>
                    </a:lnTo>
                    <a:lnTo>
                      <a:pt x="159" y="120"/>
                    </a:lnTo>
                    <a:lnTo>
                      <a:pt x="157" y="122"/>
                    </a:lnTo>
                    <a:lnTo>
                      <a:pt x="156" y="124"/>
                    </a:lnTo>
                    <a:lnTo>
                      <a:pt x="154" y="126"/>
                    </a:lnTo>
                    <a:lnTo>
                      <a:pt x="152" y="129"/>
                    </a:lnTo>
                    <a:lnTo>
                      <a:pt x="151" y="131"/>
                    </a:lnTo>
                    <a:lnTo>
                      <a:pt x="149" y="132"/>
                    </a:lnTo>
                    <a:lnTo>
                      <a:pt x="147" y="134"/>
                    </a:lnTo>
                    <a:lnTo>
                      <a:pt x="145" y="136"/>
                    </a:lnTo>
                    <a:lnTo>
                      <a:pt x="143" y="138"/>
                    </a:lnTo>
                    <a:lnTo>
                      <a:pt x="141" y="139"/>
                    </a:lnTo>
                    <a:lnTo>
                      <a:pt x="140" y="141"/>
                    </a:lnTo>
                    <a:lnTo>
                      <a:pt x="138" y="143"/>
                    </a:lnTo>
                    <a:lnTo>
                      <a:pt x="136" y="145"/>
                    </a:lnTo>
                    <a:lnTo>
                      <a:pt x="134" y="146"/>
                    </a:lnTo>
                    <a:lnTo>
                      <a:pt x="132" y="148"/>
                    </a:lnTo>
                    <a:lnTo>
                      <a:pt x="131" y="150"/>
                    </a:lnTo>
                    <a:lnTo>
                      <a:pt x="129" y="151"/>
                    </a:lnTo>
                    <a:lnTo>
                      <a:pt x="127" y="153"/>
                    </a:lnTo>
                    <a:lnTo>
                      <a:pt x="125" y="154"/>
                    </a:lnTo>
                    <a:lnTo>
                      <a:pt x="123" y="156"/>
                    </a:lnTo>
                    <a:lnTo>
                      <a:pt x="121" y="157"/>
                    </a:lnTo>
                    <a:lnTo>
                      <a:pt x="118" y="159"/>
                    </a:lnTo>
                    <a:lnTo>
                      <a:pt x="116" y="160"/>
                    </a:lnTo>
                    <a:lnTo>
                      <a:pt x="114" y="162"/>
                    </a:lnTo>
                    <a:lnTo>
                      <a:pt x="112" y="163"/>
                    </a:lnTo>
                    <a:lnTo>
                      <a:pt x="110" y="164"/>
                    </a:lnTo>
                    <a:lnTo>
                      <a:pt x="108" y="166"/>
                    </a:lnTo>
                    <a:lnTo>
                      <a:pt x="106" y="167"/>
                    </a:lnTo>
                    <a:lnTo>
                      <a:pt x="104" y="168"/>
                    </a:lnTo>
                    <a:lnTo>
                      <a:pt x="102" y="170"/>
                    </a:lnTo>
                    <a:lnTo>
                      <a:pt x="100" y="171"/>
                    </a:lnTo>
                    <a:lnTo>
                      <a:pt x="97" y="172"/>
                    </a:lnTo>
                    <a:lnTo>
                      <a:pt x="95" y="173"/>
                    </a:lnTo>
                    <a:lnTo>
                      <a:pt x="93" y="174"/>
                    </a:lnTo>
                    <a:lnTo>
                      <a:pt x="90" y="177"/>
                    </a:lnTo>
                    <a:lnTo>
                      <a:pt x="88" y="178"/>
                    </a:lnTo>
                    <a:lnTo>
                      <a:pt x="86" y="179"/>
                    </a:lnTo>
                    <a:lnTo>
                      <a:pt x="83" y="180"/>
                    </a:lnTo>
                    <a:lnTo>
                      <a:pt x="81" y="181"/>
                    </a:lnTo>
                    <a:lnTo>
                      <a:pt x="79" y="182"/>
                    </a:lnTo>
                    <a:lnTo>
                      <a:pt x="77" y="183"/>
                    </a:lnTo>
                    <a:lnTo>
                      <a:pt x="74" y="184"/>
                    </a:lnTo>
                    <a:lnTo>
                      <a:pt x="72" y="185"/>
                    </a:lnTo>
                    <a:lnTo>
                      <a:pt x="70" y="186"/>
                    </a:lnTo>
                    <a:lnTo>
                      <a:pt x="68" y="187"/>
                    </a:lnTo>
                    <a:lnTo>
                      <a:pt x="65" y="187"/>
                    </a:lnTo>
                    <a:lnTo>
                      <a:pt x="62" y="188"/>
                    </a:lnTo>
                    <a:lnTo>
                      <a:pt x="60" y="189"/>
                    </a:lnTo>
                    <a:lnTo>
                      <a:pt x="57" y="190"/>
                    </a:lnTo>
                    <a:lnTo>
                      <a:pt x="55" y="190"/>
                    </a:lnTo>
                    <a:lnTo>
                      <a:pt x="53" y="191"/>
                    </a:lnTo>
                    <a:lnTo>
                      <a:pt x="50" y="192"/>
                    </a:lnTo>
                    <a:lnTo>
                      <a:pt x="48" y="192"/>
                    </a:lnTo>
                    <a:lnTo>
                      <a:pt x="45" y="193"/>
                    </a:lnTo>
                    <a:lnTo>
                      <a:pt x="43" y="194"/>
                    </a:lnTo>
                    <a:lnTo>
                      <a:pt x="41" y="194"/>
                    </a:lnTo>
                    <a:lnTo>
                      <a:pt x="38" y="195"/>
                    </a:lnTo>
                    <a:lnTo>
                      <a:pt x="35" y="195"/>
                    </a:lnTo>
                    <a:lnTo>
                      <a:pt x="33" y="196"/>
                    </a:lnTo>
                    <a:lnTo>
                      <a:pt x="30" y="196"/>
                    </a:lnTo>
                    <a:lnTo>
                      <a:pt x="28" y="196"/>
                    </a:lnTo>
                    <a:lnTo>
                      <a:pt x="25" y="197"/>
                    </a:lnTo>
                    <a:lnTo>
                      <a:pt x="23" y="197"/>
                    </a:lnTo>
                    <a:lnTo>
                      <a:pt x="20" y="198"/>
                    </a:lnTo>
                    <a:lnTo>
                      <a:pt x="18" y="198"/>
                    </a:lnTo>
                    <a:lnTo>
                      <a:pt x="15" y="198"/>
                    </a:lnTo>
                    <a:lnTo>
                      <a:pt x="13" y="198"/>
                    </a:lnTo>
                    <a:lnTo>
                      <a:pt x="11" y="198"/>
                    </a:lnTo>
                    <a:lnTo>
                      <a:pt x="7" y="199"/>
                    </a:lnTo>
                    <a:lnTo>
                      <a:pt x="5" y="199"/>
                    </a:lnTo>
                    <a:lnTo>
                      <a:pt x="2" y="199"/>
                    </a:lnTo>
                    <a:lnTo>
                      <a:pt x="0" y="199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5" name="Line 68">
                <a:extLst>
                  <a:ext uri="{FF2B5EF4-FFF2-40B4-BE49-F238E27FC236}">
                    <a16:creationId xmlns:a16="http://schemas.microsoft.com/office/drawing/2014/main" id="{7B42490E-CDA1-42D5-91D4-C7B98A698B06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53" y="589"/>
                <a:ext cx="0" cy="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56" name="Freeform 69">
                <a:extLst>
                  <a:ext uri="{FF2B5EF4-FFF2-40B4-BE49-F238E27FC236}">
                    <a16:creationId xmlns:a16="http://schemas.microsoft.com/office/drawing/2014/main" id="{467660CA-BA61-458E-A6C4-3C6B779497D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49" y="589"/>
                <a:ext cx="8" cy="7"/>
              </a:xfrm>
              <a:custGeom>
                <a:avLst/>
                <a:gdLst>
                  <a:gd name="T0" fmla="*/ 207 w 207"/>
                  <a:gd name="T1" fmla="*/ 176 h 176"/>
                  <a:gd name="T2" fmla="*/ 104 w 207"/>
                  <a:gd name="T3" fmla="*/ 0 h 176"/>
                  <a:gd name="T4" fmla="*/ 0 w 207"/>
                  <a:gd name="T5" fmla="*/ 176 h 1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</a:cxnLst>
                <a:rect l="0" t="0" r="r" b="b"/>
                <a:pathLst>
                  <a:path w="207" h="176">
                    <a:moveTo>
                      <a:pt x="207" y="176"/>
                    </a:moveTo>
                    <a:lnTo>
                      <a:pt x="104" y="0"/>
                    </a:lnTo>
                    <a:lnTo>
                      <a:pt x="0" y="176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7" name="Freeform 70">
                <a:extLst>
                  <a:ext uri="{FF2B5EF4-FFF2-40B4-BE49-F238E27FC236}">
                    <a16:creationId xmlns:a16="http://schemas.microsoft.com/office/drawing/2014/main" id="{1A11D533-9229-4EFE-8514-67AF22D8303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57" y="605"/>
                <a:ext cx="8" cy="7"/>
              </a:xfrm>
              <a:custGeom>
                <a:avLst/>
                <a:gdLst>
                  <a:gd name="T0" fmla="*/ 3 w 201"/>
                  <a:gd name="T1" fmla="*/ 0 h 202"/>
                  <a:gd name="T2" fmla="*/ 8 w 201"/>
                  <a:gd name="T3" fmla="*/ 1 h 202"/>
                  <a:gd name="T4" fmla="*/ 13 w 201"/>
                  <a:gd name="T5" fmla="*/ 1 h 202"/>
                  <a:gd name="T6" fmla="*/ 18 w 201"/>
                  <a:gd name="T7" fmla="*/ 1 h 202"/>
                  <a:gd name="T8" fmla="*/ 23 w 201"/>
                  <a:gd name="T9" fmla="*/ 2 h 202"/>
                  <a:gd name="T10" fmla="*/ 29 w 201"/>
                  <a:gd name="T11" fmla="*/ 3 h 202"/>
                  <a:gd name="T12" fmla="*/ 34 w 201"/>
                  <a:gd name="T13" fmla="*/ 4 h 202"/>
                  <a:gd name="T14" fmla="*/ 38 w 201"/>
                  <a:gd name="T15" fmla="*/ 5 h 202"/>
                  <a:gd name="T16" fmla="*/ 43 w 201"/>
                  <a:gd name="T17" fmla="*/ 6 h 202"/>
                  <a:gd name="T18" fmla="*/ 48 w 201"/>
                  <a:gd name="T19" fmla="*/ 7 h 202"/>
                  <a:gd name="T20" fmla="*/ 53 w 201"/>
                  <a:gd name="T21" fmla="*/ 9 h 202"/>
                  <a:gd name="T22" fmla="*/ 58 w 201"/>
                  <a:gd name="T23" fmla="*/ 10 h 202"/>
                  <a:gd name="T24" fmla="*/ 63 w 201"/>
                  <a:gd name="T25" fmla="*/ 12 h 202"/>
                  <a:gd name="T26" fmla="*/ 68 w 201"/>
                  <a:gd name="T27" fmla="*/ 13 h 202"/>
                  <a:gd name="T28" fmla="*/ 72 w 201"/>
                  <a:gd name="T29" fmla="*/ 15 h 202"/>
                  <a:gd name="T30" fmla="*/ 77 w 201"/>
                  <a:gd name="T31" fmla="*/ 17 h 202"/>
                  <a:gd name="T32" fmla="*/ 81 w 201"/>
                  <a:gd name="T33" fmla="*/ 19 h 202"/>
                  <a:gd name="T34" fmla="*/ 87 w 201"/>
                  <a:gd name="T35" fmla="*/ 21 h 202"/>
                  <a:gd name="T36" fmla="*/ 91 w 201"/>
                  <a:gd name="T37" fmla="*/ 24 h 202"/>
                  <a:gd name="T38" fmla="*/ 95 w 201"/>
                  <a:gd name="T39" fmla="*/ 27 h 202"/>
                  <a:gd name="T40" fmla="*/ 99 w 201"/>
                  <a:gd name="T41" fmla="*/ 29 h 202"/>
                  <a:gd name="T42" fmla="*/ 104 w 201"/>
                  <a:gd name="T43" fmla="*/ 32 h 202"/>
                  <a:gd name="T44" fmla="*/ 108 w 201"/>
                  <a:gd name="T45" fmla="*/ 34 h 202"/>
                  <a:gd name="T46" fmla="*/ 113 w 201"/>
                  <a:gd name="T47" fmla="*/ 37 h 202"/>
                  <a:gd name="T48" fmla="*/ 117 w 201"/>
                  <a:gd name="T49" fmla="*/ 40 h 202"/>
                  <a:gd name="T50" fmla="*/ 121 w 201"/>
                  <a:gd name="T51" fmla="*/ 43 h 202"/>
                  <a:gd name="T52" fmla="*/ 125 w 201"/>
                  <a:gd name="T53" fmla="*/ 46 h 202"/>
                  <a:gd name="T54" fmla="*/ 128 w 201"/>
                  <a:gd name="T55" fmla="*/ 49 h 202"/>
                  <a:gd name="T56" fmla="*/ 132 w 201"/>
                  <a:gd name="T57" fmla="*/ 53 h 202"/>
                  <a:gd name="T58" fmla="*/ 136 w 201"/>
                  <a:gd name="T59" fmla="*/ 56 h 202"/>
                  <a:gd name="T60" fmla="*/ 140 w 201"/>
                  <a:gd name="T61" fmla="*/ 59 h 202"/>
                  <a:gd name="T62" fmla="*/ 144 w 201"/>
                  <a:gd name="T63" fmla="*/ 63 h 202"/>
                  <a:gd name="T64" fmla="*/ 147 w 201"/>
                  <a:gd name="T65" fmla="*/ 66 h 202"/>
                  <a:gd name="T66" fmla="*/ 150 w 201"/>
                  <a:gd name="T67" fmla="*/ 71 h 202"/>
                  <a:gd name="T68" fmla="*/ 153 w 201"/>
                  <a:gd name="T69" fmla="*/ 75 h 202"/>
                  <a:gd name="T70" fmla="*/ 156 w 201"/>
                  <a:gd name="T71" fmla="*/ 79 h 202"/>
                  <a:gd name="T72" fmla="*/ 159 w 201"/>
                  <a:gd name="T73" fmla="*/ 83 h 202"/>
                  <a:gd name="T74" fmla="*/ 162 w 201"/>
                  <a:gd name="T75" fmla="*/ 87 h 202"/>
                  <a:gd name="T76" fmla="*/ 165 w 201"/>
                  <a:gd name="T77" fmla="*/ 91 h 202"/>
                  <a:gd name="T78" fmla="*/ 169 w 201"/>
                  <a:gd name="T79" fmla="*/ 95 h 202"/>
                  <a:gd name="T80" fmla="*/ 171 w 201"/>
                  <a:gd name="T81" fmla="*/ 99 h 202"/>
                  <a:gd name="T82" fmla="*/ 174 w 201"/>
                  <a:gd name="T83" fmla="*/ 103 h 202"/>
                  <a:gd name="T84" fmla="*/ 176 w 201"/>
                  <a:gd name="T85" fmla="*/ 107 h 202"/>
                  <a:gd name="T86" fmla="*/ 178 w 201"/>
                  <a:gd name="T87" fmla="*/ 112 h 202"/>
                  <a:gd name="T88" fmla="*/ 181 w 201"/>
                  <a:gd name="T89" fmla="*/ 116 h 202"/>
                  <a:gd name="T90" fmla="*/ 183 w 201"/>
                  <a:gd name="T91" fmla="*/ 122 h 202"/>
                  <a:gd name="T92" fmla="*/ 185 w 201"/>
                  <a:gd name="T93" fmla="*/ 126 h 202"/>
                  <a:gd name="T94" fmla="*/ 186 w 201"/>
                  <a:gd name="T95" fmla="*/ 131 h 202"/>
                  <a:gd name="T96" fmla="*/ 188 w 201"/>
                  <a:gd name="T97" fmla="*/ 135 h 202"/>
                  <a:gd name="T98" fmla="*/ 190 w 201"/>
                  <a:gd name="T99" fmla="*/ 140 h 202"/>
                  <a:gd name="T100" fmla="*/ 191 w 201"/>
                  <a:gd name="T101" fmla="*/ 145 h 202"/>
                  <a:gd name="T102" fmla="*/ 194 w 201"/>
                  <a:gd name="T103" fmla="*/ 149 h 202"/>
                  <a:gd name="T104" fmla="*/ 195 w 201"/>
                  <a:gd name="T105" fmla="*/ 154 h 202"/>
                  <a:gd name="T106" fmla="*/ 196 w 201"/>
                  <a:gd name="T107" fmla="*/ 159 h 202"/>
                  <a:gd name="T108" fmla="*/ 197 w 201"/>
                  <a:gd name="T109" fmla="*/ 164 h 202"/>
                  <a:gd name="T110" fmla="*/ 198 w 201"/>
                  <a:gd name="T111" fmla="*/ 169 h 202"/>
                  <a:gd name="T112" fmla="*/ 199 w 201"/>
                  <a:gd name="T113" fmla="*/ 174 h 202"/>
                  <a:gd name="T114" fmla="*/ 199 w 201"/>
                  <a:gd name="T115" fmla="*/ 179 h 202"/>
                  <a:gd name="T116" fmla="*/ 200 w 201"/>
                  <a:gd name="T117" fmla="*/ 184 h 202"/>
                  <a:gd name="T118" fmla="*/ 200 w 201"/>
                  <a:gd name="T119" fmla="*/ 189 h 202"/>
                  <a:gd name="T120" fmla="*/ 201 w 201"/>
                  <a:gd name="T121" fmla="*/ 194 h 202"/>
                  <a:gd name="T122" fmla="*/ 201 w 201"/>
                  <a:gd name="T123" fmla="*/ 199 h 202"/>
                  <a:gd name="T124" fmla="*/ 201 w 201"/>
                  <a:gd name="T125" fmla="*/ 202 h 20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  <a:cxn ang="0">
                    <a:pos x="T124" y="T125"/>
                  </a:cxn>
                </a:cxnLst>
                <a:rect l="0" t="0" r="r" b="b"/>
                <a:pathLst>
                  <a:path w="201" h="202">
                    <a:moveTo>
                      <a:pt x="0" y="0"/>
                    </a:moveTo>
                    <a:lnTo>
                      <a:pt x="3" y="0"/>
                    </a:lnTo>
                    <a:lnTo>
                      <a:pt x="6" y="0"/>
                    </a:lnTo>
                    <a:lnTo>
                      <a:pt x="8" y="1"/>
                    </a:lnTo>
                    <a:lnTo>
                      <a:pt x="11" y="1"/>
                    </a:lnTo>
                    <a:lnTo>
                      <a:pt x="13" y="1"/>
                    </a:lnTo>
                    <a:lnTo>
                      <a:pt x="16" y="1"/>
                    </a:lnTo>
                    <a:lnTo>
                      <a:pt x="18" y="1"/>
                    </a:lnTo>
                    <a:lnTo>
                      <a:pt x="21" y="2"/>
                    </a:lnTo>
                    <a:lnTo>
                      <a:pt x="23" y="2"/>
                    </a:lnTo>
                    <a:lnTo>
                      <a:pt x="25" y="2"/>
                    </a:lnTo>
                    <a:lnTo>
                      <a:pt x="29" y="3"/>
                    </a:lnTo>
                    <a:lnTo>
                      <a:pt x="31" y="3"/>
                    </a:lnTo>
                    <a:lnTo>
                      <a:pt x="34" y="4"/>
                    </a:lnTo>
                    <a:lnTo>
                      <a:pt x="36" y="4"/>
                    </a:lnTo>
                    <a:lnTo>
                      <a:pt x="38" y="5"/>
                    </a:lnTo>
                    <a:lnTo>
                      <a:pt x="41" y="5"/>
                    </a:lnTo>
                    <a:lnTo>
                      <a:pt x="43" y="6"/>
                    </a:lnTo>
                    <a:lnTo>
                      <a:pt x="46" y="7"/>
                    </a:lnTo>
                    <a:lnTo>
                      <a:pt x="48" y="7"/>
                    </a:lnTo>
                    <a:lnTo>
                      <a:pt x="50" y="8"/>
                    </a:lnTo>
                    <a:lnTo>
                      <a:pt x="53" y="9"/>
                    </a:lnTo>
                    <a:lnTo>
                      <a:pt x="55" y="9"/>
                    </a:lnTo>
                    <a:lnTo>
                      <a:pt x="58" y="10"/>
                    </a:lnTo>
                    <a:lnTo>
                      <a:pt x="61" y="11"/>
                    </a:lnTo>
                    <a:lnTo>
                      <a:pt x="63" y="12"/>
                    </a:lnTo>
                    <a:lnTo>
                      <a:pt x="65" y="12"/>
                    </a:lnTo>
                    <a:lnTo>
                      <a:pt x="68" y="13"/>
                    </a:lnTo>
                    <a:lnTo>
                      <a:pt x="70" y="14"/>
                    </a:lnTo>
                    <a:lnTo>
                      <a:pt x="72" y="15"/>
                    </a:lnTo>
                    <a:lnTo>
                      <a:pt x="74" y="16"/>
                    </a:lnTo>
                    <a:lnTo>
                      <a:pt x="77" y="17"/>
                    </a:lnTo>
                    <a:lnTo>
                      <a:pt x="79" y="18"/>
                    </a:lnTo>
                    <a:lnTo>
                      <a:pt x="81" y="19"/>
                    </a:lnTo>
                    <a:lnTo>
                      <a:pt x="84" y="20"/>
                    </a:lnTo>
                    <a:lnTo>
                      <a:pt x="87" y="21"/>
                    </a:lnTo>
                    <a:lnTo>
                      <a:pt x="89" y="23"/>
                    </a:lnTo>
                    <a:lnTo>
                      <a:pt x="91" y="24"/>
                    </a:lnTo>
                    <a:lnTo>
                      <a:pt x="93" y="26"/>
                    </a:lnTo>
                    <a:lnTo>
                      <a:pt x="95" y="27"/>
                    </a:lnTo>
                    <a:lnTo>
                      <a:pt x="97" y="28"/>
                    </a:lnTo>
                    <a:lnTo>
                      <a:pt x="99" y="29"/>
                    </a:lnTo>
                    <a:lnTo>
                      <a:pt x="102" y="31"/>
                    </a:lnTo>
                    <a:lnTo>
                      <a:pt x="104" y="32"/>
                    </a:lnTo>
                    <a:lnTo>
                      <a:pt x="106" y="33"/>
                    </a:lnTo>
                    <a:lnTo>
                      <a:pt x="108" y="34"/>
                    </a:lnTo>
                    <a:lnTo>
                      <a:pt x="110" y="36"/>
                    </a:lnTo>
                    <a:lnTo>
                      <a:pt x="113" y="37"/>
                    </a:lnTo>
                    <a:lnTo>
                      <a:pt x="115" y="39"/>
                    </a:lnTo>
                    <a:lnTo>
                      <a:pt x="117" y="40"/>
                    </a:lnTo>
                    <a:lnTo>
                      <a:pt x="119" y="42"/>
                    </a:lnTo>
                    <a:lnTo>
                      <a:pt x="121" y="43"/>
                    </a:lnTo>
                    <a:lnTo>
                      <a:pt x="123" y="45"/>
                    </a:lnTo>
                    <a:lnTo>
                      <a:pt x="125" y="46"/>
                    </a:lnTo>
                    <a:lnTo>
                      <a:pt x="126" y="48"/>
                    </a:lnTo>
                    <a:lnTo>
                      <a:pt x="128" y="49"/>
                    </a:lnTo>
                    <a:lnTo>
                      <a:pt x="130" y="51"/>
                    </a:lnTo>
                    <a:lnTo>
                      <a:pt x="132" y="53"/>
                    </a:lnTo>
                    <a:lnTo>
                      <a:pt x="134" y="54"/>
                    </a:lnTo>
                    <a:lnTo>
                      <a:pt x="136" y="56"/>
                    </a:lnTo>
                    <a:lnTo>
                      <a:pt x="137" y="58"/>
                    </a:lnTo>
                    <a:lnTo>
                      <a:pt x="140" y="59"/>
                    </a:lnTo>
                    <a:lnTo>
                      <a:pt x="142" y="61"/>
                    </a:lnTo>
                    <a:lnTo>
                      <a:pt x="144" y="63"/>
                    </a:lnTo>
                    <a:lnTo>
                      <a:pt x="145" y="65"/>
                    </a:lnTo>
                    <a:lnTo>
                      <a:pt x="147" y="66"/>
                    </a:lnTo>
                    <a:lnTo>
                      <a:pt x="149" y="68"/>
                    </a:lnTo>
                    <a:lnTo>
                      <a:pt x="150" y="71"/>
                    </a:lnTo>
                    <a:lnTo>
                      <a:pt x="152" y="73"/>
                    </a:lnTo>
                    <a:lnTo>
                      <a:pt x="153" y="75"/>
                    </a:lnTo>
                    <a:lnTo>
                      <a:pt x="155" y="77"/>
                    </a:lnTo>
                    <a:lnTo>
                      <a:pt x="156" y="79"/>
                    </a:lnTo>
                    <a:lnTo>
                      <a:pt x="158" y="81"/>
                    </a:lnTo>
                    <a:lnTo>
                      <a:pt x="159" y="83"/>
                    </a:lnTo>
                    <a:lnTo>
                      <a:pt x="161" y="85"/>
                    </a:lnTo>
                    <a:lnTo>
                      <a:pt x="162" y="87"/>
                    </a:lnTo>
                    <a:lnTo>
                      <a:pt x="164" y="89"/>
                    </a:lnTo>
                    <a:lnTo>
                      <a:pt x="165" y="91"/>
                    </a:lnTo>
                    <a:lnTo>
                      <a:pt x="167" y="93"/>
                    </a:lnTo>
                    <a:lnTo>
                      <a:pt x="169" y="95"/>
                    </a:lnTo>
                    <a:lnTo>
                      <a:pt x="170" y="97"/>
                    </a:lnTo>
                    <a:lnTo>
                      <a:pt x="171" y="99"/>
                    </a:lnTo>
                    <a:lnTo>
                      <a:pt x="173" y="101"/>
                    </a:lnTo>
                    <a:lnTo>
                      <a:pt x="174" y="103"/>
                    </a:lnTo>
                    <a:lnTo>
                      <a:pt x="175" y="105"/>
                    </a:lnTo>
                    <a:lnTo>
                      <a:pt x="176" y="107"/>
                    </a:lnTo>
                    <a:lnTo>
                      <a:pt x="177" y="110"/>
                    </a:lnTo>
                    <a:lnTo>
                      <a:pt x="178" y="112"/>
                    </a:lnTo>
                    <a:lnTo>
                      <a:pt x="180" y="114"/>
                    </a:lnTo>
                    <a:lnTo>
                      <a:pt x="181" y="116"/>
                    </a:lnTo>
                    <a:lnTo>
                      <a:pt x="182" y="119"/>
                    </a:lnTo>
                    <a:lnTo>
                      <a:pt x="183" y="122"/>
                    </a:lnTo>
                    <a:lnTo>
                      <a:pt x="184" y="124"/>
                    </a:lnTo>
                    <a:lnTo>
                      <a:pt x="185" y="126"/>
                    </a:lnTo>
                    <a:lnTo>
                      <a:pt x="186" y="128"/>
                    </a:lnTo>
                    <a:lnTo>
                      <a:pt x="186" y="131"/>
                    </a:lnTo>
                    <a:lnTo>
                      <a:pt x="187" y="133"/>
                    </a:lnTo>
                    <a:lnTo>
                      <a:pt x="188" y="135"/>
                    </a:lnTo>
                    <a:lnTo>
                      <a:pt x="189" y="138"/>
                    </a:lnTo>
                    <a:lnTo>
                      <a:pt x="190" y="140"/>
                    </a:lnTo>
                    <a:lnTo>
                      <a:pt x="191" y="142"/>
                    </a:lnTo>
                    <a:lnTo>
                      <a:pt x="191" y="145"/>
                    </a:lnTo>
                    <a:lnTo>
                      <a:pt x="192" y="147"/>
                    </a:lnTo>
                    <a:lnTo>
                      <a:pt x="194" y="149"/>
                    </a:lnTo>
                    <a:lnTo>
                      <a:pt x="194" y="152"/>
                    </a:lnTo>
                    <a:lnTo>
                      <a:pt x="195" y="154"/>
                    </a:lnTo>
                    <a:lnTo>
                      <a:pt x="195" y="156"/>
                    </a:lnTo>
                    <a:lnTo>
                      <a:pt x="196" y="159"/>
                    </a:lnTo>
                    <a:lnTo>
                      <a:pt x="197" y="161"/>
                    </a:lnTo>
                    <a:lnTo>
                      <a:pt x="197" y="164"/>
                    </a:lnTo>
                    <a:lnTo>
                      <a:pt x="198" y="167"/>
                    </a:lnTo>
                    <a:lnTo>
                      <a:pt x="198" y="169"/>
                    </a:lnTo>
                    <a:lnTo>
                      <a:pt x="198" y="172"/>
                    </a:lnTo>
                    <a:lnTo>
                      <a:pt x="199" y="174"/>
                    </a:lnTo>
                    <a:lnTo>
                      <a:pt x="199" y="177"/>
                    </a:lnTo>
                    <a:lnTo>
                      <a:pt x="199" y="179"/>
                    </a:lnTo>
                    <a:lnTo>
                      <a:pt x="200" y="182"/>
                    </a:lnTo>
                    <a:lnTo>
                      <a:pt x="200" y="184"/>
                    </a:lnTo>
                    <a:lnTo>
                      <a:pt x="200" y="186"/>
                    </a:lnTo>
                    <a:lnTo>
                      <a:pt x="200" y="189"/>
                    </a:lnTo>
                    <a:lnTo>
                      <a:pt x="201" y="191"/>
                    </a:lnTo>
                    <a:lnTo>
                      <a:pt x="201" y="194"/>
                    </a:lnTo>
                    <a:lnTo>
                      <a:pt x="201" y="196"/>
                    </a:lnTo>
                    <a:lnTo>
                      <a:pt x="201" y="199"/>
                    </a:lnTo>
                    <a:lnTo>
                      <a:pt x="201" y="201"/>
                    </a:lnTo>
                    <a:lnTo>
                      <a:pt x="201" y="202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8" name="Line 71">
                <a:extLst>
                  <a:ext uri="{FF2B5EF4-FFF2-40B4-BE49-F238E27FC236}">
                    <a16:creationId xmlns:a16="http://schemas.microsoft.com/office/drawing/2014/main" id="{2139DFE4-6060-4244-825F-DDF6AEA511D2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65" y="612"/>
                <a:ext cx="0" cy="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59" name="Freeform 72">
                <a:extLst>
                  <a:ext uri="{FF2B5EF4-FFF2-40B4-BE49-F238E27FC236}">
                    <a16:creationId xmlns:a16="http://schemas.microsoft.com/office/drawing/2014/main" id="{2358342B-E6B1-4593-8C40-79DEA9B1D97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1" y="614"/>
                <a:ext cx="8" cy="7"/>
              </a:xfrm>
              <a:custGeom>
                <a:avLst/>
                <a:gdLst>
                  <a:gd name="T0" fmla="*/ 208 w 208"/>
                  <a:gd name="T1" fmla="*/ 0 h 177"/>
                  <a:gd name="T2" fmla="*/ 104 w 208"/>
                  <a:gd name="T3" fmla="*/ 177 h 177"/>
                  <a:gd name="T4" fmla="*/ 0 w 208"/>
                  <a:gd name="T5" fmla="*/ 0 h 1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</a:cxnLst>
                <a:rect l="0" t="0" r="r" b="b"/>
                <a:pathLst>
                  <a:path w="208" h="177">
                    <a:moveTo>
                      <a:pt x="208" y="0"/>
                    </a:moveTo>
                    <a:lnTo>
                      <a:pt x="104" y="177"/>
                    </a:lnTo>
                    <a:lnTo>
                      <a:pt x="0" y="0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grpSp>
          <xdr:nvGrpSpPr>
            <xdr:cNvPr id="146" name="Group 170">
              <a:extLst>
                <a:ext uri="{FF2B5EF4-FFF2-40B4-BE49-F238E27FC236}">
                  <a16:creationId xmlns:a16="http://schemas.microsoft.com/office/drawing/2014/main" id="{38EB09F1-38A6-4E0B-9E43-A01CB7CFB8F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781425" y="5676900"/>
              <a:ext cx="114300" cy="142875"/>
              <a:chOff x="186" y="590"/>
              <a:chExt cx="12" cy="15"/>
            </a:xfrm>
          </xdr:grpSpPr>
          <xdr:sp macro="" textlink="">
            <xdr:nvSpPr>
              <xdr:cNvPr id="147" name="Line 171">
                <a:extLst>
                  <a:ext uri="{FF2B5EF4-FFF2-40B4-BE49-F238E27FC236}">
                    <a16:creationId xmlns:a16="http://schemas.microsoft.com/office/drawing/2014/main" id="{BC478C7B-8F52-4580-9A99-7D9683779154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0800000" flipH="1">
                <a:off x="194" y="591"/>
                <a:ext cx="0" cy="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48" name="Freeform 172">
                <a:extLst>
                  <a:ext uri="{FF2B5EF4-FFF2-40B4-BE49-F238E27FC236}">
                    <a16:creationId xmlns:a16="http://schemas.microsoft.com/office/drawing/2014/main" id="{C913E1AF-1D4C-42F9-8A74-72B2D55033D6}"/>
                  </a:ext>
                </a:extLst>
              </xdr:cNvPr>
              <xdr:cNvSpPr>
                <a:spLocks/>
              </xdr:cNvSpPr>
            </xdr:nvSpPr>
            <xdr:spPr bwMode="auto">
              <a:xfrm rot="10800000" flipH="1">
                <a:off x="186" y="598"/>
                <a:ext cx="8" cy="7"/>
              </a:xfrm>
              <a:custGeom>
                <a:avLst/>
                <a:gdLst>
                  <a:gd name="T0" fmla="*/ 3 w 201"/>
                  <a:gd name="T1" fmla="*/ 0 h 202"/>
                  <a:gd name="T2" fmla="*/ 8 w 201"/>
                  <a:gd name="T3" fmla="*/ 1 h 202"/>
                  <a:gd name="T4" fmla="*/ 13 w 201"/>
                  <a:gd name="T5" fmla="*/ 1 h 202"/>
                  <a:gd name="T6" fmla="*/ 18 w 201"/>
                  <a:gd name="T7" fmla="*/ 1 h 202"/>
                  <a:gd name="T8" fmla="*/ 23 w 201"/>
                  <a:gd name="T9" fmla="*/ 2 h 202"/>
                  <a:gd name="T10" fmla="*/ 29 w 201"/>
                  <a:gd name="T11" fmla="*/ 3 h 202"/>
                  <a:gd name="T12" fmla="*/ 34 w 201"/>
                  <a:gd name="T13" fmla="*/ 4 h 202"/>
                  <a:gd name="T14" fmla="*/ 38 w 201"/>
                  <a:gd name="T15" fmla="*/ 5 h 202"/>
                  <a:gd name="T16" fmla="*/ 43 w 201"/>
                  <a:gd name="T17" fmla="*/ 6 h 202"/>
                  <a:gd name="T18" fmla="*/ 48 w 201"/>
                  <a:gd name="T19" fmla="*/ 7 h 202"/>
                  <a:gd name="T20" fmla="*/ 53 w 201"/>
                  <a:gd name="T21" fmla="*/ 9 h 202"/>
                  <a:gd name="T22" fmla="*/ 58 w 201"/>
                  <a:gd name="T23" fmla="*/ 10 h 202"/>
                  <a:gd name="T24" fmla="*/ 63 w 201"/>
                  <a:gd name="T25" fmla="*/ 12 h 202"/>
                  <a:gd name="T26" fmla="*/ 68 w 201"/>
                  <a:gd name="T27" fmla="*/ 13 h 202"/>
                  <a:gd name="T28" fmla="*/ 72 w 201"/>
                  <a:gd name="T29" fmla="*/ 15 h 202"/>
                  <a:gd name="T30" fmla="*/ 77 w 201"/>
                  <a:gd name="T31" fmla="*/ 17 h 202"/>
                  <a:gd name="T32" fmla="*/ 81 w 201"/>
                  <a:gd name="T33" fmla="*/ 19 h 202"/>
                  <a:gd name="T34" fmla="*/ 87 w 201"/>
                  <a:gd name="T35" fmla="*/ 21 h 202"/>
                  <a:gd name="T36" fmla="*/ 91 w 201"/>
                  <a:gd name="T37" fmla="*/ 24 h 202"/>
                  <a:gd name="T38" fmla="*/ 95 w 201"/>
                  <a:gd name="T39" fmla="*/ 27 h 202"/>
                  <a:gd name="T40" fmla="*/ 99 w 201"/>
                  <a:gd name="T41" fmla="*/ 29 h 202"/>
                  <a:gd name="T42" fmla="*/ 104 w 201"/>
                  <a:gd name="T43" fmla="*/ 32 h 202"/>
                  <a:gd name="T44" fmla="*/ 108 w 201"/>
                  <a:gd name="T45" fmla="*/ 34 h 202"/>
                  <a:gd name="T46" fmla="*/ 113 w 201"/>
                  <a:gd name="T47" fmla="*/ 37 h 202"/>
                  <a:gd name="T48" fmla="*/ 117 w 201"/>
                  <a:gd name="T49" fmla="*/ 40 h 202"/>
                  <a:gd name="T50" fmla="*/ 121 w 201"/>
                  <a:gd name="T51" fmla="*/ 43 h 202"/>
                  <a:gd name="T52" fmla="*/ 125 w 201"/>
                  <a:gd name="T53" fmla="*/ 46 h 202"/>
                  <a:gd name="T54" fmla="*/ 128 w 201"/>
                  <a:gd name="T55" fmla="*/ 49 h 202"/>
                  <a:gd name="T56" fmla="*/ 132 w 201"/>
                  <a:gd name="T57" fmla="*/ 53 h 202"/>
                  <a:gd name="T58" fmla="*/ 136 w 201"/>
                  <a:gd name="T59" fmla="*/ 56 h 202"/>
                  <a:gd name="T60" fmla="*/ 140 w 201"/>
                  <a:gd name="T61" fmla="*/ 59 h 202"/>
                  <a:gd name="T62" fmla="*/ 144 w 201"/>
                  <a:gd name="T63" fmla="*/ 63 h 202"/>
                  <a:gd name="T64" fmla="*/ 147 w 201"/>
                  <a:gd name="T65" fmla="*/ 66 h 202"/>
                  <a:gd name="T66" fmla="*/ 150 w 201"/>
                  <a:gd name="T67" fmla="*/ 71 h 202"/>
                  <a:gd name="T68" fmla="*/ 153 w 201"/>
                  <a:gd name="T69" fmla="*/ 75 h 202"/>
                  <a:gd name="T70" fmla="*/ 156 w 201"/>
                  <a:gd name="T71" fmla="*/ 79 h 202"/>
                  <a:gd name="T72" fmla="*/ 159 w 201"/>
                  <a:gd name="T73" fmla="*/ 83 h 202"/>
                  <a:gd name="T74" fmla="*/ 162 w 201"/>
                  <a:gd name="T75" fmla="*/ 87 h 202"/>
                  <a:gd name="T76" fmla="*/ 165 w 201"/>
                  <a:gd name="T77" fmla="*/ 91 h 202"/>
                  <a:gd name="T78" fmla="*/ 169 w 201"/>
                  <a:gd name="T79" fmla="*/ 95 h 202"/>
                  <a:gd name="T80" fmla="*/ 171 w 201"/>
                  <a:gd name="T81" fmla="*/ 99 h 202"/>
                  <a:gd name="T82" fmla="*/ 174 w 201"/>
                  <a:gd name="T83" fmla="*/ 103 h 202"/>
                  <a:gd name="T84" fmla="*/ 176 w 201"/>
                  <a:gd name="T85" fmla="*/ 107 h 202"/>
                  <a:gd name="T86" fmla="*/ 178 w 201"/>
                  <a:gd name="T87" fmla="*/ 112 h 202"/>
                  <a:gd name="T88" fmla="*/ 181 w 201"/>
                  <a:gd name="T89" fmla="*/ 116 h 202"/>
                  <a:gd name="T90" fmla="*/ 183 w 201"/>
                  <a:gd name="T91" fmla="*/ 122 h 202"/>
                  <a:gd name="T92" fmla="*/ 185 w 201"/>
                  <a:gd name="T93" fmla="*/ 126 h 202"/>
                  <a:gd name="T94" fmla="*/ 186 w 201"/>
                  <a:gd name="T95" fmla="*/ 131 h 202"/>
                  <a:gd name="T96" fmla="*/ 188 w 201"/>
                  <a:gd name="T97" fmla="*/ 135 h 202"/>
                  <a:gd name="T98" fmla="*/ 190 w 201"/>
                  <a:gd name="T99" fmla="*/ 140 h 202"/>
                  <a:gd name="T100" fmla="*/ 191 w 201"/>
                  <a:gd name="T101" fmla="*/ 145 h 202"/>
                  <a:gd name="T102" fmla="*/ 194 w 201"/>
                  <a:gd name="T103" fmla="*/ 149 h 202"/>
                  <a:gd name="T104" fmla="*/ 195 w 201"/>
                  <a:gd name="T105" fmla="*/ 154 h 202"/>
                  <a:gd name="T106" fmla="*/ 196 w 201"/>
                  <a:gd name="T107" fmla="*/ 159 h 202"/>
                  <a:gd name="T108" fmla="*/ 197 w 201"/>
                  <a:gd name="T109" fmla="*/ 164 h 202"/>
                  <a:gd name="T110" fmla="*/ 198 w 201"/>
                  <a:gd name="T111" fmla="*/ 169 h 202"/>
                  <a:gd name="T112" fmla="*/ 199 w 201"/>
                  <a:gd name="T113" fmla="*/ 174 h 202"/>
                  <a:gd name="T114" fmla="*/ 199 w 201"/>
                  <a:gd name="T115" fmla="*/ 179 h 202"/>
                  <a:gd name="T116" fmla="*/ 200 w 201"/>
                  <a:gd name="T117" fmla="*/ 184 h 202"/>
                  <a:gd name="T118" fmla="*/ 200 w 201"/>
                  <a:gd name="T119" fmla="*/ 189 h 202"/>
                  <a:gd name="T120" fmla="*/ 201 w 201"/>
                  <a:gd name="T121" fmla="*/ 194 h 202"/>
                  <a:gd name="T122" fmla="*/ 201 w 201"/>
                  <a:gd name="T123" fmla="*/ 199 h 202"/>
                  <a:gd name="T124" fmla="*/ 201 w 201"/>
                  <a:gd name="T125" fmla="*/ 202 h 20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  <a:cxn ang="0">
                    <a:pos x="T124" y="T125"/>
                  </a:cxn>
                </a:cxnLst>
                <a:rect l="0" t="0" r="r" b="b"/>
                <a:pathLst>
                  <a:path w="201" h="202">
                    <a:moveTo>
                      <a:pt x="0" y="0"/>
                    </a:moveTo>
                    <a:lnTo>
                      <a:pt x="3" y="0"/>
                    </a:lnTo>
                    <a:lnTo>
                      <a:pt x="6" y="0"/>
                    </a:lnTo>
                    <a:lnTo>
                      <a:pt x="8" y="1"/>
                    </a:lnTo>
                    <a:lnTo>
                      <a:pt x="11" y="1"/>
                    </a:lnTo>
                    <a:lnTo>
                      <a:pt x="13" y="1"/>
                    </a:lnTo>
                    <a:lnTo>
                      <a:pt x="16" y="1"/>
                    </a:lnTo>
                    <a:lnTo>
                      <a:pt x="18" y="1"/>
                    </a:lnTo>
                    <a:lnTo>
                      <a:pt x="21" y="2"/>
                    </a:lnTo>
                    <a:lnTo>
                      <a:pt x="23" y="2"/>
                    </a:lnTo>
                    <a:lnTo>
                      <a:pt x="25" y="2"/>
                    </a:lnTo>
                    <a:lnTo>
                      <a:pt x="29" y="3"/>
                    </a:lnTo>
                    <a:lnTo>
                      <a:pt x="31" y="3"/>
                    </a:lnTo>
                    <a:lnTo>
                      <a:pt x="34" y="4"/>
                    </a:lnTo>
                    <a:lnTo>
                      <a:pt x="36" y="4"/>
                    </a:lnTo>
                    <a:lnTo>
                      <a:pt x="38" y="5"/>
                    </a:lnTo>
                    <a:lnTo>
                      <a:pt x="41" y="5"/>
                    </a:lnTo>
                    <a:lnTo>
                      <a:pt x="43" y="6"/>
                    </a:lnTo>
                    <a:lnTo>
                      <a:pt x="46" y="7"/>
                    </a:lnTo>
                    <a:lnTo>
                      <a:pt x="48" y="7"/>
                    </a:lnTo>
                    <a:lnTo>
                      <a:pt x="50" y="8"/>
                    </a:lnTo>
                    <a:lnTo>
                      <a:pt x="53" y="9"/>
                    </a:lnTo>
                    <a:lnTo>
                      <a:pt x="55" y="9"/>
                    </a:lnTo>
                    <a:lnTo>
                      <a:pt x="58" y="10"/>
                    </a:lnTo>
                    <a:lnTo>
                      <a:pt x="61" y="11"/>
                    </a:lnTo>
                    <a:lnTo>
                      <a:pt x="63" y="12"/>
                    </a:lnTo>
                    <a:lnTo>
                      <a:pt x="65" y="12"/>
                    </a:lnTo>
                    <a:lnTo>
                      <a:pt x="68" y="13"/>
                    </a:lnTo>
                    <a:lnTo>
                      <a:pt x="70" y="14"/>
                    </a:lnTo>
                    <a:lnTo>
                      <a:pt x="72" y="15"/>
                    </a:lnTo>
                    <a:lnTo>
                      <a:pt x="74" y="16"/>
                    </a:lnTo>
                    <a:lnTo>
                      <a:pt x="77" y="17"/>
                    </a:lnTo>
                    <a:lnTo>
                      <a:pt x="79" y="18"/>
                    </a:lnTo>
                    <a:lnTo>
                      <a:pt x="81" y="19"/>
                    </a:lnTo>
                    <a:lnTo>
                      <a:pt x="84" y="20"/>
                    </a:lnTo>
                    <a:lnTo>
                      <a:pt x="87" y="21"/>
                    </a:lnTo>
                    <a:lnTo>
                      <a:pt x="89" y="23"/>
                    </a:lnTo>
                    <a:lnTo>
                      <a:pt x="91" y="24"/>
                    </a:lnTo>
                    <a:lnTo>
                      <a:pt x="93" y="26"/>
                    </a:lnTo>
                    <a:lnTo>
                      <a:pt x="95" y="27"/>
                    </a:lnTo>
                    <a:lnTo>
                      <a:pt x="97" y="28"/>
                    </a:lnTo>
                    <a:lnTo>
                      <a:pt x="99" y="29"/>
                    </a:lnTo>
                    <a:lnTo>
                      <a:pt x="102" y="31"/>
                    </a:lnTo>
                    <a:lnTo>
                      <a:pt x="104" y="32"/>
                    </a:lnTo>
                    <a:lnTo>
                      <a:pt x="106" y="33"/>
                    </a:lnTo>
                    <a:lnTo>
                      <a:pt x="108" y="34"/>
                    </a:lnTo>
                    <a:lnTo>
                      <a:pt x="110" y="36"/>
                    </a:lnTo>
                    <a:lnTo>
                      <a:pt x="113" y="37"/>
                    </a:lnTo>
                    <a:lnTo>
                      <a:pt x="115" y="39"/>
                    </a:lnTo>
                    <a:lnTo>
                      <a:pt x="117" y="40"/>
                    </a:lnTo>
                    <a:lnTo>
                      <a:pt x="119" y="42"/>
                    </a:lnTo>
                    <a:lnTo>
                      <a:pt x="121" y="43"/>
                    </a:lnTo>
                    <a:lnTo>
                      <a:pt x="123" y="45"/>
                    </a:lnTo>
                    <a:lnTo>
                      <a:pt x="125" y="46"/>
                    </a:lnTo>
                    <a:lnTo>
                      <a:pt x="126" y="48"/>
                    </a:lnTo>
                    <a:lnTo>
                      <a:pt x="128" y="49"/>
                    </a:lnTo>
                    <a:lnTo>
                      <a:pt x="130" y="51"/>
                    </a:lnTo>
                    <a:lnTo>
                      <a:pt x="132" y="53"/>
                    </a:lnTo>
                    <a:lnTo>
                      <a:pt x="134" y="54"/>
                    </a:lnTo>
                    <a:lnTo>
                      <a:pt x="136" y="56"/>
                    </a:lnTo>
                    <a:lnTo>
                      <a:pt x="137" y="58"/>
                    </a:lnTo>
                    <a:lnTo>
                      <a:pt x="140" y="59"/>
                    </a:lnTo>
                    <a:lnTo>
                      <a:pt x="142" y="61"/>
                    </a:lnTo>
                    <a:lnTo>
                      <a:pt x="144" y="63"/>
                    </a:lnTo>
                    <a:lnTo>
                      <a:pt x="145" y="65"/>
                    </a:lnTo>
                    <a:lnTo>
                      <a:pt x="147" y="66"/>
                    </a:lnTo>
                    <a:lnTo>
                      <a:pt x="149" y="68"/>
                    </a:lnTo>
                    <a:lnTo>
                      <a:pt x="150" y="71"/>
                    </a:lnTo>
                    <a:lnTo>
                      <a:pt x="152" y="73"/>
                    </a:lnTo>
                    <a:lnTo>
                      <a:pt x="153" y="75"/>
                    </a:lnTo>
                    <a:lnTo>
                      <a:pt x="155" y="77"/>
                    </a:lnTo>
                    <a:lnTo>
                      <a:pt x="156" y="79"/>
                    </a:lnTo>
                    <a:lnTo>
                      <a:pt x="158" y="81"/>
                    </a:lnTo>
                    <a:lnTo>
                      <a:pt x="159" y="83"/>
                    </a:lnTo>
                    <a:lnTo>
                      <a:pt x="161" y="85"/>
                    </a:lnTo>
                    <a:lnTo>
                      <a:pt x="162" y="87"/>
                    </a:lnTo>
                    <a:lnTo>
                      <a:pt x="164" y="89"/>
                    </a:lnTo>
                    <a:lnTo>
                      <a:pt x="165" y="91"/>
                    </a:lnTo>
                    <a:lnTo>
                      <a:pt x="167" y="93"/>
                    </a:lnTo>
                    <a:lnTo>
                      <a:pt x="169" y="95"/>
                    </a:lnTo>
                    <a:lnTo>
                      <a:pt x="170" y="97"/>
                    </a:lnTo>
                    <a:lnTo>
                      <a:pt x="171" y="99"/>
                    </a:lnTo>
                    <a:lnTo>
                      <a:pt x="173" y="101"/>
                    </a:lnTo>
                    <a:lnTo>
                      <a:pt x="174" y="103"/>
                    </a:lnTo>
                    <a:lnTo>
                      <a:pt x="175" y="105"/>
                    </a:lnTo>
                    <a:lnTo>
                      <a:pt x="176" y="107"/>
                    </a:lnTo>
                    <a:lnTo>
                      <a:pt x="177" y="110"/>
                    </a:lnTo>
                    <a:lnTo>
                      <a:pt x="178" y="112"/>
                    </a:lnTo>
                    <a:lnTo>
                      <a:pt x="180" y="114"/>
                    </a:lnTo>
                    <a:lnTo>
                      <a:pt x="181" y="116"/>
                    </a:lnTo>
                    <a:lnTo>
                      <a:pt x="182" y="119"/>
                    </a:lnTo>
                    <a:lnTo>
                      <a:pt x="183" y="122"/>
                    </a:lnTo>
                    <a:lnTo>
                      <a:pt x="184" y="124"/>
                    </a:lnTo>
                    <a:lnTo>
                      <a:pt x="185" y="126"/>
                    </a:lnTo>
                    <a:lnTo>
                      <a:pt x="186" y="128"/>
                    </a:lnTo>
                    <a:lnTo>
                      <a:pt x="186" y="131"/>
                    </a:lnTo>
                    <a:lnTo>
                      <a:pt x="187" y="133"/>
                    </a:lnTo>
                    <a:lnTo>
                      <a:pt x="188" y="135"/>
                    </a:lnTo>
                    <a:lnTo>
                      <a:pt x="189" y="138"/>
                    </a:lnTo>
                    <a:lnTo>
                      <a:pt x="190" y="140"/>
                    </a:lnTo>
                    <a:lnTo>
                      <a:pt x="191" y="142"/>
                    </a:lnTo>
                    <a:lnTo>
                      <a:pt x="191" y="145"/>
                    </a:lnTo>
                    <a:lnTo>
                      <a:pt x="192" y="147"/>
                    </a:lnTo>
                    <a:lnTo>
                      <a:pt x="194" y="149"/>
                    </a:lnTo>
                    <a:lnTo>
                      <a:pt x="194" y="152"/>
                    </a:lnTo>
                    <a:lnTo>
                      <a:pt x="195" y="154"/>
                    </a:lnTo>
                    <a:lnTo>
                      <a:pt x="195" y="156"/>
                    </a:lnTo>
                    <a:lnTo>
                      <a:pt x="196" y="159"/>
                    </a:lnTo>
                    <a:lnTo>
                      <a:pt x="197" y="161"/>
                    </a:lnTo>
                    <a:lnTo>
                      <a:pt x="197" y="164"/>
                    </a:lnTo>
                    <a:lnTo>
                      <a:pt x="198" y="167"/>
                    </a:lnTo>
                    <a:lnTo>
                      <a:pt x="198" y="169"/>
                    </a:lnTo>
                    <a:lnTo>
                      <a:pt x="198" y="172"/>
                    </a:lnTo>
                    <a:lnTo>
                      <a:pt x="199" y="174"/>
                    </a:lnTo>
                    <a:lnTo>
                      <a:pt x="199" y="177"/>
                    </a:lnTo>
                    <a:lnTo>
                      <a:pt x="199" y="179"/>
                    </a:lnTo>
                    <a:lnTo>
                      <a:pt x="200" y="182"/>
                    </a:lnTo>
                    <a:lnTo>
                      <a:pt x="200" y="184"/>
                    </a:lnTo>
                    <a:lnTo>
                      <a:pt x="200" y="186"/>
                    </a:lnTo>
                    <a:lnTo>
                      <a:pt x="200" y="189"/>
                    </a:lnTo>
                    <a:lnTo>
                      <a:pt x="201" y="191"/>
                    </a:lnTo>
                    <a:lnTo>
                      <a:pt x="201" y="194"/>
                    </a:lnTo>
                    <a:lnTo>
                      <a:pt x="201" y="196"/>
                    </a:lnTo>
                    <a:lnTo>
                      <a:pt x="201" y="199"/>
                    </a:lnTo>
                    <a:lnTo>
                      <a:pt x="201" y="201"/>
                    </a:lnTo>
                    <a:lnTo>
                      <a:pt x="201" y="202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149" name="Freeform 173">
                <a:extLst>
                  <a:ext uri="{FF2B5EF4-FFF2-40B4-BE49-F238E27FC236}">
                    <a16:creationId xmlns:a16="http://schemas.microsoft.com/office/drawing/2014/main" id="{26C3A4C6-306A-4164-ACE6-C8BCDA84AC20}"/>
                  </a:ext>
                </a:extLst>
              </xdr:cNvPr>
              <xdr:cNvSpPr>
                <a:spLocks/>
              </xdr:cNvSpPr>
            </xdr:nvSpPr>
            <xdr:spPr bwMode="auto">
              <a:xfrm rot="10800000" flipH="1">
                <a:off x="190" y="590"/>
                <a:ext cx="8" cy="7"/>
              </a:xfrm>
              <a:custGeom>
                <a:avLst/>
                <a:gdLst>
                  <a:gd name="T0" fmla="*/ 208 w 208"/>
                  <a:gd name="T1" fmla="*/ 0 h 177"/>
                  <a:gd name="T2" fmla="*/ 104 w 208"/>
                  <a:gd name="T3" fmla="*/ 177 h 177"/>
                  <a:gd name="T4" fmla="*/ 0 w 208"/>
                  <a:gd name="T5" fmla="*/ 0 h 1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</a:cxnLst>
                <a:rect l="0" t="0" r="r" b="b"/>
                <a:pathLst>
                  <a:path w="208" h="177">
                    <a:moveTo>
                      <a:pt x="208" y="0"/>
                    </a:moveTo>
                    <a:lnTo>
                      <a:pt x="104" y="177"/>
                    </a:lnTo>
                    <a:lnTo>
                      <a:pt x="0" y="0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</xdr:grpSp>
    </xdr:grpSp>
    <xdr:clientData/>
  </xdr:twoCellAnchor>
  <xdr:twoCellAnchor editAs="oneCell">
    <xdr:from>
      <xdr:col>17</xdr:col>
      <xdr:colOff>47624</xdr:colOff>
      <xdr:row>5</xdr:row>
      <xdr:rowOff>133350</xdr:rowOff>
    </xdr:from>
    <xdr:to>
      <xdr:col>18</xdr:col>
      <xdr:colOff>20551</xdr:colOff>
      <xdr:row>6</xdr:row>
      <xdr:rowOff>192750</xdr:rowOff>
    </xdr:to>
    <xdr:pic>
      <xdr:nvPicPr>
        <xdr:cNvPr id="163" name="図 162">
          <a:extLst>
            <a:ext uri="{FF2B5EF4-FFF2-40B4-BE49-F238E27FC236}">
              <a16:creationId xmlns:a16="http://schemas.microsoft.com/office/drawing/2014/main" id="{2F5F31A4-46B4-483E-BA67-3BD49F62D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8299" y="93345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0</xdr:col>
      <xdr:colOff>514349</xdr:colOff>
      <xdr:row>9</xdr:row>
      <xdr:rowOff>295275</xdr:rowOff>
    </xdr:from>
    <xdr:to>
      <xdr:col>2</xdr:col>
      <xdr:colOff>58651</xdr:colOff>
      <xdr:row>9</xdr:row>
      <xdr:rowOff>583275</xdr:rowOff>
    </xdr:to>
    <xdr:pic>
      <xdr:nvPicPr>
        <xdr:cNvPr id="164" name="図 163">
          <a:extLst>
            <a:ext uri="{FF2B5EF4-FFF2-40B4-BE49-F238E27FC236}">
              <a16:creationId xmlns:a16="http://schemas.microsoft.com/office/drawing/2014/main" id="{B7DC4F46-0EC2-410D-AA4B-80CC62093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49" y="2009775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28574</xdr:colOff>
      <xdr:row>9</xdr:row>
      <xdr:rowOff>1809750</xdr:rowOff>
    </xdr:from>
    <xdr:to>
      <xdr:col>19</xdr:col>
      <xdr:colOff>1501</xdr:colOff>
      <xdr:row>10</xdr:row>
      <xdr:rowOff>221325</xdr:rowOff>
    </xdr:to>
    <xdr:pic>
      <xdr:nvPicPr>
        <xdr:cNvPr id="165" name="図 164">
          <a:extLst>
            <a:ext uri="{FF2B5EF4-FFF2-40B4-BE49-F238E27FC236}">
              <a16:creationId xmlns:a16="http://schemas.microsoft.com/office/drawing/2014/main" id="{42C6C66A-5BE7-47AC-88D9-817907EA3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43574" y="3524250"/>
          <a:ext cx="287252" cy="288000"/>
        </a:xfrm>
        <a:prstGeom prst="rect">
          <a:avLst/>
        </a:prstGeom>
      </xdr:spPr>
    </xdr:pic>
    <xdr:clientData/>
  </xdr:twoCellAnchor>
  <xdr:twoCellAnchor>
    <xdr:from>
      <xdr:col>12</xdr:col>
      <xdr:colOff>133349</xdr:colOff>
      <xdr:row>10</xdr:row>
      <xdr:rowOff>200025</xdr:rowOff>
    </xdr:from>
    <xdr:to>
      <xdr:col>13</xdr:col>
      <xdr:colOff>79608</xdr:colOff>
      <xdr:row>12</xdr:row>
      <xdr:rowOff>151318</xdr:rowOff>
    </xdr:to>
    <xdr:grpSp>
      <xdr:nvGrpSpPr>
        <xdr:cNvPr id="166" name="グループ化 165">
          <a:extLst>
            <a:ext uri="{FF2B5EF4-FFF2-40B4-BE49-F238E27FC236}">
              <a16:creationId xmlns:a16="http://schemas.microsoft.com/office/drawing/2014/main" id="{1ED5D64C-6227-4753-A83F-F3BE0F6CC40A}"/>
            </a:ext>
          </a:extLst>
        </xdr:cNvPr>
        <xdr:cNvGrpSpPr/>
      </xdr:nvGrpSpPr>
      <xdr:grpSpPr>
        <a:xfrm>
          <a:off x="3962399" y="3790950"/>
          <a:ext cx="260584" cy="408493"/>
          <a:chOff x="4867327" y="302986"/>
          <a:chExt cx="260584" cy="408493"/>
        </a:xfrm>
      </xdr:grpSpPr>
      <xdr:sp macro="" textlink="">
        <xdr:nvSpPr>
          <xdr:cNvPr id="167" name="Text Box 216">
            <a:extLst>
              <a:ext uri="{FF2B5EF4-FFF2-40B4-BE49-F238E27FC236}">
                <a16:creationId xmlns:a16="http://schemas.microsoft.com/office/drawing/2014/main" id="{D14DD969-7F6A-4A5B-99DE-53BBCC1BE0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7327" y="302986"/>
            <a:ext cx="260584" cy="151836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horzOverflow="clip" wrap="none" lIns="27432" tIns="18288" rIns="27432" bIns="0" anchor="t" upright="1">
            <a:spAutoFit/>
          </a:bodyPr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設計</a:t>
            </a:r>
          </a:p>
        </xdr:txBody>
      </xdr:sp>
      <xdr:pic>
        <xdr:nvPicPr>
          <xdr:cNvPr id="168" name="図 167">
            <a:extLst>
              <a:ext uri="{FF2B5EF4-FFF2-40B4-BE49-F238E27FC236}">
                <a16:creationId xmlns:a16="http://schemas.microsoft.com/office/drawing/2014/main" id="{2C45A6ED-ED56-4E84-B910-DD9AABD2F4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882468" y="477479"/>
            <a:ext cx="233392" cy="234000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154688</xdr:colOff>
      <xdr:row>8</xdr:row>
      <xdr:rowOff>67563</xdr:rowOff>
    </xdr:from>
    <xdr:to>
      <xdr:col>13</xdr:col>
      <xdr:colOff>10052</xdr:colOff>
      <xdr:row>9</xdr:row>
      <xdr:rowOff>1726225</xdr:rowOff>
    </xdr:to>
    <xdr:sp macro="" textlink="">
      <xdr:nvSpPr>
        <xdr:cNvPr id="176" name="フリーフォーム: 図形 88">
          <a:extLst>
            <a:ext uri="{FF2B5EF4-FFF2-40B4-BE49-F238E27FC236}">
              <a16:creationId xmlns:a16="http://schemas.microsoft.com/office/drawing/2014/main" id="{C48DFD6F-A233-4823-986E-A31858231426}"/>
            </a:ext>
          </a:extLst>
        </xdr:cNvPr>
        <xdr:cNvSpPr/>
      </xdr:nvSpPr>
      <xdr:spPr>
        <a:xfrm rot="18112338" flipH="1" flipV="1">
          <a:off x="2339139" y="1626437"/>
          <a:ext cx="1887262" cy="1741314"/>
        </a:xfrm>
        <a:custGeom>
          <a:avLst/>
          <a:gdLst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358729 h 1868993"/>
            <a:gd name="connsiteX1" fmla="*/ 0 w 1831493"/>
            <a:gd name="connsiteY1" fmla="*/ 1868993 h 1868993"/>
            <a:gd name="connsiteX0" fmla="*/ 1831493 w 1831493"/>
            <a:gd name="connsiteY0" fmla="*/ 2402687 h 3912951"/>
            <a:gd name="connsiteX1" fmla="*/ 0 w 1831493"/>
            <a:gd name="connsiteY1" fmla="*/ 3912951 h 3912951"/>
            <a:gd name="connsiteX0" fmla="*/ 1579791 w 1579791"/>
            <a:gd name="connsiteY0" fmla="*/ 6030650 h 6030650"/>
            <a:gd name="connsiteX1" fmla="*/ 0 w 1579791"/>
            <a:gd name="connsiteY1" fmla="*/ 2598247 h 6030650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650223 w 1650223"/>
            <a:gd name="connsiteY0" fmla="*/ 5251444 h 5251444"/>
            <a:gd name="connsiteX1" fmla="*/ 0 w 1650223"/>
            <a:gd name="connsiteY1" fmla="*/ 9 h 5251444"/>
            <a:gd name="connsiteX0" fmla="*/ 1627033 w 1627033"/>
            <a:gd name="connsiteY0" fmla="*/ 5099903 h 5099911"/>
            <a:gd name="connsiteX1" fmla="*/ 0 w 1627033"/>
            <a:gd name="connsiteY1" fmla="*/ 9 h 5099911"/>
            <a:gd name="connsiteX0" fmla="*/ 1627033 w 1627033"/>
            <a:gd name="connsiteY0" fmla="*/ 5110022 h 5110030"/>
            <a:gd name="connsiteX1" fmla="*/ 0 w 1627033"/>
            <a:gd name="connsiteY1" fmla="*/ 10128 h 5110030"/>
            <a:gd name="connsiteX0" fmla="*/ 1667751 w 1667751"/>
            <a:gd name="connsiteY0" fmla="*/ 5734570 h 5734562"/>
            <a:gd name="connsiteX1" fmla="*/ 0 w 1667751"/>
            <a:gd name="connsiteY1" fmla="*/ 98 h 5734562"/>
            <a:gd name="connsiteX0" fmla="*/ 1667751 w 1667751"/>
            <a:gd name="connsiteY0" fmla="*/ 5871936 h 5871928"/>
            <a:gd name="connsiteX1" fmla="*/ 0 w 1667751"/>
            <a:gd name="connsiteY1" fmla="*/ 137464 h 5871928"/>
            <a:gd name="connsiteX0" fmla="*/ 1667751 w 1667751"/>
            <a:gd name="connsiteY0" fmla="*/ 5734470 h 5734462"/>
            <a:gd name="connsiteX1" fmla="*/ 0 w 1667751"/>
            <a:gd name="connsiteY1" fmla="*/ -2 h 5734462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15318 w 1715318"/>
            <a:gd name="connsiteY0" fmla="*/ 12315812 h 12315804"/>
            <a:gd name="connsiteX1" fmla="*/ 0 w 1715318"/>
            <a:gd name="connsiteY1" fmla="*/ -3 h 12315804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9"/>
            <a:gd name="connsiteX1" fmla="*/ 0 w 1272370"/>
            <a:gd name="connsiteY1" fmla="*/ -3 h 16082079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815959 w 1815959"/>
            <a:gd name="connsiteY0" fmla="*/ 16672771 h 16672769"/>
            <a:gd name="connsiteX1" fmla="*/ 0 w 1815959"/>
            <a:gd name="connsiteY1" fmla="*/ -3 h 16672769"/>
            <a:gd name="connsiteX0" fmla="*/ 1815959 w 1815959"/>
            <a:gd name="connsiteY0" fmla="*/ 16672771 h 16672769"/>
            <a:gd name="connsiteX1" fmla="*/ 0 w 1815959"/>
            <a:gd name="connsiteY1" fmla="*/ -3 h 16672769"/>
            <a:gd name="connsiteX0" fmla="*/ 1815959 w 1815959"/>
            <a:gd name="connsiteY0" fmla="*/ 16672771 h 16672769"/>
            <a:gd name="connsiteX1" fmla="*/ 0 w 1815959"/>
            <a:gd name="connsiteY1" fmla="*/ -3 h 166727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15959" h="16672769">
              <a:moveTo>
                <a:pt x="1815959" y="16672771"/>
              </a:moveTo>
              <a:cubicBezTo>
                <a:pt x="1169211" y="6264363"/>
                <a:pt x="709022" y="3554830"/>
                <a:pt x="0" y="-3"/>
              </a:cubicBezTo>
            </a:path>
          </a:pathLst>
        </a:custGeom>
        <a:noFill/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6</xdr:col>
      <xdr:colOff>190500</xdr:colOff>
      <xdr:row>9</xdr:row>
      <xdr:rowOff>895350</xdr:rowOff>
    </xdr:from>
    <xdr:ext cx="468389" cy="187872"/>
    <xdr:sp macro="" textlink="">
      <xdr:nvSpPr>
        <xdr:cNvPr id="178" name="テキスト ボックス 177">
          <a:extLst>
            <a:ext uri="{FF2B5EF4-FFF2-40B4-BE49-F238E27FC236}">
              <a16:creationId xmlns:a16="http://schemas.microsoft.com/office/drawing/2014/main" id="{2A596BFB-11FB-480E-A43C-823F7380004B}"/>
            </a:ext>
          </a:extLst>
        </xdr:cNvPr>
        <xdr:cNvSpPr txBox="1"/>
      </xdr:nvSpPr>
      <xdr:spPr>
        <a:xfrm>
          <a:off x="2133600" y="2609850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55.3m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>
    <xdr:from>
      <xdr:col>8</xdr:col>
      <xdr:colOff>100010</xdr:colOff>
      <xdr:row>8</xdr:row>
      <xdr:rowOff>199871</xdr:rowOff>
    </xdr:from>
    <xdr:to>
      <xdr:col>13</xdr:col>
      <xdr:colOff>264755</xdr:colOff>
      <xdr:row>11</xdr:row>
      <xdr:rowOff>136592</xdr:rowOff>
    </xdr:to>
    <xdr:sp macro="" textlink="">
      <xdr:nvSpPr>
        <xdr:cNvPr id="179" name="フリーフォーム: 図形 88">
          <a:extLst>
            <a:ext uri="{FF2B5EF4-FFF2-40B4-BE49-F238E27FC236}">
              <a16:creationId xmlns:a16="http://schemas.microsoft.com/office/drawing/2014/main" id="{1467972C-B00C-406E-9AAA-2555E9D6C75D}"/>
            </a:ext>
          </a:extLst>
        </xdr:cNvPr>
        <xdr:cNvSpPr/>
      </xdr:nvSpPr>
      <xdr:spPr>
        <a:xfrm rot="8569727" flipH="1" flipV="1">
          <a:off x="2671760" y="1685771"/>
          <a:ext cx="1736370" cy="2270346"/>
        </a:xfrm>
        <a:custGeom>
          <a:avLst/>
          <a:gdLst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358729 h 1868993"/>
            <a:gd name="connsiteX1" fmla="*/ 0 w 1831493"/>
            <a:gd name="connsiteY1" fmla="*/ 1868993 h 1868993"/>
            <a:gd name="connsiteX0" fmla="*/ 1831493 w 1831493"/>
            <a:gd name="connsiteY0" fmla="*/ 2402687 h 3912951"/>
            <a:gd name="connsiteX1" fmla="*/ 0 w 1831493"/>
            <a:gd name="connsiteY1" fmla="*/ 3912951 h 3912951"/>
            <a:gd name="connsiteX0" fmla="*/ 1579791 w 1579791"/>
            <a:gd name="connsiteY0" fmla="*/ 6030650 h 6030650"/>
            <a:gd name="connsiteX1" fmla="*/ 0 w 1579791"/>
            <a:gd name="connsiteY1" fmla="*/ 2598247 h 6030650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650223 w 1650223"/>
            <a:gd name="connsiteY0" fmla="*/ 5251444 h 5251444"/>
            <a:gd name="connsiteX1" fmla="*/ 0 w 1650223"/>
            <a:gd name="connsiteY1" fmla="*/ 9 h 5251444"/>
            <a:gd name="connsiteX0" fmla="*/ 1627033 w 1627033"/>
            <a:gd name="connsiteY0" fmla="*/ 5099903 h 5099911"/>
            <a:gd name="connsiteX1" fmla="*/ 0 w 1627033"/>
            <a:gd name="connsiteY1" fmla="*/ 9 h 5099911"/>
            <a:gd name="connsiteX0" fmla="*/ 1627033 w 1627033"/>
            <a:gd name="connsiteY0" fmla="*/ 5110022 h 5110030"/>
            <a:gd name="connsiteX1" fmla="*/ 0 w 1627033"/>
            <a:gd name="connsiteY1" fmla="*/ 10128 h 5110030"/>
            <a:gd name="connsiteX0" fmla="*/ 1667751 w 1667751"/>
            <a:gd name="connsiteY0" fmla="*/ 5734570 h 5734562"/>
            <a:gd name="connsiteX1" fmla="*/ 0 w 1667751"/>
            <a:gd name="connsiteY1" fmla="*/ 98 h 5734562"/>
            <a:gd name="connsiteX0" fmla="*/ 1667751 w 1667751"/>
            <a:gd name="connsiteY0" fmla="*/ 5871936 h 5871928"/>
            <a:gd name="connsiteX1" fmla="*/ 0 w 1667751"/>
            <a:gd name="connsiteY1" fmla="*/ 137464 h 5871928"/>
            <a:gd name="connsiteX0" fmla="*/ 1667751 w 1667751"/>
            <a:gd name="connsiteY0" fmla="*/ 5734470 h 5734462"/>
            <a:gd name="connsiteX1" fmla="*/ 0 w 1667751"/>
            <a:gd name="connsiteY1" fmla="*/ -2 h 5734462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15318 w 1715318"/>
            <a:gd name="connsiteY0" fmla="*/ 12315812 h 12315804"/>
            <a:gd name="connsiteX1" fmla="*/ 0 w 1715318"/>
            <a:gd name="connsiteY1" fmla="*/ -3 h 12315804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9"/>
            <a:gd name="connsiteX1" fmla="*/ 0 w 1272370"/>
            <a:gd name="connsiteY1" fmla="*/ -3 h 16082079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670768 w 1670768"/>
            <a:gd name="connsiteY0" fmla="*/ 21738156 h 21738155"/>
            <a:gd name="connsiteX1" fmla="*/ 0 w 1670768"/>
            <a:gd name="connsiteY1" fmla="*/ 1 h 21738155"/>
            <a:gd name="connsiteX0" fmla="*/ 1670768 w 1670768"/>
            <a:gd name="connsiteY0" fmla="*/ 21738156 h 21738155"/>
            <a:gd name="connsiteX1" fmla="*/ 0 w 1670768"/>
            <a:gd name="connsiteY1" fmla="*/ 1 h 21738155"/>
            <a:gd name="connsiteX0" fmla="*/ 1670768 w 1670768"/>
            <a:gd name="connsiteY0" fmla="*/ 21738156 h 21738155"/>
            <a:gd name="connsiteX1" fmla="*/ 0 w 1670768"/>
            <a:gd name="connsiteY1" fmla="*/ 1 h 21738155"/>
            <a:gd name="connsiteX0" fmla="*/ 1670768 w 1670768"/>
            <a:gd name="connsiteY0" fmla="*/ 21738156 h 21738155"/>
            <a:gd name="connsiteX1" fmla="*/ 0 w 1670768"/>
            <a:gd name="connsiteY1" fmla="*/ 1 h 21738155"/>
            <a:gd name="connsiteX0" fmla="*/ 1670768 w 1670768"/>
            <a:gd name="connsiteY0" fmla="*/ 21738156 h 21738155"/>
            <a:gd name="connsiteX1" fmla="*/ 0 w 1670768"/>
            <a:gd name="connsiteY1" fmla="*/ 1 h 2173815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670768" h="21738155">
              <a:moveTo>
                <a:pt x="1670768" y="21738156"/>
              </a:moveTo>
              <a:cubicBezTo>
                <a:pt x="896096" y="10593434"/>
                <a:pt x="691728" y="6318176"/>
                <a:pt x="0" y="1"/>
              </a:cubicBezTo>
            </a:path>
          </a:pathLst>
        </a:custGeom>
        <a:noFill/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292792</xdr:colOff>
      <xdr:row>9</xdr:row>
      <xdr:rowOff>955619</xdr:rowOff>
    </xdr:from>
    <xdr:to>
      <xdr:col>14</xdr:col>
      <xdr:colOff>71971</xdr:colOff>
      <xdr:row>9</xdr:row>
      <xdr:rowOff>1209641</xdr:rowOff>
    </xdr:to>
    <xdr:sp macro="" textlink="">
      <xdr:nvSpPr>
        <xdr:cNvPr id="180" name="フリーフォーム: 図形 88">
          <a:extLst>
            <a:ext uri="{FF2B5EF4-FFF2-40B4-BE49-F238E27FC236}">
              <a16:creationId xmlns:a16="http://schemas.microsoft.com/office/drawing/2014/main" id="{85B5A7C3-583E-45C5-B704-0CEDBF017A81}"/>
            </a:ext>
          </a:extLst>
        </xdr:cNvPr>
        <xdr:cNvSpPr/>
      </xdr:nvSpPr>
      <xdr:spPr>
        <a:xfrm rot="18892683" flipV="1">
          <a:off x="3412933" y="1807403"/>
          <a:ext cx="254022" cy="1979454"/>
        </a:xfrm>
        <a:custGeom>
          <a:avLst/>
          <a:gdLst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358729 h 1868993"/>
            <a:gd name="connsiteX1" fmla="*/ 0 w 1831493"/>
            <a:gd name="connsiteY1" fmla="*/ 1868993 h 1868993"/>
            <a:gd name="connsiteX0" fmla="*/ 1831493 w 1831493"/>
            <a:gd name="connsiteY0" fmla="*/ 2402687 h 3912951"/>
            <a:gd name="connsiteX1" fmla="*/ 0 w 1831493"/>
            <a:gd name="connsiteY1" fmla="*/ 3912951 h 3912951"/>
            <a:gd name="connsiteX0" fmla="*/ 1579791 w 1579791"/>
            <a:gd name="connsiteY0" fmla="*/ 6030650 h 6030650"/>
            <a:gd name="connsiteX1" fmla="*/ 0 w 1579791"/>
            <a:gd name="connsiteY1" fmla="*/ 2598247 h 6030650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650223 w 1650223"/>
            <a:gd name="connsiteY0" fmla="*/ 5251444 h 5251444"/>
            <a:gd name="connsiteX1" fmla="*/ 0 w 1650223"/>
            <a:gd name="connsiteY1" fmla="*/ 9 h 5251444"/>
            <a:gd name="connsiteX0" fmla="*/ 1627033 w 1627033"/>
            <a:gd name="connsiteY0" fmla="*/ 5099903 h 5099911"/>
            <a:gd name="connsiteX1" fmla="*/ 0 w 1627033"/>
            <a:gd name="connsiteY1" fmla="*/ 9 h 5099911"/>
            <a:gd name="connsiteX0" fmla="*/ 1627033 w 1627033"/>
            <a:gd name="connsiteY0" fmla="*/ 5110022 h 5110030"/>
            <a:gd name="connsiteX1" fmla="*/ 0 w 1627033"/>
            <a:gd name="connsiteY1" fmla="*/ 10128 h 5110030"/>
            <a:gd name="connsiteX0" fmla="*/ 1667751 w 1667751"/>
            <a:gd name="connsiteY0" fmla="*/ 5734570 h 5734562"/>
            <a:gd name="connsiteX1" fmla="*/ 0 w 1667751"/>
            <a:gd name="connsiteY1" fmla="*/ 98 h 5734562"/>
            <a:gd name="connsiteX0" fmla="*/ 1667751 w 1667751"/>
            <a:gd name="connsiteY0" fmla="*/ 5871936 h 5871928"/>
            <a:gd name="connsiteX1" fmla="*/ 0 w 1667751"/>
            <a:gd name="connsiteY1" fmla="*/ 137464 h 5871928"/>
            <a:gd name="connsiteX0" fmla="*/ 1667751 w 1667751"/>
            <a:gd name="connsiteY0" fmla="*/ 5734470 h 5734462"/>
            <a:gd name="connsiteX1" fmla="*/ 0 w 1667751"/>
            <a:gd name="connsiteY1" fmla="*/ -2 h 5734462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15318 w 1715318"/>
            <a:gd name="connsiteY0" fmla="*/ 12315812 h 12315804"/>
            <a:gd name="connsiteX1" fmla="*/ 0 w 1715318"/>
            <a:gd name="connsiteY1" fmla="*/ -3 h 12315804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9"/>
            <a:gd name="connsiteX1" fmla="*/ 0 w 1272370"/>
            <a:gd name="connsiteY1" fmla="*/ -3 h 16082079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40883 w 1240883"/>
            <a:gd name="connsiteY0" fmla="*/ 11580128 h 11580132"/>
            <a:gd name="connsiteX1" fmla="*/ 0 w 1240883"/>
            <a:gd name="connsiteY1" fmla="*/ -3 h 11580132"/>
            <a:gd name="connsiteX0" fmla="*/ 1240883 w 1240883"/>
            <a:gd name="connsiteY0" fmla="*/ 11580128 h 12490228"/>
            <a:gd name="connsiteX1" fmla="*/ 0 w 1240883"/>
            <a:gd name="connsiteY1" fmla="*/ -3 h 12490228"/>
            <a:gd name="connsiteX0" fmla="*/ 1240883 w 1240883"/>
            <a:gd name="connsiteY0" fmla="*/ 11580128 h 12737967"/>
            <a:gd name="connsiteX1" fmla="*/ 0 w 1240883"/>
            <a:gd name="connsiteY1" fmla="*/ -3 h 12737967"/>
            <a:gd name="connsiteX0" fmla="*/ 450325 w 450325"/>
            <a:gd name="connsiteY0" fmla="*/ 18952913 h 19694160"/>
            <a:gd name="connsiteX1" fmla="*/ 205900 w 450325"/>
            <a:gd name="connsiteY1" fmla="*/ -3 h 19694160"/>
            <a:gd name="connsiteX0" fmla="*/ 244425 w 324243"/>
            <a:gd name="connsiteY0" fmla="*/ 18952913 h 18952916"/>
            <a:gd name="connsiteX1" fmla="*/ 0 w 324243"/>
            <a:gd name="connsiteY1" fmla="*/ -3 h 18952916"/>
            <a:gd name="connsiteX0" fmla="*/ 244425 w 244425"/>
            <a:gd name="connsiteY0" fmla="*/ 18952913 h 18952916"/>
            <a:gd name="connsiteX1" fmla="*/ 0 w 244425"/>
            <a:gd name="connsiteY1" fmla="*/ -3 h 18952916"/>
            <a:gd name="connsiteX0" fmla="*/ 244425 w 244425"/>
            <a:gd name="connsiteY0" fmla="*/ 18952913 h 18952916"/>
            <a:gd name="connsiteX1" fmla="*/ 0 w 244425"/>
            <a:gd name="connsiteY1" fmla="*/ -3 h 1895291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244425" h="18952916">
              <a:moveTo>
                <a:pt x="244425" y="18952913"/>
              </a:moveTo>
              <a:cubicBezTo>
                <a:pt x="-201158" y="9765517"/>
                <a:pt x="552852" y="3975329"/>
                <a:pt x="0" y="-3"/>
              </a:cubicBezTo>
            </a:path>
          </a:pathLst>
        </a:custGeom>
        <a:noFill/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7</xdr:col>
      <xdr:colOff>152400</xdr:colOff>
      <xdr:row>9</xdr:row>
      <xdr:rowOff>504825</xdr:rowOff>
    </xdr:from>
    <xdr:ext cx="468389" cy="187872"/>
    <xdr:sp macro="" textlink="">
      <xdr:nvSpPr>
        <xdr:cNvPr id="177" name="テキスト ボックス 176">
          <a:extLst>
            <a:ext uri="{FF2B5EF4-FFF2-40B4-BE49-F238E27FC236}">
              <a16:creationId xmlns:a16="http://schemas.microsoft.com/office/drawing/2014/main" id="{D6558074-0EA8-4404-832E-196099F35387}"/>
            </a:ext>
          </a:extLst>
        </xdr:cNvPr>
        <xdr:cNvSpPr txBox="1"/>
      </xdr:nvSpPr>
      <xdr:spPr>
        <a:xfrm>
          <a:off x="2409825" y="2219325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62.6m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oneCellAnchor>
    <xdr:from>
      <xdr:col>9</xdr:col>
      <xdr:colOff>238125</xdr:colOff>
      <xdr:row>9</xdr:row>
      <xdr:rowOff>447675</xdr:rowOff>
    </xdr:from>
    <xdr:ext cx="468389" cy="187872"/>
    <xdr:sp macro="" textlink="">
      <xdr:nvSpPr>
        <xdr:cNvPr id="181" name="テキスト ボックス 180">
          <a:extLst>
            <a:ext uri="{FF2B5EF4-FFF2-40B4-BE49-F238E27FC236}">
              <a16:creationId xmlns:a16="http://schemas.microsoft.com/office/drawing/2014/main" id="{B1B7ACBE-10DA-438A-A203-E12CAB1C19F4}"/>
            </a:ext>
          </a:extLst>
        </xdr:cNvPr>
        <xdr:cNvSpPr txBox="1"/>
      </xdr:nvSpPr>
      <xdr:spPr>
        <a:xfrm>
          <a:off x="3124200" y="2162175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42.7m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>
    <xdr:from>
      <xdr:col>13</xdr:col>
      <xdr:colOff>265009</xdr:colOff>
      <xdr:row>17</xdr:row>
      <xdr:rowOff>632194</xdr:rowOff>
    </xdr:from>
    <xdr:to>
      <xdr:col>17</xdr:col>
      <xdr:colOff>100115</xdr:colOff>
      <xdr:row>17</xdr:row>
      <xdr:rowOff>1143101</xdr:rowOff>
    </xdr:to>
    <xdr:grpSp>
      <xdr:nvGrpSpPr>
        <xdr:cNvPr id="185" name="グループ化 184">
          <a:extLst>
            <a:ext uri="{FF2B5EF4-FFF2-40B4-BE49-F238E27FC236}">
              <a16:creationId xmlns:a16="http://schemas.microsoft.com/office/drawing/2014/main" id="{F56FBC87-0DD4-45B4-B42F-21C8C059A5E9}"/>
            </a:ext>
          </a:extLst>
        </xdr:cNvPr>
        <xdr:cNvGrpSpPr/>
      </xdr:nvGrpSpPr>
      <xdr:grpSpPr>
        <a:xfrm>
          <a:off x="4408384" y="5823319"/>
          <a:ext cx="1092406" cy="510907"/>
          <a:chOff x="4394878" y="5814078"/>
          <a:chExt cx="1086151" cy="510907"/>
        </a:xfrm>
      </xdr:grpSpPr>
      <xdr:sp macro="" textlink="">
        <xdr:nvSpPr>
          <xdr:cNvPr id="110" name="Freeform 123">
            <a:extLst>
              <a:ext uri="{FF2B5EF4-FFF2-40B4-BE49-F238E27FC236}">
                <a16:creationId xmlns:a16="http://schemas.microsoft.com/office/drawing/2014/main" id="{00B46779-7859-4E50-A046-8700383D5360}"/>
              </a:ext>
            </a:extLst>
          </xdr:cNvPr>
          <xdr:cNvSpPr>
            <a:spLocks/>
          </xdr:cNvSpPr>
        </xdr:nvSpPr>
        <xdr:spPr bwMode="auto">
          <a:xfrm rot="4920000" flipH="1" flipV="1">
            <a:off x="5031852" y="6173402"/>
            <a:ext cx="96778" cy="20638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" name="Freeform 125">
            <a:extLst>
              <a:ext uri="{FF2B5EF4-FFF2-40B4-BE49-F238E27FC236}">
                <a16:creationId xmlns:a16="http://schemas.microsoft.com/office/drawing/2014/main" id="{E285BD39-2C43-4258-8873-C6A089E22984}"/>
              </a:ext>
            </a:extLst>
          </xdr:cNvPr>
          <xdr:cNvSpPr>
            <a:spLocks/>
          </xdr:cNvSpPr>
        </xdr:nvSpPr>
        <xdr:spPr bwMode="auto">
          <a:xfrm rot="5569616" flipH="1" flipV="1">
            <a:off x="4950676" y="6210979"/>
            <a:ext cx="76200" cy="65520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" name="Freeform 126">
            <a:extLst>
              <a:ext uri="{FF2B5EF4-FFF2-40B4-BE49-F238E27FC236}">
                <a16:creationId xmlns:a16="http://schemas.microsoft.com/office/drawing/2014/main" id="{00503637-77E3-46A9-A11D-9D59AC0FA8F8}"/>
              </a:ext>
            </a:extLst>
          </xdr:cNvPr>
          <xdr:cNvSpPr>
            <a:spLocks/>
          </xdr:cNvSpPr>
        </xdr:nvSpPr>
        <xdr:spPr bwMode="auto">
          <a:xfrm rot="5400000" flipH="1" flipV="1">
            <a:off x="5103281" y="6143910"/>
            <a:ext cx="76200" cy="67329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" name="Line 127">
            <a:extLst>
              <a:ext uri="{FF2B5EF4-FFF2-40B4-BE49-F238E27FC236}">
                <a16:creationId xmlns:a16="http://schemas.microsoft.com/office/drawing/2014/main" id="{D9A351F5-FFF3-4C67-B60A-D5B243AD99F7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5199091" y="6099136"/>
            <a:ext cx="0" cy="7694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" name="Freeform 128">
            <a:extLst>
              <a:ext uri="{FF2B5EF4-FFF2-40B4-BE49-F238E27FC236}">
                <a16:creationId xmlns:a16="http://schemas.microsoft.com/office/drawing/2014/main" id="{38B7B2FD-069A-4EFA-9E85-25DBCA3ED764}"/>
              </a:ext>
            </a:extLst>
          </xdr:cNvPr>
          <xdr:cNvSpPr>
            <a:spLocks/>
          </xdr:cNvSpPr>
        </xdr:nvSpPr>
        <xdr:spPr bwMode="auto">
          <a:xfrm rot="5400000" flipH="1" flipV="1">
            <a:off x="5180228" y="6105329"/>
            <a:ext cx="76200" cy="67329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" name="Freeform 132">
            <a:extLst>
              <a:ext uri="{FF2B5EF4-FFF2-40B4-BE49-F238E27FC236}">
                <a16:creationId xmlns:a16="http://schemas.microsoft.com/office/drawing/2014/main" id="{91FCA247-AC9D-4803-BB23-B482569E35C3}"/>
              </a:ext>
            </a:extLst>
          </xdr:cNvPr>
          <xdr:cNvSpPr>
            <a:spLocks/>
          </xdr:cNvSpPr>
        </xdr:nvSpPr>
        <xdr:spPr bwMode="auto">
          <a:xfrm rot="3180000" flipH="1" flipV="1">
            <a:off x="4813840" y="5888141"/>
            <a:ext cx="76200" cy="67329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0" name="Line 133">
            <a:extLst>
              <a:ext uri="{FF2B5EF4-FFF2-40B4-BE49-F238E27FC236}">
                <a16:creationId xmlns:a16="http://schemas.microsoft.com/office/drawing/2014/main" id="{EEA145AB-4BC9-4A53-BA03-A8D284B223D2}"/>
              </a:ext>
            </a:extLst>
          </xdr:cNvPr>
          <xdr:cNvSpPr>
            <a:spLocks noChangeShapeType="1"/>
          </xdr:cNvSpPr>
        </xdr:nvSpPr>
        <xdr:spPr bwMode="auto">
          <a:xfrm rot="3180000" flipH="1" flipV="1">
            <a:off x="4872789" y="5821976"/>
            <a:ext cx="0" cy="7694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1" name="Freeform 134">
            <a:extLst>
              <a:ext uri="{FF2B5EF4-FFF2-40B4-BE49-F238E27FC236}">
                <a16:creationId xmlns:a16="http://schemas.microsoft.com/office/drawing/2014/main" id="{57DE5E4E-DD25-4F1B-B7D0-35ABB1F2DE48}"/>
              </a:ext>
            </a:extLst>
          </xdr:cNvPr>
          <xdr:cNvSpPr>
            <a:spLocks/>
          </xdr:cNvSpPr>
        </xdr:nvSpPr>
        <xdr:spPr bwMode="auto">
          <a:xfrm rot="3180000" flipH="1" flipV="1">
            <a:off x="4845256" y="5818513"/>
            <a:ext cx="76200" cy="67329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82" name="フリーフォーム: 図形 88">
            <a:extLst>
              <a:ext uri="{FF2B5EF4-FFF2-40B4-BE49-F238E27FC236}">
                <a16:creationId xmlns:a16="http://schemas.microsoft.com/office/drawing/2014/main" id="{A0E8F73F-EC93-4DEA-9F65-B7FA3481396D}"/>
              </a:ext>
            </a:extLst>
          </xdr:cNvPr>
          <xdr:cNvSpPr/>
        </xdr:nvSpPr>
        <xdr:spPr>
          <a:xfrm rot="18892683" flipV="1">
            <a:off x="4799268" y="5571466"/>
            <a:ext cx="277372" cy="1086151"/>
          </a:xfrm>
          <a:custGeom>
            <a:avLst/>
            <a:gdLst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358729 h 1868993"/>
              <a:gd name="connsiteX1" fmla="*/ 0 w 1831493"/>
              <a:gd name="connsiteY1" fmla="*/ 1868993 h 1868993"/>
              <a:gd name="connsiteX0" fmla="*/ 1831493 w 1831493"/>
              <a:gd name="connsiteY0" fmla="*/ 2402687 h 3912951"/>
              <a:gd name="connsiteX1" fmla="*/ 0 w 1831493"/>
              <a:gd name="connsiteY1" fmla="*/ 3912951 h 3912951"/>
              <a:gd name="connsiteX0" fmla="*/ 1579791 w 1579791"/>
              <a:gd name="connsiteY0" fmla="*/ 6030650 h 6030650"/>
              <a:gd name="connsiteX1" fmla="*/ 0 w 1579791"/>
              <a:gd name="connsiteY1" fmla="*/ 2598247 h 6030650"/>
              <a:gd name="connsiteX0" fmla="*/ 1579791 w 1579791"/>
              <a:gd name="connsiteY0" fmla="*/ 3432421 h 3432421"/>
              <a:gd name="connsiteX1" fmla="*/ 0 w 1579791"/>
              <a:gd name="connsiteY1" fmla="*/ 18 h 3432421"/>
              <a:gd name="connsiteX0" fmla="*/ 1579791 w 1579791"/>
              <a:gd name="connsiteY0" fmla="*/ 3432421 h 3432421"/>
              <a:gd name="connsiteX1" fmla="*/ 0 w 1579791"/>
              <a:gd name="connsiteY1" fmla="*/ 18 h 3432421"/>
              <a:gd name="connsiteX0" fmla="*/ 1650223 w 1650223"/>
              <a:gd name="connsiteY0" fmla="*/ 5251444 h 5251444"/>
              <a:gd name="connsiteX1" fmla="*/ 0 w 1650223"/>
              <a:gd name="connsiteY1" fmla="*/ 9 h 5251444"/>
              <a:gd name="connsiteX0" fmla="*/ 1627033 w 1627033"/>
              <a:gd name="connsiteY0" fmla="*/ 5099903 h 5099911"/>
              <a:gd name="connsiteX1" fmla="*/ 0 w 1627033"/>
              <a:gd name="connsiteY1" fmla="*/ 9 h 5099911"/>
              <a:gd name="connsiteX0" fmla="*/ 1627033 w 1627033"/>
              <a:gd name="connsiteY0" fmla="*/ 5110022 h 5110030"/>
              <a:gd name="connsiteX1" fmla="*/ 0 w 1627033"/>
              <a:gd name="connsiteY1" fmla="*/ 10128 h 5110030"/>
              <a:gd name="connsiteX0" fmla="*/ 1667751 w 1667751"/>
              <a:gd name="connsiteY0" fmla="*/ 5734570 h 5734562"/>
              <a:gd name="connsiteX1" fmla="*/ 0 w 1667751"/>
              <a:gd name="connsiteY1" fmla="*/ 98 h 5734562"/>
              <a:gd name="connsiteX0" fmla="*/ 1667751 w 1667751"/>
              <a:gd name="connsiteY0" fmla="*/ 5871936 h 5871928"/>
              <a:gd name="connsiteX1" fmla="*/ 0 w 1667751"/>
              <a:gd name="connsiteY1" fmla="*/ 137464 h 5871928"/>
              <a:gd name="connsiteX0" fmla="*/ 1667751 w 1667751"/>
              <a:gd name="connsiteY0" fmla="*/ 5734470 h 5734462"/>
              <a:gd name="connsiteX1" fmla="*/ 0 w 1667751"/>
              <a:gd name="connsiteY1" fmla="*/ -2 h 5734462"/>
              <a:gd name="connsiteX0" fmla="*/ 1743893 w 1743893"/>
              <a:gd name="connsiteY0" fmla="*/ 12083262 h 12083254"/>
              <a:gd name="connsiteX1" fmla="*/ 0 w 1743893"/>
              <a:gd name="connsiteY1" fmla="*/ -10 h 12083254"/>
              <a:gd name="connsiteX0" fmla="*/ 1743893 w 1743893"/>
              <a:gd name="connsiteY0" fmla="*/ 12083262 h 12083254"/>
              <a:gd name="connsiteX1" fmla="*/ 0 w 1743893"/>
              <a:gd name="connsiteY1" fmla="*/ -10 h 12083254"/>
              <a:gd name="connsiteX0" fmla="*/ 1715318 w 1715318"/>
              <a:gd name="connsiteY0" fmla="*/ 12315812 h 12315804"/>
              <a:gd name="connsiteX1" fmla="*/ 0 w 1715318"/>
              <a:gd name="connsiteY1" fmla="*/ -3 h 12315804"/>
              <a:gd name="connsiteX0" fmla="*/ 1272370 w 1272370"/>
              <a:gd name="connsiteY0" fmla="*/ 16082078 h 16082071"/>
              <a:gd name="connsiteX1" fmla="*/ 0 w 1272370"/>
              <a:gd name="connsiteY1" fmla="*/ -3 h 16082071"/>
              <a:gd name="connsiteX0" fmla="*/ 1272370 w 1272370"/>
              <a:gd name="connsiteY0" fmla="*/ 16082078 h 16082071"/>
              <a:gd name="connsiteX1" fmla="*/ 0 w 1272370"/>
              <a:gd name="connsiteY1" fmla="*/ -3 h 16082071"/>
              <a:gd name="connsiteX0" fmla="*/ 1272370 w 1272370"/>
              <a:gd name="connsiteY0" fmla="*/ 16082078 h 16082079"/>
              <a:gd name="connsiteX1" fmla="*/ 0 w 1272370"/>
              <a:gd name="connsiteY1" fmla="*/ -3 h 16082079"/>
              <a:gd name="connsiteX0" fmla="*/ 1267495 w 1267495"/>
              <a:gd name="connsiteY0" fmla="*/ 14803985 h 14803984"/>
              <a:gd name="connsiteX1" fmla="*/ 0 w 1267495"/>
              <a:gd name="connsiteY1" fmla="*/ -3 h 14803984"/>
              <a:gd name="connsiteX0" fmla="*/ 1267495 w 1267495"/>
              <a:gd name="connsiteY0" fmla="*/ 14803985 h 14803984"/>
              <a:gd name="connsiteX1" fmla="*/ 0 w 1267495"/>
              <a:gd name="connsiteY1" fmla="*/ -3 h 14803984"/>
              <a:gd name="connsiteX0" fmla="*/ 1267495 w 1267495"/>
              <a:gd name="connsiteY0" fmla="*/ 14803985 h 14803984"/>
              <a:gd name="connsiteX1" fmla="*/ 0 w 1267495"/>
              <a:gd name="connsiteY1" fmla="*/ -3 h 14803984"/>
              <a:gd name="connsiteX0" fmla="*/ 1267495 w 1267495"/>
              <a:gd name="connsiteY0" fmla="*/ 14803985 h 14803984"/>
              <a:gd name="connsiteX1" fmla="*/ 0 w 1267495"/>
              <a:gd name="connsiteY1" fmla="*/ -3 h 14803984"/>
              <a:gd name="connsiteX0" fmla="*/ 1267495 w 1267495"/>
              <a:gd name="connsiteY0" fmla="*/ 14803985 h 14803984"/>
              <a:gd name="connsiteX1" fmla="*/ 0 w 1267495"/>
              <a:gd name="connsiteY1" fmla="*/ -3 h 14803984"/>
              <a:gd name="connsiteX0" fmla="*/ 1240883 w 1240883"/>
              <a:gd name="connsiteY0" fmla="*/ 11580128 h 11580132"/>
              <a:gd name="connsiteX1" fmla="*/ 0 w 1240883"/>
              <a:gd name="connsiteY1" fmla="*/ -3 h 11580132"/>
              <a:gd name="connsiteX0" fmla="*/ 1240883 w 1240883"/>
              <a:gd name="connsiteY0" fmla="*/ 11580128 h 12490228"/>
              <a:gd name="connsiteX1" fmla="*/ 0 w 1240883"/>
              <a:gd name="connsiteY1" fmla="*/ -3 h 12490228"/>
              <a:gd name="connsiteX0" fmla="*/ 1240883 w 1240883"/>
              <a:gd name="connsiteY0" fmla="*/ 11580128 h 12737967"/>
              <a:gd name="connsiteX1" fmla="*/ 0 w 1240883"/>
              <a:gd name="connsiteY1" fmla="*/ -3 h 12737967"/>
              <a:gd name="connsiteX0" fmla="*/ 450325 w 450325"/>
              <a:gd name="connsiteY0" fmla="*/ 18952913 h 19694160"/>
              <a:gd name="connsiteX1" fmla="*/ 205900 w 450325"/>
              <a:gd name="connsiteY1" fmla="*/ -3 h 19694160"/>
              <a:gd name="connsiteX0" fmla="*/ 244425 w 324243"/>
              <a:gd name="connsiteY0" fmla="*/ 18952913 h 18952916"/>
              <a:gd name="connsiteX1" fmla="*/ 0 w 324243"/>
              <a:gd name="connsiteY1" fmla="*/ -3 h 18952916"/>
              <a:gd name="connsiteX0" fmla="*/ 244425 w 244425"/>
              <a:gd name="connsiteY0" fmla="*/ 18952913 h 18952916"/>
              <a:gd name="connsiteX1" fmla="*/ 0 w 244425"/>
              <a:gd name="connsiteY1" fmla="*/ -3 h 18952916"/>
              <a:gd name="connsiteX0" fmla="*/ 244425 w 244425"/>
              <a:gd name="connsiteY0" fmla="*/ 18952913 h 18952916"/>
              <a:gd name="connsiteX1" fmla="*/ 0 w 244425"/>
              <a:gd name="connsiteY1" fmla="*/ -3 h 18952916"/>
              <a:gd name="connsiteX0" fmla="*/ 244425 w 253093"/>
              <a:gd name="connsiteY0" fmla="*/ 18952913 h 18952916"/>
              <a:gd name="connsiteX1" fmla="*/ 0 w 253093"/>
              <a:gd name="connsiteY1" fmla="*/ -3 h 18952916"/>
              <a:gd name="connsiteX0" fmla="*/ 244425 w 244425"/>
              <a:gd name="connsiteY0" fmla="*/ 18952913 h 18952916"/>
              <a:gd name="connsiteX1" fmla="*/ 0 w 244425"/>
              <a:gd name="connsiteY1" fmla="*/ -3 h 1895291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</a:cxnLst>
            <a:rect l="l" t="t" r="r" b="b"/>
            <a:pathLst>
              <a:path w="244425" h="18952916">
                <a:moveTo>
                  <a:pt x="244425" y="18952913"/>
                </a:moveTo>
                <a:cubicBezTo>
                  <a:pt x="-11555" y="7232916"/>
                  <a:pt x="351840" y="4404232"/>
                  <a:pt x="0" y="-3"/>
                </a:cubicBezTo>
              </a:path>
            </a:pathLst>
          </a:custGeom>
          <a:noFill/>
          <a:ln w="9525">
            <a:solidFill>
              <a:sysClr val="windowText" lastClr="000000"/>
            </a:solidFill>
            <a:headEnd type="arrow" w="med" len="med"/>
            <a:tailEnd type="none" w="med" len="me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15</xdr:col>
      <xdr:colOff>188301</xdr:colOff>
      <xdr:row>17</xdr:row>
      <xdr:rowOff>544613</xdr:rowOff>
    </xdr:from>
    <xdr:to>
      <xdr:col>19</xdr:col>
      <xdr:colOff>20003</xdr:colOff>
      <xdr:row>17</xdr:row>
      <xdr:rowOff>1063804</xdr:rowOff>
    </xdr:to>
    <xdr:grpSp>
      <xdr:nvGrpSpPr>
        <xdr:cNvPr id="202" name="グループ化 201">
          <a:extLst>
            <a:ext uri="{FF2B5EF4-FFF2-40B4-BE49-F238E27FC236}">
              <a16:creationId xmlns:a16="http://schemas.microsoft.com/office/drawing/2014/main" id="{B37ACB96-A803-4590-B336-D9B0CD1E3F01}"/>
            </a:ext>
          </a:extLst>
        </xdr:cNvPr>
        <xdr:cNvGrpSpPr/>
      </xdr:nvGrpSpPr>
      <xdr:grpSpPr>
        <a:xfrm>
          <a:off x="4960326" y="5735738"/>
          <a:ext cx="1089002" cy="519191"/>
          <a:chOff x="4838745" y="5735338"/>
          <a:chExt cx="1096366" cy="519191"/>
        </a:xfrm>
      </xdr:grpSpPr>
      <xdr:sp macro="" textlink="">
        <xdr:nvSpPr>
          <xdr:cNvPr id="118" name="Freeform 131">
            <a:extLst>
              <a:ext uri="{FF2B5EF4-FFF2-40B4-BE49-F238E27FC236}">
                <a16:creationId xmlns:a16="http://schemas.microsoft.com/office/drawing/2014/main" id="{00B0CE8B-C4B2-4CDC-AA56-08D103A731DC}"/>
              </a:ext>
            </a:extLst>
          </xdr:cNvPr>
          <xdr:cNvSpPr>
            <a:spLocks/>
          </xdr:cNvSpPr>
        </xdr:nvSpPr>
        <xdr:spPr bwMode="auto">
          <a:xfrm rot="7563854" flipH="1" flipV="1">
            <a:off x="5172016" y="5851058"/>
            <a:ext cx="66675" cy="76947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grpSp>
        <xdr:nvGrpSpPr>
          <xdr:cNvPr id="197" name="グループ化 196">
            <a:extLst>
              <a:ext uri="{FF2B5EF4-FFF2-40B4-BE49-F238E27FC236}">
                <a16:creationId xmlns:a16="http://schemas.microsoft.com/office/drawing/2014/main" id="{070B2A48-AF21-4E19-9A45-E2ABBE387C10}"/>
              </a:ext>
            </a:extLst>
          </xdr:cNvPr>
          <xdr:cNvGrpSpPr/>
        </xdr:nvGrpSpPr>
        <xdr:grpSpPr>
          <a:xfrm>
            <a:off x="5443595" y="6014147"/>
            <a:ext cx="92235" cy="76200"/>
            <a:chOff x="5443595" y="6014147"/>
            <a:chExt cx="92235" cy="76200"/>
          </a:xfrm>
        </xdr:grpSpPr>
        <xdr:sp macro="" textlink="">
          <xdr:nvSpPr>
            <xdr:cNvPr id="190" name="Line 127">
              <a:extLst>
                <a:ext uri="{FF2B5EF4-FFF2-40B4-BE49-F238E27FC236}">
                  <a16:creationId xmlns:a16="http://schemas.microsoft.com/office/drawing/2014/main" id="{364E6F17-3652-49F7-95CF-E0AD4D78AE9C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H="1" flipV="1">
              <a:off x="5482431" y="6012028"/>
              <a:ext cx="0" cy="77671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91" name="Freeform 128">
              <a:extLst>
                <a:ext uri="{FF2B5EF4-FFF2-40B4-BE49-F238E27FC236}">
                  <a16:creationId xmlns:a16="http://schemas.microsoft.com/office/drawing/2014/main" id="{66712076-1BA4-42A1-AF47-F03A14B87296}"/>
                </a:ext>
              </a:extLst>
            </xdr:cNvPr>
            <xdr:cNvSpPr>
              <a:spLocks/>
            </xdr:cNvSpPr>
          </xdr:nvSpPr>
          <xdr:spPr bwMode="auto">
            <a:xfrm rot="5400000" flipH="1" flipV="1">
              <a:off x="5463749" y="6018266"/>
              <a:ext cx="76200" cy="67962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192" name="Freeform 132">
            <a:extLst>
              <a:ext uri="{FF2B5EF4-FFF2-40B4-BE49-F238E27FC236}">
                <a16:creationId xmlns:a16="http://schemas.microsoft.com/office/drawing/2014/main" id="{BF329EB5-85C1-4E3D-B8C4-DC1A25ADAC49}"/>
              </a:ext>
            </a:extLst>
          </xdr:cNvPr>
          <xdr:cNvSpPr>
            <a:spLocks/>
          </xdr:cNvSpPr>
        </xdr:nvSpPr>
        <xdr:spPr bwMode="auto">
          <a:xfrm rot="13020000" flipH="1">
            <a:off x="5189969" y="5765063"/>
            <a:ext cx="76200" cy="67962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3" name="Line 133">
            <a:extLst>
              <a:ext uri="{FF2B5EF4-FFF2-40B4-BE49-F238E27FC236}">
                <a16:creationId xmlns:a16="http://schemas.microsoft.com/office/drawing/2014/main" id="{7486BD03-BE77-41DE-9E8E-D88D762071E4}"/>
              </a:ext>
            </a:extLst>
          </xdr:cNvPr>
          <xdr:cNvSpPr>
            <a:spLocks noChangeShapeType="1"/>
          </xdr:cNvSpPr>
        </xdr:nvSpPr>
        <xdr:spPr bwMode="auto">
          <a:xfrm rot="3180000" flipH="1" flipV="1">
            <a:off x="5301140" y="5742875"/>
            <a:ext cx="0" cy="7767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4" name="Freeform 134">
            <a:extLst>
              <a:ext uri="{FF2B5EF4-FFF2-40B4-BE49-F238E27FC236}">
                <a16:creationId xmlns:a16="http://schemas.microsoft.com/office/drawing/2014/main" id="{731D1F98-6055-47EC-9377-E8CD39FBE66E}"/>
              </a:ext>
            </a:extLst>
          </xdr:cNvPr>
          <xdr:cNvSpPr>
            <a:spLocks/>
          </xdr:cNvSpPr>
        </xdr:nvSpPr>
        <xdr:spPr bwMode="auto">
          <a:xfrm rot="3180000" flipH="1" flipV="1">
            <a:off x="5273706" y="5739457"/>
            <a:ext cx="76200" cy="67962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5" name="フリーフォーム: 図形 88">
            <a:extLst>
              <a:ext uri="{FF2B5EF4-FFF2-40B4-BE49-F238E27FC236}">
                <a16:creationId xmlns:a16="http://schemas.microsoft.com/office/drawing/2014/main" id="{59AB6AAC-EB84-4E27-9645-523853931E06}"/>
              </a:ext>
            </a:extLst>
          </xdr:cNvPr>
          <xdr:cNvSpPr/>
        </xdr:nvSpPr>
        <xdr:spPr>
          <a:xfrm rot="18892683" flipV="1">
            <a:off x="5248242" y="5567660"/>
            <a:ext cx="277372" cy="1096366"/>
          </a:xfrm>
          <a:custGeom>
            <a:avLst/>
            <a:gdLst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358729 h 1868993"/>
              <a:gd name="connsiteX1" fmla="*/ 0 w 1831493"/>
              <a:gd name="connsiteY1" fmla="*/ 1868993 h 1868993"/>
              <a:gd name="connsiteX0" fmla="*/ 1831493 w 1831493"/>
              <a:gd name="connsiteY0" fmla="*/ 2402687 h 3912951"/>
              <a:gd name="connsiteX1" fmla="*/ 0 w 1831493"/>
              <a:gd name="connsiteY1" fmla="*/ 3912951 h 3912951"/>
              <a:gd name="connsiteX0" fmla="*/ 1579791 w 1579791"/>
              <a:gd name="connsiteY0" fmla="*/ 6030650 h 6030650"/>
              <a:gd name="connsiteX1" fmla="*/ 0 w 1579791"/>
              <a:gd name="connsiteY1" fmla="*/ 2598247 h 6030650"/>
              <a:gd name="connsiteX0" fmla="*/ 1579791 w 1579791"/>
              <a:gd name="connsiteY0" fmla="*/ 3432421 h 3432421"/>
              <a:gd name="connsiteX1" fmla="*/ 0 w 1579791"/>
              <a:gd name="connsiteY1" fmla="*/ 18 h 3432421"/>
              <a:gd name="connsiteX0" fmla="*/ 1579791 w 1579791"/>
              <a:gd name="connsiteY0" fmla="*/ 3432421 h 3432421"/>
              <a:gd name="connsiteX1" fmla="*/ 0 w 1579791"/>
              <a:gd name="connsiteY1" fmla="*/ 18 h 3432421"/>
              <a:gd name="connsiteX0" fmla="*/ 1650223 w 1650223"/>
              <a:gd name="connsiteY0" fmla="*/ 5251444 h 5251444"/>
              <a:gd name="connsiteX1" fmla="*/ 0 w 1650223"/>
              <a:gd name="connsiteY1" fmla="*/ 9 h 5251444"/>
              <a:gd name="connsiteX0" fmla="*/ 1627033 w 1627033"/>
              <a:gd name="connsiteY0" fmla="*/ 5099903 h 5099911"/>
              <a:gd name="connsiteX1" fmla="*/ 0 w 1627033"/>
              <a:gd name="connsiteY1" fmla="*/ 9 h 5099911"/>
              <a:gd name="connsiteX0" fmla="*/ 1627033 w 1627033"/>
              <a:gd name="connsiteY0" fmla="*/ 5110022 h 5110030"/>
              <a:gd name="connsiteX1" fmla="*/ 0 w 1627033"/>
              <a:gd name="connsiteY1" fmla="*/ 10128 h 5110030"/>
              <a:gd name="connsiteX0" fmla="*/ 1667751 w 1667751"/>
              <a:gd name="connsiteY0" fmla="*/ 5734570 h 5734562"/>
              <a:gd name="connsiteX1" fmla="*/ 0 w 1667751"/>
              <a:gd name="connsiteY1" fmla="*/ 98 h 5734562"/>
              <a:gd name="connsiteX0" fmla="*/ 1667751 w 1667751"/>
              <a:gd name="connsiteY0" fmla="*/ 5871936 h 5871928"/>
              <a:gd name="connsiteX1" fmla="*/ 0 w 1667751"/>
              <a:gd name="connsiteY1" fmla="*/ 137464 h 5871928"/>
              <a:gd name="connsiteX0" fmla="*/ 1667751 w 1667751"/>
              <a:gd name="connsiteY0" fmla="*/ 5734470 h 5734462"/>
              <a:gd name="connsiteX1" fmla="*/ 0 w 1667751"/>
              <a:gd name="connsiteY1" fmla="*/ -2 h 5734462"/>
              <a:gd name="connsiteX0" fmla="*/ 1743893 w 1743893"/>
              <a:gd name="connsiteY0" fmla="*/ 12083262 h 12083254"/>
              <a:gd name="connsiteX1" fmla="*/ 0 w 1743893"/>
              <a:gd name="connsiteY1" fmla="*/ -10 h 12083254"/>
              <a:gd name="connsiteX0" fmla="*/ 1743893 w 1743893"/>
              <a:gd name="connsiteY0" fmla="*/ 12083262 h 12083254"/>
              <a:gd name="connsiteX1" fmla="*/ 0 w 1743893"/>
              <a:gd name="connsiteY1" fmla="*/ -10 h 12083254"/>
              <a:gd name="connsiteX0" fmla="*/ 1715318 w 1715318"/>
              <a:gd name="connsiteY0" fmla="*/ 12315812 h 12315804"/>
              <a:gd name="connsiteX1" fmla="*/ 0 w 1715318"/>
              <a:gd name="connsiteY1" fmla="*/ -3 h 12315804"/>
              <a:gd name="connsiteX0" fmla="*/ 1272370 w 1272370"/>
              <a:gd name="connsiteY0" fmla="*/ 16082078 h 16082071"/>
              <a:gd name="connsiteX1" fmla="*/ 0 w 1272370"/>
              <a:gd name="connsiteY1" fmla="*/ -3 h 16082071"/>
              <a:gd name="connsiteX0" fmla="*/ 1272370 w 1272370"/>
              <a:gd name="connsiteY0" fmla="*/ 16082078 h 16082071"/>
              <a:gd name="connsiteX1" fmla="*/ 0 w 1272370"/>
              <a:gd name="connsiteY1" fmla="*/ -3 h 16082071"/>
              <a:gd name="connsiteX0" fmla="*/ 1272370 w 1272370"/>
              <a:gd name="connsiteY0" fmla="*/ 16082078 h 16082079"/>
              <a:gd name="connsiteX1" fmla="*/ 0 w 1272370"/>
              <a:gd name="connsiteY1" fmla="*/ -3 h 16082079"/>
              <a:gd name="connsiteX0" fmla="*/ 1267495 w 1267495"/>
              <a:gd name="connsiteY0" fmla="*/ 14803985 h 14803984"/>
              <a:gd name="connsiteX1" fmla="*/ 0 w 1267495"/>
              <a:gd name="connsiteY1" fmla="*/ -3 h 14803984"/>
              <a:gd name="connsiteX0" fmla="*/ 1267495 w 1267495"/>
              <a:gd name="connsiteY0" fmla="*/ 14803985 h 14803984"/>
              <a:gd name="connsiteX1" fmla="*/ 0 w 1267495"/>
              <a:gd name="connsiteY1" fmla="*/ -3 h 14803984"/>
              <a:gd name="connsiteX0" fmla="*/ 1267495 w 1267495"/>
              <a:gd name="connsiteY0" fmla="*/ 14803985 h 14803984"/>
              <a:gd name="connsiteX1" fmla="*/ 0 w 1267495"/>
              <a:gd name="connsiteY1" fmla="*/ -3 h 14803984"/>
              <a:gd name="connsiteX0" fmla="*/ 1267495 w 1267495"/>
              <a:gd name="connsiteY0" fmla="*/ 14803985 h 14803984"/>
              <a:gd name="connsiteX1" fmla="*/ 0 w 1267495"/>
              <a:gd name="connsiteY1" fmla="*/ -3 h 14803984"/>
              <a:gd name="connsiteX0" fmla="*/ 1267495 w 1267495"/>
              <a:gd name="connsiteY0" fmla="*/ 14803985 h 14803984"/>
              <a:gd name="connsiteX1" fmla="*/ 0 w 1267495"/>
              <a:gd name="connsiteY1" fmla="*/ -3 h 14803984"/>
              <a:gd name="connsiteX0" fmla="*/ 1240883 w 1240883"/>
              <a:gd name="connsiteY0" fmla="*/ 11580128 h 11580132"/>
              <a:gd name="connsiteX1" fmla="*/ 0 w 1240883"/>
              <a:gd name="connsiteY1" fmla="*/ -3 h 11580132"/>
              <a:gd name="connsiteX0" fmla="*/ 1240883 w 1240883"/>
              <a:gd name="connsiteY0" fmla="*/ 11580128 h 12490228"/>
              <a:gd name="connsiteX1" fmla="*/ 0 w 1240883"/>
              <a:gd name="connsiteY1" fmla="*/ -3 h 12490228"/>
              <a:gd name="connsiteX0" fmla="*/ 1240883 w 1240883"/>
              <a:gd name="connsiteY0" fmla="*/ 11580128 h 12737967"/>
              <a:gd name="connsiteX1" fmla="*/ 0 w 1240883"/>
              <a:gd name="connsiteY1" fmla="*/ -3 h 12737967"/>
              <a:gd name="connsiteX0" fmla="*/ 450325 w 450325"/>
              <a:gd name="connsiteY0" fmla="*/ 18952913 h 19694160"/>
              <a:gd name="connsiteX1" fmla="*/ 205900 w 450325"/>
              <a:gd name="connsiteY1" fmla="*/ -3 h 19694160"/>
              <a:gd name="connsiteX0" fmla="*/ 244425 w 324243"/>
              <a:gd name="connsiteY0" fmla="*/ 18952913 h 18952916"/>
              <a:gd name="connsiteX1" fmla="*/ 0 w 324243"/>
              <a:gd name="connsiteY1" fmla="*/ -3 h 18952916"/>
              <a:gd name="connsiteX0" fmla="*/ 244425 w 244425"/>
              <a:gd name="connsiteY0" fmla="*/ 18952913 h 18952916"/>
              <a:gd name="connsiteX1" fmla="*/ 0 w 244425"/>
              <a:gd name="connsiteY1" fmla="*/ -3 h 18952916"/>
              <a:gd name="connsiteX0" fmla="*/ 244425 w 244425"/>
              <a:gd name="connsiteY0" fmla="*/ 18952913 h 18952916"/>
              <a:gd name="connsiteX1" fmla="*/ 0 w 244425"/>
              <a:gd name="connsiteY1" fmla="*/ -3 h 18952916"/>
              <a:gd name="connsiteX0" fmla="*/ 244425 w 253093"/>
              <a:gd name="connsiteY0" fmla="*/ 18952913 h 18952916"/>
              <a:gd name="connsiteX1" fmla="*/ 0 w 253093"/>
              <a:gd name="connsiteY1" fmla="*/ -3 h 18952916"/>
              <a:gd name="connsiteX0" fmla="*/ 244425 w 244425"/>
              <a:gd name="connsiteY0" fmla="*/ 18952913 h 18952916"/>
              <a:gd name="connsiteX1" fmla="*/ 0 w 244425"/>
              <a:gd name="connsiteY1" fmla="*/ -3 h 1895291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</a:cxnLst>
            <a:rect l="l" t="t" r="r" b="b"/>
            <a:pathLst>
              <a:path w="244425" h="18952916">
                <a:moveTo>
                  <a:pt x="244425" y="18952913"/>
                </a:moveTo>
                <a:cubicBezTo>
                  <a:pt x="-11555" y="7232916"/>
                  <a:pt x="351840" y="4404232"/>
                  <a:pt x="0" y="-3"/>
                </a:cubicBezTo>
              </a:path>
            </a:pathLst>
          </a:custGeom>
          <a:noFill/>
          <a:ln w="9525">
            <a:solidFill>
              <a:sysClr val="windowText" lastClr="000000"/>
            </a:solidFill>
            <a:headEnd type="none" w="med" len="med"/>
            <a:tailEnd type="arrow" w="med" len="me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96" name="Freeform 123">
            <a:extLst>
              <a:ext uri="{FF2B5EF4-FFF2-40B4-BE49-F238E27FC236}">
                <a16:creationId xmlns:a16="http://schemas.microsoft.com/office/drawing/2014/main" id="{6C0D8823-CEFB-441F-8B3D-623798106DDA}"/>
              </a:ext>
            </a:extLst>
          </xdr:cNvPr>
          <xdr:cNvSpPr>
            <a:spLocks/>
          </xdr:cNvSpPr>
        </xdr:nvSpPr>
        <xdr:spPr bwMode="auto">
          <a:xfrm rot="14340000" flipH="1" flipV="1">
            <a:off x="5242682" y="5935187"/>
            <a:ext cx="208976" cy="9677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grpSp>
        <xdr:nvGrpSpPr>
          <xdr:cNvPr id="201" name="グループ化 200">
            <a:extLst>
              <a:ext uri="{FF2B5EF4-FFF2-40B4-BE49-F238E27FC236}">
                <a16:creationId xmlns:a16="http://schemas.microsoft.com/office/drawing/2014/main" id="{7BF926F6-4207-4595-A2E3-CD0E83204D6F}"/>
              </a:ext>
            </a:extLst>
          </xdr:cNvPr>
          <xdr:cNvGrpSpPr/>
        </xdr:nvGrpSpPr>
        <xdr:grpSpPr>
          <a:xfrm>
            <a:off x="5062659" y="5919107"/>
            <a:ext cx="156241" cy="96211"/>
            <a:chOff x="5078667" y="5919107"/>
            <a:chExt cx="156241" cy="96211"/>
          </a:xfrm>
        </xdr:grpSpPr>
        <xdr:sp macro="" textlink="">
          <xdr:nvSpPr>
            <xdr:cNvPr id="198" name="Freeform 125">
              <a:extLst>
                <a:ext uri="{FF2B5EF4-FFF2-40B4-BE49-F238E27FC236}">
                  <a16:creationId xmlns:a16="http://schemas.microsoft.com/office/drawing/2014/main" id="{D9B19FD2-C3EA-4015-AC6A-246E374621D3}"/>
                </a:ext>
              </a:extLst>
            </xdr:cNvPr>
            <xdr:cNvSpPr>
              <a:spLocks/>
            </xdr:cNvSpPr>
          </xdr:nvSpPr>
          <xdr:spPr bwMode="auto">
            <a:xfrm rot="5569616" flipH="1" flipV="1">
              <a:off x="5073635" y="5944150"/>
              <a:ext cx="76200" cy="66136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99" name="Line 127">
              <a:extLst>
                <a:ext uri="{FF2B5EF4-FFF2-40B4-BE49-F238E27FC236}">
                  <a16:creationId xmlns:a16="http://schemas.microsoft.com/office/drawing/2014/main" id="{0F0E1516-E554-4B10-8ECE-61CC9FF01F5A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H="1">
              <a:off x="5120707" y="5941139"/>
              <a:ext cx="4004" cy="72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00" name="Freeform 112">
              <a:extLst>
                <a:ext uri="{FF2B5EF4-FFF2-40B4-BE49-F238E27FC236}">
                  <a16:creationId xmlns:a16="http://schemas.microsoft.com/office/drawing/2014/main" id="{5C4245AB-E5E0-4C93-994B-4D413B58059C}"/>
                </a:ext>
              </a:extLst>
            </xdr:cNvPr>
            <xdr:cNvSpPr>
              <a:spLocks/>
            </xdr:cNvSpPr>
          </xdr:nvSpPr>
          <xdr:spPr bwMode="auto">
            <a:xfrm rot="6138841">
              <a:off x="5163428" y="5914387"/>
              <a:ext cx="66760" cy="76200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9</xdr:col>
      <xdr:colOff>9525</xdr:colOff>
      <xdr:row>21</xdr:row>
      <xdr:rowOff>114300</xdr:rowOff>
    </xdr:from>
    <xdr:to>
      <xdr:col>12</xdr:col>
      <xdr:colOff>0</xdr:colOff>
      <xdr:row>21</xdr:row>
      <xdr:rowOff>114300</xdr:rowOff>
    </xdr:to>
    <xdr:sp macro="" textlink="">
      <xdr:nvSpPr>
        <xdr:cNvPr id="203" name="Line 3">
          <a:extLst>
            <a:ext uri="{FF2B5EF4-FFF2-40B4-BE49-F238E27FC236}">
              <a16:creationId xmlns:a16="http://schemas.microsoft.com/office/drawing/2014/main" id="{CE6E747E-D6F5-46F4-B611-F49437725CD2}"/>
            </a:ext>
          </a:extLst>
        </xdr:cNvPr>
        <xdr:cNvSpPr>
          <a:spLocks noChangeShapeType="1"/>
        </xdr:cNvSpPr>
      </xdr:nvSpPr>
      <xdr:spPr bwMode="auto">
        <a:xfrm>
          <a:off x="2895600" y="7115175"/>
          <a:ext cx="93345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21</xdr:row>
      <xdr:rowOff>47625</xdr:rowOff>
    </xdr:from>
    <xdr:to>
      <xdr:col>12</xdr:col>
      <xdr:colOff>304800</xdr:colOff>
      <xdr:row>21</xdr:row>
      <xdr:rowOff>190500</xdr:rowOff>
    </xdr:to>
    <xdr:sp macro="" textlink="">
      <xdr:nvSpPr>
        <xdr:cNvPr id="204" name="Freeform 10">
          <a:extLst>
            <a:ext uri="{FF2B5EF4-FFF2-40B4-BE49-F238E27FC236}">
              <a16:creationId xmlns:a16="http://schemas.microsoft.com/office/drawing/2014/main" id="{1FF586A9-3CB7-479A-805E-42BE47279C94}"/>
            </a:ext>
          </a:extLst>
        </xdr:cNvPr>
        <xdr:cNvSpPr>
          <a:spLocks/>
        </xdr:cNvSpPr>
      </xdr:nvSpPr>
      <xdr:spPr bwMode="auto">
        <a:xfrm>
          <a:off x="3838575" y="70485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21</xdr:row>
      <xdr:rowOff>104775</xdr:rowOff>
    </xdr:from>
    <xdr:to>
      <xdr:col>19</xdr:col>
      <xdr:colOff>0</xdr:colOff>
      <xdr:row>21</xdr:row>
      <xdr:rowOff>152400</xdr:rowOff>
    </xdr:to>
    <xdr:grpSp>
      <xdr:nvGrpSpPr>
        <xdr:cNvPr id="205" name="Group 14">
          <a:extLst>
            <a:ext uri="{FF2B5EF4-FFF2-40B4-BE49-F238E27FC236}">
              <a16:creationId xmlns:a16="http://schemas.microsoft.com/office/drawing/2014/main" id="{782E1C60-F6A7-404C-8E8B-E692B283849C}"/>
            </a:ext>
          </a:extLst>
        </xdr:cNvPr>
        <xdr:cNvGrpSpPr>
          <a:grpSpLocks/>
        </xdr:cNvGrpSpPr>
      </xdr:nvGrpSpPr>
      <xdr:grpSpPr bwMode="auto">
        <a:xfrm>
          <a:off x="4143375" y="7562850"/>
          <a:ext cx="1885950" cy="47625"/>
          <a:chOff x="158" y="715"/>
          <a:chExt cx="33" cy="5"/>
        </a:xfrm>
      </xdr:grpSpPr>
      <xdr:sp macro="" textlink="">
        <xdr:nvSpPr>
          <xdr:cNvPr id="206" name="Line 15">
            <a:extLst>
              <a:ext uri="{FF2B5EF4-FFF2-40B4-BE49-F238E27FC236}">
                <a16:creationId xmlns:a16="http://schemas.microsoft.com/office/drawing/2014/main" id="{3D7C67D7-FC7B-4BEC-A9D2-90280FFB6C8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" name="Line 16">
            <a:extLst>
              <a:ext uri="{FF2B5EF4-FFF2-40B4-BE49-F238E27FC236}">
                <a16:creationId xmlns:a16="http://schemas.microsoft.com/office/drawing/2014/main" id="{80217186-926D-4477-8AB8-98E454D9D07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21</xdr:row>
      <xdr:rowOff>95250</xdr:rowOff>
    </xdr:from>
    <xdr:to>
      <xdr:col>9</xdr:col>
      <xdr:colOff>0</xdr:colOff>
      <xdr:row>21</xdr:row>
      <xdr:rowOff>142875</xdr:rowOff>
    </xdr:to>
    <xdr:grpSp>
      <xdr:nvGrpSpPr>
        <xdr:cNvPr id="208" name="Group 155">
          <a:extLst>
            <a:ext uri="{FF2B5EF4-FFF2-40B4-BE49-F238E27FC236}">
              <a16:creationId xmlns:a16="http://schemas.microsoft.com/office/drawing/2014/main" id="{EEC5F9F6-D846-4118-9390-F21A3AE50E90}"/>
            </a:ext>
          </a:extLst>
        </xdr:cNvPr>
        <xdr:cNvGrpSpPr>
          <a:grpSpLocks/>
        </xdr:cNvGrpSpPr>
      </xdr:nvGrpSpPr>
      <xdr:grpSpPr bwMode="auto">
        <a:xfrm>
          <a:off x="1314450" y="7553325"/>
          <a:ext cx="1571625" cy="47625"/>
          <a:chOff x="158" y="715"/>
          <a:chExt cx="33" cy="5"/>
        </a:xfrm>
      </xdr:grpSpPr>
      <xdr:sp macro="" textlink="">
        <xdr:nvSpPr>
          <xdr:cNvPr id="209" name="Line 156">
            <a:extLst>
              <a:ext uri="{FF2B5EF4-FFF2-40B4-BE49-F238E27FC236}">
                <a16:creationId xmlns:a16="http://schemas.microsoft.com/office/drawing/2014/main" id="{8F8729F0-C09F-4070-B4C5-D7E753A40FF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" name="Line 157">
            <a:extLst>
              <a:ext uri="{FF2B5EF4-FFF2-40B4-BE49-F238E27FC236}">
                <a16:creationId xmlns:a16="http://schemas.microsoft.com/office/drawing/2014/main" id="{491EE3A3-8A39-4C9F-8E3F-FB5CE3AE57C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oneCellAnchor>
    <xdr:from>
      <xdr:col>4</xdr:col>
      <xdr:colOff>47625</xdr:colOff>
      <xdr:row>17</xdr:row>
      <xdr:rowOff>523875</xdr:rowOff>
    </xdr:from>
    <xdr:ext cx="361244" cy="150041"/>
    <xdr:sp macro="" textlink="">
      <xdr:nvSpPr>
        <xdr:cNvPr id="211" name="Text Box 140">
          <a:extLst>
            <a:ext uri="{FF2B5EF4-FFF2-40B4-BE49-F238E27FC236}">
              <a16:creationId xmlns:a16="http://schemas.microsoft.com/office/drawing/2014/main" id="{C51B333F-530A-4D56-A3FB-5B5CE837677C}"/>
            </a:ext>
          </a:extLst>
        </xdr:cNvPr>
        <xdr:cNvSpPr txBox="1">
          <a:spLocks noChangeArrowheads="1"/>
        </xdr:cNvSpPr>
      </xdr:nvSpPr>
      <xdr:spPr bwMode="auto">
        <a:xfrm>
          <a:off x="1362075" y="571500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1左矢</a:t>
          </a:r>
        </a:p>
      </xdr:txBody>
    </xdr:sp>
    <xdr:clientData/>
  </xdr:oneCellAnchor>
  <xdr:oneCellAnchor>
    <xdr:from>
      <xdr:col>8</xdr:col>
      <xdr:colOff>9525</xdr:colOff>
      <xdr:row>17</xdr:row>
      <xdr:rowOff>800100</xdr:rowOff>
    </xdr:from>
    <xdr:ext cx="130411" cy="150041"/>
    <xdr:sp macro="" textlink="">
      <xdr:nvSpPr>
        <xdr:cNvPr id="212" name="Text Box 140">
          <a:extLst>
            <a:ext uri="{FF2B5EF4-FFF2-40B4-BE49-F238E27FC236}">
              <a16:creationId xmlns:a16="http://schemas.microsoft.com/office/drawing/2014/main" id="{5AB1B90E-0A57-4CF5-9052-04A2CE59A4BF}"/>
            </a:ext>
          </a:extLst>
        </xdr:cNvPr>
        <xdr:cNvSpPr txBox="1">
          <a:spLocks noChangeArrowheads="1"/>
        </xdr:cNvSpPr>
      </xdr:nvSpPr>
      <xdr:spPr bwMode="auto">
        <a:xfrm>
          <a:off x="2581275" y="5991225"/>
          <a:ext cx="13041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</a:p>
      </xdr:txBody>
    </xdr:sp>
    <xdr:clientData/>
  </xdr:oneCellAnchor>
  <xdr:twoCellAnchor>
    <xdr:from>
      <xdr:col>4</xdr:col>
      <xdr:colOff>0</xdr:colOff>
      <xdr:row>20</xdr:row>
      <xdr:rowOff>28575</xdr:rowOff>
    </xdr:from>
    <xdr:to>
      <xdr:col>8</xdr:col>
      <xdr:colOff>304800</xdr:colOff>
      <xdr:row>20</xdr:row>
      <xdr:rowOff>200025</xdr:rowOff>
    </xdr:to>
    <xdr:grpSp>
      <xdr:nvGrpSpPr>
        <xdr:cNvPr id="213" name="Group 49">
          <a:extLst>
            <a:ext uri="{FF2B5EF4-FFF2-40B4-BE49-F238E27FC236}">
              <a16:creationId xmlns:a16="http://schemas.microsoft.com/office/drawing/2014/main" id="{5E91A87D-374D-49DA-BF79-0DECE990B805}"/>
            </a:ext>
          </a:extLst>
        </xdr:cNvPr>
        <xdr:cNvGrpSpPr>
          <a:grpSpLocks/>
        </xdr:cNvGrpSpPr>
      </xdr:nvGrpSpPr>
      <xdr:grpSpPr bwMode="auto">
        <a:xfrm>
          <a:off x="1314450" y="7258050"/>
          <a:ext cx="1562100" cy="171450"/>
          <a:chOff x="191" y="755"/>
          <a:chExt cx="164" cy="18"/>
        </a:xfrm>
      </xdr:grpSpPr>
      <xdr:sp macro="" textlink="">
        <xdr:nvSpPr>
          <xdr:cNvPr id="214" name="Line 55">
            <a:extLst>
              <a:ext uri="{FF2B5EF4-FFF2-40B4-BE49-F238E27FC236}">
                <a16:creationId xmlns:a16="http://schemas.microsoft.com/office/drawing/2014/main" id="{051B506E-96A5-4EDE-8A33-DB20DCB8FA3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91" y="764"/>
            <a:ext cx="164" cy="1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15" name="Group 50">
            <a:extLst>
              <a:ext uri="{FF2B5EF4-FFF2-40B4-BE49-F238E27FC236}">
                <a16:creationId xmlns:a16="http://schemas.microsoft.com/office/drawing/2014/main" id="{D2AA29D1-BEDF-42DD-A761-E5F70769F0B9}"/>
              </a:ext>
            </a:extLst>
          </xdr:cNvPr>
          <xdr:cNvGrpSpPr>
            <a:grpSpLocks/>
          </xdr:cNvGrpSpPr>
        </xdr:nvGrpSpPr>
        <xdr:grpSpPr bwMode="auto">
          <a:xfrm flipH="1">
            <a:off x="259" y="755"/>
            <a:ext cx="29" cy="18"/>
            <a:chOff x="226" y="755"/>
            <a:chExt cx="29" cy="18"/>
          </a:xfrm>
        </xdr:grpSpPr>
        <xdr:sp macro="" textlink="">
          <xdr:nvSpPr>
            <xdr:cNvPr id="216" name="Oval 51">
              <a:extLst>
                <a:ext uri="{FF2B5EF4-FFF2-40B4-BE49-F238E27FC236}">
                  <a16:creationId xmlns:a16="http://schemas.microsoft.com/office/drawing/2014/main" id="{D7237E00-AAB2-4E74-9DC0-E791A4570AE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6" y="755"/>
              <a:ext cx="29" cy="18"/>
            </a:xfrm>
            <a:prstGeom prst="ellipse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52">
              <a:extLst>
                <a:ext uri="{FF2B5EF4-FFF2-40B4-BE49-F238E27FC236}">
                  <a16:creationId xmlns:a16="http://schemas.microsoft.com/office/drawing/2014/main" id="{ACDE9824-7A03-4D10-B295-4247446C788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31" y="764"/>
              <a:ext cx="18" cy="0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8" name="Freeform 53">
              <a:extLst>
                <a:ext uri="{FF2B5EF4-FFF2-40B4-BE49-F238E27FC236}">
                  <a16:creationId xmlns:a16="http://schemas.microsoft.com/office/drawing/2014/main" id="{CF9A99AC-7471-4250-8D95-472331306399}"/>
                </a:ext>
              </a:extLst>
            </xdr:cNvPr>
            <xdr:cNvSpPr>
              <a:spLocks/>
            </xdr:cNvSpPr>
          </xdr:nvSpPr>
          <xdr:spPr bwMode="auto">
            <a:xfrm>
              <a:off x="240" y="760"/>
              <a:ext cx="11" cy="8"/>
            </a:xfrm>
            <a:custGeom>
              <a:avLst/>
              <a:gdLst>
                <a:gd name="T0" fmla="*/ 0 w 268"/>
                <a:gd name="T1" fmla="*/ 208 h 208"/>
                <a:gd name="T2" fmla="*/ 268 w 268"/>
                <a:gd name="T3" fmla="*/ 107 h 208"/>
                <a:gd name="T4" fmla="*/ 0 w 268"/>
                <a:gd name="T5" fmla="*/ 0 h 20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68" h="208">
                  <a:moveTo>
                    <a:pt x="0" y="208"/>
                  </a:moveTo>
                  <a:lnTo>
                    <a:pt x="268" y="107"/>
                  </a:lnTo>
                  <a:lnTo>
                    <a:pt x="0" y="0"/>
                  </a:lnTo>
                </a:path>
              </a:pathLst>
            </a:custGeom>
            <a:noFill/>
            <a:ln w="1270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oneCellAnchor>
    <xdr:from>
      <xdr:col>20</xdr:col>
      <xdr:colOff>181708</xdr:colOff>
      <xdr:row>17</xdr:row>
      <xdr:rowOff>1106366</xdr:rowOff>
    </xdr:from>
    <xdr:ext cx="1343025" cy="885825"/>
    <xdr:sp macro="" textlink="">
      <xdr:nvSpPr>
        <xdr:cNvPr id="4" name="Text Box 91">
          <a:extLst>
            <a:ext uri="{FF2B5EF4-FFF2-40B4-BE49-F238E27FC236}">
              <a16:creationId xmlns:a16="http://schemas.microsoft.com/office/drawing/2014/main" id="{D3510120-5286-47B6-8253-D0EF72430E90}"/>
            </a:ext>
          </a:extLst>
        </xdr:cNvPr>
        <xdr:cNvSpPr txBox="1">
          <a:spLocks noChangeArrowheads="1"/>
        </xdr:cNvSpPr>
      </xdr:nvSpPr>
      <xdr:spPr bwMode="auto">
        <a:xfrm>
          <a:off x="6525358" y="6297491"/>
          <a:ext cx="1343025" cy="8858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EC6680T+34001001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EC6680T-26338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3</xdr:row>
      <xdr:rowOff>9525</xdr:rowOff>
    </xdr:from>
    <xdr:to>
      <xdr:col>20</xdr:col>
      <xdr:colOff>247650</xdr:colOff>
      <xdr:row>8</xdr:row>
      <xdr:rowOff>190500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163E4F4-0A44-4464-B7D2-6FE5160C7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733425"/>
          <a:ext cx="4905375" cy="297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6ED5414B-0BA1-4AFB-83DF-D473FFC0273D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9</xdr:col>
      <xdr:colOff>9525</xdr:colOff>
      <xdr:row>17</xdr:row>
      <xdr:rowOff>114300</xdr:rowOff>
    </xdr:from>
    <xdr:to>
      <xdr:col>12</xdr:col>
      <xdr:colOff>0</xdr:colOff>
      <xdr:row>17</xdr:row>
      <xdr:rowOff>114300</xdr:rowOff>
    </xdr:to>
    <xdr:sp macro="" textlink="">
      <xdr:nvSpPr>
        <xdr:cNvPr id="2051" name="Line 3">
          <a:extLst>
            <a:ext uri="{FF2B5EF4-FFF2-40B4-BE49-F238E27FC236}">
              <a16:creationId xmlns:a16="http://schemas.microsoft.com/office/drawing/2014/main" id="{0E5BFD2D-972B-46B1-B99E-66724D131EB0}"/>
            </a:ext>
          </a:extLst>
        </xdr:cNvPr>
        <xdr:cNvSpPr>
          <a:spLocks noChangeShapeType="1"/>
        </xdr:cNvSpPr>
      </xdr:nvSpPr>
      <xdr:spPr bwMode="auto">
        <a:xfrm>
          <a:off x="2457450" y="7038975"/>
          <a:ext cx="93345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16</xdr:row>
      <xdr:rowOff>114300</xdr:rowOff>
    </xdr:from>
    <xdr:to>
      <xdr:col>12</xdr:col>
      <xdr:colOff>0</xdr:colOff>
      <xdr:row>16</xdr:row>
      <xdr:rowOff>114300</xdr:rowOff>
    </xdr:to>
    <xdr:sp macro="" textlink="">
      <xdr:nvSpPr>
        <xdr:cNvPr id="2053" name="Line 5">
          <a:extLst>
            <a:ext uri="{FF2B5EF4-FFF2-40B4-BE49-F238E27FC236}">
              <a16:creationId xmlns:a16="http://schemas.microsoft.com/office/drawing/2014/main" id="{F22F1EC2-1C4E-49CF-91CC-342E2D4814A4}"/>
            </a:ext>
          </a:extLst>
        </xdr:cNvPr>
        <xdr:cNvSpPr>
          <a:spLocks noChangeShapeType="1"/>
        </xdr:cNvSpPr>
      </xdr:nvSpPr>
      <xdr:spPr bwMode="auto">
        <a:xfrm>
          <a:off x="2457450" y="6810375"/>
          <a:ext cx="93345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17</xdr:row>
      <xdr:rowOff>47625</xdr:rowOff>
    </xdr:from>
    <xdr:to>
      <xdr:col>12</xdr:col>
      <xdr:colOff>304800</xdr:colOff>
      <xdr:row>17</xdr:row>
      <xdr:rowOff>190500</xdr:rowOff>
    </xdr:to>
    <xdr:sp macro="" textlink="">
      <xdr:nvSpPr>
        <xdr:cNvPr id="2058" name="Freeform 10">
          <a:extLst>
            <a:ext uri="{FF2B5EF4-FFF2-40B4-BE49-F238E27FC236}">
              <a16:creationId xmlns:a16="http://schemas.microsoft.com/office/drawing/2014/main" id="{814E8B7C-E939-407E-B3E3-5126B8FB13FE}"/>
            </a:ext>
          </a:extLst>
        </xdr:cNvPr>
        <xdr:cNvSpPr>
          <a:spLocks/>
        </xdr:cNvSpPr>
      </xdr:nvSpPr>
      <xdr:spPr bwMode="auto">
        <a:xfrm>
          <a:off x="3400425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104775</xdr:rowOff>
    </xdr:from>
    <xdr:to>
      <xdr:col>19</xdr:col>
      <xdr:colOff>0</xdr:colOff>
      <xdr:row>17</xdr:row>
      <xdr:rowOff>152400</xdr:rowOff>
    </xdr:to>
    <xdr:grpSp>
      <xdr:nvGrpSpPr>
        <xdr:cNvPr id="2062" name="Group 14">
          <a:extLst>
            <a:ext uri="{FF2B5EF4-FFF2-40B4-BE49-F238E27FC236}">
              <a16:creationId xmlns:a16="http://schemas.microsoft.com/office/drawing/2014/main" id="{38DDBDCD-1235-4D7C-AA9A-F862956D8DDD}"/>
            </a:ext>
          </a:extLst>
        </xdr:cNvPr>
        <xdr:cNvGrpSpPr>
          <a:grpSpLocks/>
        </xdr:cNvGrpSpPr>
      </xdr:nvGrpSpPr>
      <xdr:grpSpPr bwMode="auto">
        <a:xfrm>
          <a:off x="3705225" y="7029450"/>
          <a:ext cx="1885950" cy="47625"/>
          <a:chOff x="158" y="715"/>
          <a:chExt cx="33" cy="5"/>
        </a:xfrm>
      </xdr:grpSpPr>
      <xdr:sp macro="" textlink="">
        <xdr:nvSpPr>
          <xdr:cNvPr id="2063" name="Line 15">
            <a:extLst>
              <a:ext uri="{FF2B5EF4-FFF2-40B4-BE49-F238E27FC236}">
                <a16:creationId xmlns:a16="http://schemas.microsoft.com/office/drawing/2014/main" id="{D7A16FFC-811F-41F1-BCA7-0B1B9F3F7CB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4" name="Line 16">
            <a:extLst>
              <a:ext uri="{FF2B5EF4-FFF2-40B4-BE49-F238E27FC236}">
                <a16:creationId xmlns:a16="http://schemas.microsoft.com/office/drawing/2014/main" id="{199B0097-2A7A-40CE-9276-DC257F84893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0</xdr:colOff>
      <xdr:row>21</xdr:row>
      <xdr:rowOff>95250</xdr:rowOff>
    </xdr:from>
    <xdr:to>
      <xdr:col>19</xdr:col>
      <xdr:colOff>0</xdr:colOff>
      <xdr:row>21</xdr:row>
      <xdr:rowOff>142875</xdr:rowOff>
    </xdr:to>
    <xdr:grpSp>
      <xdr:nvGrpSpPr>
        <xdr:cNvPr id="2065" name="Group 17">
          <a:extLst>
            <a:ext uri="{FF2B5EF4-FFF2-40B4-BE49-F238E27FC236}">
              <a16:creationId xmlns:a16="http://schemas.microsoft.com/office/drawing/2014/main" id="{7826AD18-91E6-46FC-B26A-56B93C5B77C5}"/>
            </a:ext>
          </a:extLst>
        </xdr:cNvPr>
        <xdr:cNvGrpSpPr>
          <a:grpSpLocks/>
        </xdr:cNvGrpSpPr>
      </xdr:nvGrpSpPr>
      <xdr:grpSpPr bwMode="auto">
        <a:xfrm>
          <a:off x="4648200" y="7934325"/>
          <a:ext cx="942975" cy="47625"/>
          <a:chOff x="158" y="715"/>
          <a:chExt cx="33" cy="5"/>
        </a:xfrm>
      </xdr:grpSpPr>
      <xdr:sp macro="" textlink="">
        <xdr:nvSpPr>
          <xdr:cNvPr id="2066" name="Line 18">
            <a:extLst>
              <a:ext uri="{FF2B5EF4-FFF2-40B4-BE49-F238E27FC236}">
                <a16:creationId xmlns:a16="http://schemas.microsoft.com/office/drawing/2014/main" id="{37C6303B-A4B6-4442-95C7-703293209E1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7" name="Line 19">
            <a:extLst>
              <a:ext uri="{FF2B5EF4-FFF2-40B4-BE49-F238E27FC236}">
                <a16:creationId xmlns:a16="http://schemas.microsoft.com/office/drawing/2014/main" id="{FFED3497-2942-44D3-A72A-4747A80350C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21</xdr:row>
      <xdr:rowOff>95250</xdr:rowOff>
    </xdr:from>
    <xdr:to>
      <xdr:col>14</xdr:col>
      <xdr:colOff>0</xdr:colOff>
      <xdr:row>21</xdr:row>
      <xdr:rowOff>142875</xdr:rowOff>
    </xdr:to>
    <xdr:grpSp>
      <xdr:nvGrpSpPr>
        <xdr:cNvPr id="2068" name="Group 20">
          <a:extLst>
            <a:ext uri="{FF2B5EF4-FFF2-40B4-BE49-F238E27FC236}">
              <a16:creationId xmlns:a16="http://schemas.microsoft.com/office/drawing/2014/main" id="{C0814E94-9FBC-4B02-9490-3426508F7DFA}"/>
            </a:ext>
          </a:extLst>
        </xdr:cNvPr>
        <xdr:cNvGrpSpPr>
          <a:grpSpLocks/>
        </xdr:cNvGrpSpPr>
      </xdr:nvGrpSpPr>
      <xdr:grpSpPr bwMode="auto">
        <a:xfrm>
          <a:off x="876300" y="7934325"/>
          <a:ext cx="3143250" cy="47625"/>
          <a:chOff x="158" y="715"/>
          <a:chExt cx="33" cy="5"/>
        </a:xfrm>
      </xdr:grpSpPr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84C7014E-679B-4F85-9719-AD93AC92712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0" name="Line 22">
            <a:extLst>
              <a:ext uri="{FF2B5EF4-FFF2-40B4-BE49-F238E27FC236}">
                <a16:creationId xmlns:a16="http://schemas.microsoft.com/office/drawing/2014/main" id="{434E97E6-E1ED-48B7-8A5F-3147CE776C7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47625</xdr:colOff>
      <xdr:row>21</xdr:row>
      <xdr:rowOff>38100</xdr:rowOff>
    </xdr:from>
    <xdr:to>
      <xdr:col>15</xdr:col>
      <xdr:colOff>266700</xdr:colOff>
      <xdr:row>21</xdr:row>
      <xdr:rowOff>190500</xdr:rowOff>
    </xdr:to>
    <xdr:grpSp>
      <xdr:nvGrpSpPr>
        <xdr:cNvPr id="2071" name="Group 23">
          <a:extLst>
            <a:ext uri="{FF2B5EF4-FFF2-40B4-BE49-F238E27FC236}">
              <a16:creationId xmlns:a16="http://schemas.microsoft.com/office/drawing/2014/main" id="{E37E1F64-E8BB-4982-B8FC-469152A062D6}"/>
            </a:ext>
          </a:extLst>
        </xdr:cNvPr>
        <xdr:cNvGrpSpPr>
          <a:grpSpLocks/>
        </xdr:cNvGrpSpPr>
      </xdr:nvGrpSpPr>
      <xdr:grpSpPr bwMode="auto">
        <a:xfrm>
          <a:off x="4381500" y="7877175"/>
          <a:ext cx="219075" cy="152400"/>
          <a:chOff x="132" y="708"/>
          <a:chExt cx="20" cy="14"/>
        </a:xfrm>
      </xdr:grpSpPr>
      <xdr:sp macro="" textlink="">
        <xdr:nvSpPr>
          <xdr:cNvPr id="2072" name="Line 24">
            <a:extLst>
              <a:ext uri="{FF2B5EF4-FFF2-40B4-BE49-F238E27FC236}">
                <a16:creationId xmlns:a16="http://schemas.microsoft.com/office/drawing/2014/main" id="{9AB070BB-9F41-4191-9924-4B9A6F0C2624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3" name="Line 25">
            <a:extLst>
              <a:ext uri="{FF2B5EF4-FFF2-40B4-BE49-F238E27FC236}">
                <a16:creationId xmlns:a16="http://schemas.microsoft.com/office/drawing/2014/main" id="{02674E0D-661C-4C77-9EC2-85AAE21A4BE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4" name="Line 26">
            <a:extLst>
              <a:ext uri="{FF2B5EF4-FFF2-40B4-BE49-F238E27FC236}">
                <a16:creationId xmlns:a16="http://schemas.microsoft.com/office/drawing/2014/main" id="{89B1940D-4820-408E-A722-6D2CAB54A29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5" name="Line 27">
            <a:extLst>
              <a:ext uri="{FF2B5EF4-FFF2-40B4-BE49-F238E27FC236}">
                <a16:creationId xmlns:a16="http://schemas.microsoft.com/office/drawing/2014/main" id="{DAB99600-7F49-44DD-8D48-44AFB837ABFE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21</xdr:row>
      <xdr:rowOff>114300</xdr:rowOff>
    </xdr:from>
    <xdr:to>
      <xdr:col>15</xdr:col>
      <xdr:colOff>0</xdr:colOff>
      <xdr:row>21</xdr:row>
      <xdr:rowOff>114300</xdr:rowOff>
    </xdr:to>
    <xdr:sp macro="" textlink="">
      <xdr:nvSpPr>
        <xdr:cNvPr id="2076" name="Line 28">
          <a:extLst>
            <a:ext uri="{FF2B5EF4-FFF2-40B4-BE49-F238E27FC236}">
              <a16:creationId xmlns:a16="http://schemas.microsoft.com/office/drawing/2014/main" id="{1298F2B9-302D-4D34-A3D0-8F0E88061564}"/>
            </a:ext>
          </a:extLst>
        </xdr:cNvPr>
        <xdr:cNvSpPr>
          <a:spLocks noChangeShapeType="1"/>
        </xdr:cNvSpPr>
      </xdr:nvSpPr>
      <xdr:spPr bwMode="auto">
        <a:xfrm>
          <a:off x="4019550" y="79533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19050</xdr:colOff>
      <xdr:row>20</xdr:row>
      <xdr:rowOff>47625</xdr:rowOff>
    </xdr:from>
    <xdr:to>
      <xdr:col>8</xdr:col>
      <xdr:colOff>0</xdr:colOff>
      <xdr:row>20</xdr:row>
      <xdr:rowOff>190500</xdr:rowOff>
    </xdr:to>
    <xdr:sp macro="" textlink="">
      <xdr:nvSpPr>
        <xdr:cNvPr id="2080" name="Freeform 32">
          <a:extLst>
            <a:ext uri="{FF2B5EF4-FFF2-40B4-BE49-F238E27FC236}">
              <a16:creationId xmlns:a16="http://schemas.microsoft.com/office/drawing/2014/main" id="{DFD351BF-1798-46C1-86A9-68F370DF128D}"/>
            </a:ext>
          </a:extLst>
        </xdr:cNvPr>
        <xdr:cNvSpPr>
          <a:spLocks/>
        </xdr:cNvSpPr>
      </xdr:nvSpPr>
      <xdr:spPr bwMode="auto">
        <a:xfrm>
          <a:off x="1838325" y="76581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9525</xdr:colOff>
      <xdr:row>20</xdr:row>
      <xdr:rowOff>95250</xdr:rowOff>
    </xdr:from>
    <xdr:to>
      <xdr:col>19</xdr:col>
      <xdr:colOff>0</xdr:colOff>
      <xdr:row>20</xdr:row>
      <xdr:rowOff>152400</xdr:rowOff>
    </xdr:to>
    <xdr:grpSp>
      <xdr:nvGrpSpPr>
        <xdr:cNvPr id="2081" name="Group 33">
          <a:extLst>
            <a:ext uri="{FF2B5EF4-FFF2-40B4-BE49-F238E27FC236}">
              <a16:creationId xmlns:a16="http://schemas.microsoft.com/office/drawing/2014/main" id="{12A73D99-A8FE-44E5-B40F-ECB33A2014CC}"/>
            </a:ext>
          </a:extLst>
        </xdr:cNvPr>
        <xdr:cNvGrpSpPr>
          <a:grpSpLocks/>
        </xdr:cNvGrpSpPr>
      </xdr:nvGrpSpPr>
      <xdr:grpSpPr bwMode="auto">
        <a:xfrm>
          <a:off x="2143125" y="7705725"/>
          <a:ext cx="3448050" cy="57150"/>
          <a:chOff x="158" y="715"/>
          <a:chExt cx="33" cy="5"/>
        </a:xfrm>
      </xdr:grpSpPr>
      <xdr:sp macro="" textlink="">
        <xdr:nvSpPr>
          <xdr:cNvPr id="2082" name="Line 34">
            <a:extLst>
              <a:ext uri="{FF2B5EF4-FFF2-40B4-BE49-F238E27FC236}">
                <a16:creationId xmlns:a16="http://schemas.microsoft.com/office/drawing/2014/main" id="{BEE669EB-B48A-481B-B853-E041559CC92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3" name="Line 35">
            <a:extLst>
              <a:ext uri="{FF2B5EF4-FFF2-40B4-BE49-F238E27FC236}">
                <a16:creationId xmlns:a16="http://schemas.microsoft.com/office/drawing/2014/main" id="{60ED2E57-1B76-4701-9BFD-D1D9DA14DE4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20</xdr:row>
      <xdr:rowOff>114300</xdr:rowOff>
    </xdr:from>
    <xdr:to>
      <xdr:col>7</xdr:col>
      <xdr:colOff>9525</xdr:colOff>
      <xdr:row>20</xdr:row>
      <xdr:rowOff>114300</xdr:rowOff>
    </xdr:to>
    <xdr:sp macro="" textlink="">
      <xdr:nvSpPr>
        <xdr:cNvPr id="2084" name="Line 36">
          <a:extLst>
            <a:ext uri="{FF2B5EF4-FFF2-40B4-BE49-F238E27FC236}">
              <a16:creationId xmlns:a16="http://schemas.microsoft.com/office/drawing/2014/main" id="{801FB95C-391F-4BDE-8E31-D45A12B4BB60}"/>
            </a:ext>
          </a:extLst>
        </xdr:cNvPr>
        <xdr:cNvSpPr>
          <a:spLocks noChangeShapeType="1"/>
        </xdr:cNvSpPr>
      </xdr:nvSpPr>
      <xdr:spPr bwMode="auto">
        <a:xfrm>
          <a:off x="885825" y="77247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57150</xdr:colOff>
      <xdr:row>19</xdr:row>
      <xdr:rowOff>38100</xdr:rowOff>
    </xdr:from>
    <xdr:to>
      <xdr:col>5</xdr:col>
      <xdr:colOff>276225</xdr:colOff>
      <xdr:row>19</xdr:row>
      <xdr:rowOff>190500</xdr:rowOff>
    </xdr:to>
    <xdr:grpSp>
      <xdr:nvGrpSpPr>
        <xdr:cNvPr id="2088" name="Group 40">
          <a:extLst>
            <a:ext uri="{FF2B5EF4-FFF2-40B4-BE49-F238E27FC236}">
              <a16:creationId xmlns:a16="http://schemas.microsoft.com/office/drawing/2014/main" id="{9B97B7E6-9EA9-4657-A9DF-CB8FE298B9CB}"/>
            </a:ext>
          </a:extLst>
        </xdr:cNvPr>
        <xdr:cNvGrpSpPr>
          <a:grpSpLocks/>
        </xdr:cNvGrpSpPr>
      </xdr:nvGrpSpPr>
      <xdr:grpSpPr bwMode="auto">
        <a:xfrm>
          <a:off x="1247775" y="7419975"/>
          <a:ext cx="219075" cy="152400"/>
          <a:chOff x="132" y="708"/>
          <a:chExt cx="20" cy="14"/>
        </a:xfrm>
      </xdr:grpSpPr>
      <xdr:sp macro="" textlink="">
        <xdr:nvSpPr>
          <xdr:cNvPr id="2089" name="Line 41">
            <a:extLst>
              <a:ext uri="{FF2B5EF4-FFF2-40B4-BE49-F238E27FC236}">
                <a16:creationId xmlns:a16="http://schemas.microsoft.com/office/drawing/2014/main" id="{1319A7E5-B419-493A-A508-AE11ACCE621A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0" name="Line 42">
            <a:extLst>
              <a:ext uri="{FF2B5EF4-FFF2-40B4-BE49-F238E27FC236}">
                <a16:creationId xmlns:a16="http://schemas.microsoft.com/office/drawing/2014/main" id="{46368AD1-C250-420B-A464-8EB7B87561D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1" name="Line 43">
            <a:extLst>
              <a:ext uri="{FF2B5EF4-FFF2-40B4-BE49-F238E27FC236}">
                <a16:creationId xmlns:a16="http://schemas.microsoft.com/office/drawing/2014/main" id="{D2366771-72E4-48F1-BA52-CCE241AA0F4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2" name="Line 44">
            <a:extLst>
              <a:ext uri="{FF2B5EF4-FFF2-40B4-BE49-F238E27FC236}">
                <a16:creationId xmlns:a16="http://schemas.microsoft.com/office/drawing/2014/main" id="{A789765D-EE27-4F5A-93A0-B0021AD741BF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9525</xdr:colOff>
      <xdr:row>19</xdr:row>
      <xdr:rowOff>95250</xdr:rowOff>
    </xdr:from>
    <xdr:to>
      <xdr:col>19</xdr:col>
      <xdr:colOff>0</xdr:colOff>
      <xdr:row>19</xdr:row>
      <xdr:rowOff>142875</xdr:rowOff>
    </xdr:to>
    <xdr:grpSp>
      <xdr:nvGrpSpPr>
        <xdr:cNvPr id="2093" name="Group 45">
          <a:extLst>
            <a:ext uri="{FF2B5EF4-FFF2-40B4-BE49-F238E27FC236}">
              <a16:creationId xmlns:a16="http://schemas.microsoft.com/office/drawing/2014/main" id="{4AFDCE4C-4233-4193-B55C-592761A316A4}"/>
            </a:ext>
          </a:extLst>
        </xdr:cNvPr>
        <xdr:cNvGrpSpPr>
          <a:grpSpLocks/>
        </xdr:cNvGrpSpPr>
      </xdr:nvGrpSpPr>
      <xdr:grpSpPr bwMode="auto">
        <a:xfrm>
          <a:off x="1514475" y="7477125"/>
          <a:ext cx="4076700" cy="47625"/>
          <a:chOff x="158" y="715"/>
          <a:chExt cx="33" cy="5"/>
        </a:xfrm>
      </xdr:grpSpPr>
      <xdr:sp macro="" textlink="">
        <xdr:nvSpPr>
          <xdr:cNvPr id="2094" name="Line 46">
            <a:extLst>
              <a:ext uri="{FF2B5EF4-FFF2-40B4-BE49-F238E27FC236}">
                <a16:creationId xmlns:a16="http://schemas.microsoft.com/office/drawing/2014/main" id="{D5FFB909-CE6E-4527-A3B1-1C615D00F17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5" name="Line 47">
            <a:extLst>
              <a:ext uri="{FF2B5EF4-FFF2-40B4-BE49-F238E27FC236}">
                <a16:creationId xmlns:a16="http://schemas.microsoft.com/office/drawing/2014/main" id="{4F4396A1-1E49-44C3-BA8A-84CFA140163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19</xdr:row>
      <xdr:rowOff>114300</xdr:rowOff>
    </xdr:from>
    <xdr:to>
      <xdr:col>5</xdr:col>
      <xdr:colOff>9525</xdr:colOff>
      <xdr:row>19</xdr:row>
      <xdr:rowOff>114300</xdr:rowOff>
    </xdr:to>
    <xdr:sp macro="" textlink="">
      <xdr:nvSpPr>
        <xdr:cNvPr id="2096" name="Line 48">
          <a:extLst>
            <a:ext uri="{FF2B5EF4-FFF2-40B4-BE49-F238E27FC236}">
              <a16:creationId xmlns:a16="http://schemas.microsoft.com/office/drawing/2014/main" id="{AE07D4FD-4120-4B0B-AC72-FD16908AB003}"/>
            </a:ext>
          </a:extLst>
        </xdr:cNvPr>
        <xdr:cNvSpPr>
          <a:spLocks noChangeShapeType="1"/>
        </xdr:cNvSpPr>
      </xdr:nvSpPr>
      <xdr:spPr bwMode="auto">
        <a:xfrm>
          <a:off x="885825" y="74961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18</xdr:row>
      <xdr:rowOff>28575</xdr:rowOff>
    </xdr:from>
    <xdr:to>
      <xdr:col>9</xdr:col>
      <xdr:colOff>0</xdr:colOff>
      <xdr:row>18</xdr:row>
      <xdr:rowOff>200025</xdr:rowOff>
    </xdr:to>
    <xdr:grpSp>
      <xdr:nvGrpSpPr>
        <xdr:cNvPr id="2097" name="Group 49">
          <a:extLst>
            <a:ext uri="{FF2B5EF4-FFF2-40B4-BE49-F238E27FC236}">
              <a16:creationId xmlns:a16="http://schemas.microsoft.com/office/drawing/2014/main" id="{68A622E9-9A6B-4265-9E6D-213E261D9B6B}"/>
            </a:ext>
          </a:extLst>
        </xdr:cNvPr>
        <xdr:cNvGrpSpPr>
          <a:grpSpLocks/>
        </xdr:cNvGrpSpPr>
      </xdr:nvGrpSpPr>
      <xdr:grpSpPr bwMode="auto">
        <a:xfrm>
          <a:off x="876300" y="7181850"/>
          <a:ext cx="1571625" cy="171450"/>
          <a:chOff x="191" y="755"/>
          <a:chExt cx="165" cy="18"/>
        </a:xfrm>
      </xdr:grpSpPr>
      <xdr:grpSp>
        <xdr:nvGrpSpPr>
          <xdr:cNvPr id="2098" name="Group 50">
            <a:extLst>
              <a:ext uri="{FF2B5EF4-FFF2-40B4-BE49-F238E27FC236}">
                <a16:creationId xmlns:a16="http://schemas.microsoft.com/office/drawing/2014/main" id="{BDEDCC8A-8A74-42F0-AD03-5F81BD358EEB}"/>
              </a:ext>
            </a:extLst>
          </xdr:cNvPr>
          <xdr:cNvGrpSpPr>
            <a:grpSpLocks/>
          </xdr:cNvGrpSpPr>
        </xdr:nvGrpSpPr>
        <xdr:grpSpPr bwMode="auto">
          <a:xfrm flipH="1">
            <a:off x="259" y="755"/>
            <a:ext cx="29" cy="18"/>
            <a:chOff x="226" y="755"/>
            <a:chExt cx="29" cy="18"/>
          </a:xfrm>
        </xdr:grpSpPr>
        <xdr:sp macro="" textlink="">
          <xdr:nvSpPr>
            <xdr:cNvPr id="2099" name="Oval 51">
              <a:extLst>
                <a:ext uri="{FF2B5EF4-FFF2-40B4-BE49-F238E27FC236}">
                  <a16:creationId xmlns:a16="http://schemas.microsoft.com/office/drawing/2014/main" id="{19CDE9BA-3685-4B45-91E5-9E4B45F73EA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6" y="755"/>
              <a:ext cx="29" cy="18"/>
            </a:xfrm>
            <a:prstGeom prst="ellips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00" name="Line 52">
              <a:extLst>
                <a:ext uri="{FF2B5EF4-FFF2-40B4-BE49-F238E27FC236}">
                  <a16:creationId xmlns:a16="http://schemas.microsoft.com/office/drawing/2014/main" id="{A13C25F4-0FB2-4566-A696-CEAFCC11F0B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31" y="764"/>
              <a:ext cx="18" cy="0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01" name="Freeform 53">
              <a:extLst>
                <a:ext uri="{FF2B5EF4-FFF2-40B4-BE49-F238E27FC236}">
                  <a16:creationId xmlns:a16="http://schemas.microsoft.com/office/drawing/2014/main" id="{A8B5A4BD-F8E1-4552-B302-48E15B6DE1A6}"/>
                </a:ext>
              </a:extLst>
            </xdr:cNvPr>
            <xdr:cNvSpPr>
              <a:spLocks/>
            </xdr:cNvSpPr>
          </xdr:nvSpPr>
          <xdr:spPr bwMode="auto">
            <a:xfrm>
              <a:off x="240" y="760"/>
              <a:ext cx="11" cy="8"/>
            </a:xfrm>
            <a:custGeom>
              <a:avLst/>
              <a:gdLst>
                <a:gd name="T0" fmla="*/ 0 w 268"/>
                <a:gd name="T1" fmla="*/ 208 h 208"/>
                <a:gd name="T2" fmla="*/ 268 w 268"/>
                <a:gd name="T3" fmla="*/ 107 h 208"/>
                <a:gd name="T4" fmla="*/ 0 w 268"/>
                <a:gd name="T5" fmla="*/ 0 h 20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68" h="208">
                  <a:moveTo>
                    <a:pt x="0" y="208"/>
                  </a:moveTo>
                  <a:lnTo>
                    <a:pt x="268" y="107"/>
                  </a:lnTo>
                  <a:lnTo>
                    <a:pt x="0" y="0"/>
                  </a:lnTo>
                </a:path>
              </a:pathLst>
            </a:custGeom>
            <a:noFill/>
            <a:ln w="1270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2102" name="Line 54">
            <a:extLst>
              <a:ext uri="{FF2B5EF4-FFF2-40B4-BE49-F238E27FC236}">
                <a16:creationId xmlns:a16="http://schemas.microsoft.com/office/drawing/2014/main" id="{BD2C74E7-86F4-4BFC-BADB-9D974D22B080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64"/>
            <a:ext cx="6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3" name="Line 55">
            <a:extLst>
              <a:ext uri="{FF2B5EF4-FFF2-40B4-BE49-F238E27FC236}">
                <a16:creationId xmlns:a16="http://schemas.microsoft.com/office/drawing/2014/main" id="{4C7D0F8E-195D-41CC-87F0-CA0C5D1C4AFF}"/>
              </a:ext>
            </a:extLst>
          </xdr:cNvPr>
          <xdr:cNvSpPr>
            <a:spLocks noChangeShapeType="1"/>
          </xdr:cNvSpPr>
        </xdr:nvSpPr>
        <xdr:spPr bwMode="auto">
          <a:xfrm flipH="1">
            <a:off x="191" y="764"/>
            <a:ext cx="6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22</xdr:row>
      <xdr:rowOff>95250</xdr:rowOff>
    </xdr:from>
    <xdr:to>
      <xdr:col>14</xdr:col>
      <xdr:colOff>0</xdr:colOff>
      <xdr:row>22</xdr:row>
      <xdr:rowOff>142875</xdr:rowOff>
    </xdr:to>
    <xdr:grpSp>
      <xdr:nvGrpSpPr>
        <xdr:cNvPr id="2104" name="Group 56">
          <a:extLst>
            <a:ext uri="{FF2B5EF4-FFF2-40B4-BE49-F238E27FC236}">
              <a16:creationId xmlns:a16="http://schemas.microsoft.com/office/drawing/2014/main" id="{09DE388A-0FCD-4AB3-B3BC-A65565DFA828}"/>
            </a:ext>
          </a:extLst>
        </xdr:cNvPr>
        <xdr:cNvGrpSpPr>
          <a:grpSpLocks/>
        </xdr:cNvGrpSpPr>
      </xdr:nvGrpSpPr>
      <xdr:grpSpPr bwMode="auto">
        <a:xfrm>
          <a:off x="876300" y="8162925"/>
          <a:ext cx="3143250" cy="47625"/>
          <a:chOff x="158" y="715"/>
          <a:chExt cx="33" cy="5"/>
        </a:xfrm>
      </xdr:grpSpPr>
      <xdr:sp macro="" textlink="">
        <xdr:nvSpPr>
          <xdr:cNvPr id="2105" name="Line 57">
            <a:extLst>
              <a:ext uri="{FF2B5EF4-FFF2-40B4-BE49-F238E27FC236}">
                <a16:creationId xmlns:a16="http://schemas.microsoft.com/office/drawing/2014/main" id="{D0A31058-B46F-493E-BA99-3BCF137657B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6" name="Line 58">
            <a:extLst>
              <a:ext uri="{FF2B5EF4-FFF2-40B4-BE49-F238E27FC236}">
                <a16:creationId xmlns:a16="http://schemas.microsoft.com/office/drawing/2014/main" id="{85FFA6C9-AB59-4393-9E23-0203AE45166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9525</xdr:colOff>
      <xdr:row>22</xdr:row>
      <xdr:rowOff>47625</xdr:rowOff>
    </xdr:from>
    <xdr:to>
      <xdr:col>17</xdr:col>
      <xdr:colOff>304800</xdr:colOff>
      <xdr:row>22</xdr:row>
      <xdr:rowOff>190500</xdr:rowOff>
    </xdr:to>
    <xdr:sp macro="" textlink="">
      <xdr:nvSpPr>
        <xdr:cNvPr id="2107" name="Freeform 59">
          <a:extLst>
            <a:ext uri="{FF2B5EF4-FFF2-40B4-BE49-F238E27FC236}">
              <a16:creationId xmlns:a16="http://schemas.microsoft.com/office/drawing/2014/main" id="{771604C7-C2DE-47FC-95F8-2E3FDF5C8911}"/>
            </a:ext>
          </a:extLst>
        </xdr:cNvPr>
        <xdr:cNvSpPr>
          <a:spLocks/>
        </xdr:cNvSpPr>
      </xdr:nvSpPr>
      <xdr:spPr bwMode="auto">
        <a:xfrm>
          <a:off x="4972050" y="8115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22</xdr:row>
      <xdr:rowOff>114300</xdr:rowOff>
    </xdr:from>
    <xdr:to>
      <xdr:col>17</xdr:col>
      <xdr:colOff>0</xdr:colOff>
      <xdr:row>22</xdr:row>
      <xdr:rowOff>114300</xdr:rowOff>
    </xdr:to>
    <xdr:sp macro="" textlink="">
      <xdr:nvSpPr>
        <xdr:cNvPr id="2108" name="Line 60">
          <a:extLst>
            <a:ext uri="{FF2B5EF4-FFF2-40B4-BE49-F238E27FC236}">
              <a16:creationId xmlns:a16="http://schemas.microsoft.com/office/drawing/2014/main" id="{D1B8757C-05B2-4735-AD54-A96BD1786332}"/>
            </a:ext>
          </a:extLst>
        </xdr:cNvPr>
        <xdr:cNvSpPr>
          <a:spLocks noChangeShapeType="1"/>
        </xdr:cNvSpPr>
      </xdr:nvSpPr>
      <xdr:spPr bwMode="auto">
        <a:xfrm>
          <a:off x="4019550" y="81819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22</xdr:row>
      <xdr:rowOff>95250</xdr:rowOff>
    </xdr:from>
    <xdr:to>
      <xdr:col>19</xdr:col>
      <xdr:colOff>0</xdr:colOff>
      <xdr:row>22</xdr:row>
      <xdr:rowOff>142875</xdr:rowOff>
    </xdr:to>
    <xdr:grpSp>
      <xdr:nvGrpSpPr>
        <xdr:cNvPr id="2109" name="Group 61">
          <a:extLst>
            <a:ext uri="{FF2B5EF4-FFF2-40B4-BE49-F238E27FC236}">
              <a16:creationId xmlns:a16="http://schemas.microsoft.com/office/drawing/2014/main" id="{5FA3F77A-7B11-41F6-A528-338575032229}"/>
            </a:ext>
          </a:extLst>
        </xdr:cNvPr>
        <xdr:cNvGrpSpPr>
          <a:grpSpLocks/>
        </xdr:cNvGrpSpPr>
      </xdr:nvGrpSpPr>
      <xdr:grpSpPr bwMode="auto">
        <a:xfrm>
          <a:off x="5276850" y="8162925"/>
          <a:ext cx="314325" cy="47625"/>
          <a:chOff x="158" y="715"/>
          <a:chExt cx="33" cy="5"/>
        </a:xfrm>
      </xdr:grpSpPr>
      <xdr:sp macro="" textlink="">
        <xdr:nvSpPr>
          <xdr:cNvPr id="2110" name="Line 62">
            <a:extLst>
              <a:ext uri="{FF2B5EF4-FFF2-40B4-BE49-F238E27FC236}">
                <a16:creationId xmlns:a16="http://schemas.microsoft.com/office/drawing/2014/main" id="{58E8C2FF-537B-4CF9-850E-F0738F2D455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1" name="Line 63">
            <a:extLst>
              <a:ext uri="{FF2B5EF4-FFF2-40B4-BE49-F238E27FC236}">
                <a16:creationId xmlns:a16="http://schemas.microsoft.com/office/drawing/2014/main" id="{1326120A-42EE-4EBE-BEB3-5A6B26FB093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295275</xdr:colOff>
      <xdr:row>15</xdr:row>
      <xdr:rowOff>476250</xdr:rowOff>
    </xdr:from>
    <xdr:to>
      <xdr:col>13</xdr:col>
      <xdr:colOff>38100</xdr:colOff>
      <xdr:row>15</xdr:row>
      <xdr:rowOff>781050</xdr:rowOff>
    </xdr:to>
    <xdr:grpSp>
      <xdr:nvGrpSpPr>
        <xdr:cNvPr id="2112" name="Group 64">
          <a:extLst>
            <a:ext uri="{FF2B5EF4-FFF2-40B4-BE49-F238E27FC236}">
              <a16:creationId xmlns:a16="http://schemas.microsoft.com/office/drawing/2014/main" id="{317BCBF2-CEA7-4873-990C-1B6511A7887D}"/>
            </a:ext>
          </a:extLst>
        </xdr:cNvPr>
        <xdr:cNvGrpSpPr>
          <a:grpSpLocks/>
        </xdr:cNvGrpSpPr>
      </xdr:nvGrpSpPr>
      <xdr:grpSpPr bwMode="auto">
        <a:xfrm>
          <a:off x="2743200" y="5591175"/>
          <a:ext cx="1000125" cy="304800"/>
          <a:chOff x="122" y="589"/>
          <a:chExt cx="105" cy="32"/>
        </a:xfrm>
      </xdr:grpSpPr>
      <xdr:sp macro="" textlink="">
        <xdr:nvSpPr>
          <xdr:cNvPr id="2113" name="Line 65">
            <a:extLst>
              <a:ext uri="{FF2B5EF4-FFF2-40B4-BE49-F238E27FC236}">
                <a16:creationId xmlns:a16="http://schemas.microsoft.com/office/drawing/2014/main" id="{65E7DF8E-477C-4F5A-8A54-FE88D8AAA411}"/>
              </a:ext>
            </a:extLst>
          </xdr:cNvPr>
          <xdr:cNvSpPr>
            <a:spLocks noChangeShapeType="1"/>
          </xdr:cNvSpPr>
        </xdr:nvSpPr>
        <xdr:spPr bwMode="auto">
          <a:xfrm>
            <a:off x="122" y="605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4" name="Freeform 66">
            <a:extLst>
              <a:ext uri="{FF2B5EF4-FFF2-40B4-BE49-F238E27FC236}">
                <a16:creationId xmlns:a16="http://schemas.microsoft.com/office/drawing/2014/main" id="{B103C24B-B915-469E-A58F-5BA06F7F779F}"/>
              </a:ext>
            </a:extLst>
          </xdr:cNvPr>
          <xdr:cNvSpPr>
            <a:spLocks/>
          </xdr:cNvSpPr>
        </xdr:nvSpPr>
        <xdr:spPr bwMode="auto">
          <a:xfrm>
            <a:off x="220" y="602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15" name="Freeform 67">
            <a:extLst>
              <a:ext uri="{FF2B5EF4-FFF2-40B4-BE49-F238E27FC236}">
                <a16:creationId xmlns:a16="http://schemas.microsoft.com/office/drawing/2014/main" id="{09DA18F8-0AC4-49F2-A917-E58C68CA1A22}"/>
              </a:ext>
            </a:extLst>
          </xdr:cNvPr>
          <xdr:cNvSpPr>
            <a:spLocks/>
          </xdr:cNvSpPr>
        </xdr:nvSpPr>
        <xdr:spPr bwMode="auto">
          <a:xfrm>
            <a:off x="146" y="597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16" name="Line 68">
            <a:extLst>
              <a:ext uri="{FF2B5EF4-FFF2-40B4-BE49-F238E27FC236}">
                <a16:creationId xmlns:a16="http://schemas.microsoft.com/office/drawing/2014/main" id="{B46ECCBB-0BD3-487C-BA2D-C8FE13B21452}"/>
              </a:ext>
            </a:extLst>
          </xdr:cNvPr>
          <xdr:cNvSpPr>
            <a:spLocks noChangeShapeType="1"/>
          </xdr:cNvSpPr>
        </xdr:nvSpPr>
        <xdr:spPr bwMode="auto">
          <a:xfrm flipV="1">
            <a:off x="153" y="58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7" name="Freeform 69">
            <a:extLst>
              <a:ext uri="{FF2B5EF4-FFF2-40B4-BE49-F238E27FC236}">
                <a16:creationId xmlns:a16="http://schemas.microsoft.com/office/drawing/2014/main" id="{F7C5F4B6-F322-4937-88C1-A258C45AC3BD}"/>
              </a:ext>
            </a:extLst>
          </xdr:cNvPr>
          <xdr:cNvSpPr>
            <a:spLocks/>
          </xdr:cNvSpPr>
        </xdr:nvSpPr>
        <xdr:spPr bwMode="auto">
          <a:xfrm>
            <a:off x="149" y="589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18" name="Freeform 70">
            <a:extLst>
              <a:ext uri="{FF2B5EF4-FFF2-40B4-BE49-F238E27FC236}">
                <a16:creationId xmlns:a16="http://schemas.microsoft.com/office/drawing/2014/main" id="{4D6595F4-16A8-4CB4-A52E-15E692076C56}"/>
              </a:ext>
            </a:extLst>
          </xdr:cNvPr>
          <xdr:cNvSpPr>
            <a:spLocks/>
          </xdr:cNvSpPr>
        </xdr:nvSpPr>
        <xdr:spPr bwMode="auto">
          <a:xfrm>
            <a:off x="157" y="605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19" name="Line 71">
            <a:extLst>
              <a:ext uri="{FF2B5EF4-FFF2-40B4-BE49-F238E27FC236}">
                <a16:creationId xmlns:a16="http://schemas.microsoft.com/office/drawing/2014/main" id="{83284189-DAD6-4E47-80B0-5C8A0EA807F5}"/>
              </a:ext>
            </a:extLst>
          </xdr:cNvPr>
          <xdr:cNvSpPr>
            <a:spLocks noChangeShapeType="1"/>
          </xdr:cNvSpPr>
        </xdr:nvSpPr>
        <xdr:spPr bwMode="auto">
          <a:xfrm>
            <a:off x="165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20" name="Freeform 72">
            <a:extLst>
              <a:ext uri="{FF2B5EF4-FFF2-40B4-BE49-F238E27FC236}">
                <a16:creationId xmlns:a16="http://schemas.microsoft.com/office/drawing/2014/main" id="{A640CD6E-DC15-4B1C-95E8-100A37282151}"/>
              </a:ext>
            </a:extLst>
          </xdr:cNvPr>
          <xdr:cNvSpPr>
            <a:spLocks/>
          </xdr:cNvSpPr>
        </xdr:nvSpPr>
        <xdr:spPr bwMode="auto">
          <a:xfrm>
            <a:off x="161" y="614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295275</xdr:colOff>
      <xdr:row>15</xdr:row>
      <xdr:rowOff>847725</xdr:rowOff>
    </xdr:from>
    <xdr:to>
      <xdr:col>13</xdr:col>
      <xdr:colOff>38100</xdr:colOff>
      <xdr:row>15</xdr:row>
      <xdr:rowOff>1143000</xdr:rowOff>
    </xdr:to>
    <xdr:grpSp>
      <xdr:nvGrpSpPr>
        <xdr:cNvPr id="2121" name="Group 73">
          <a:extLst>
            <a:ext uri="{FF2B5EF4-FFF2-40B4-BE49-F238E27FC236}">
              <a16:creationId xmlns:a16="http://schemas.microsoft.com/office/drawing/2014/main" id="{0A63E2D2-A7AA-4B15-A1B5-F780ED4551EF}"/>
            </a:ext>
          </a:extLst>
        </xdr:cNvPr>
        <xdr:cNvGrpSpPr>
          <a:grpSpLocks/>
        </xdr:cNvGrpSpPr>
      </xdr:nvGrpSpPr>
      <xdr:grpSpPr bwMode="auto">
        <a:xfrm>
          <a:off x="2743200" y="5962650"/>
          <a:ext cx="1000125" cy="295275"/>
          <a:chOff x="122" y="628"/>
          <a:chExt cx="105" cy="31"/>
        </a:xfrm>
      </xdr:grpSpPr>
      <xdr:sp macro="" textlink="">
        <xdr:nvSpPr>
          <xdr:cNvPr id="2122" name="Line 74">
            <a:extLst>
              <a:ext uri="{FF2B5EF4-FFF2-40B4-BE49-F238E27FC236}">
                <a16:creationId xmlns:a16="http://schemas.microsoft.com/office/drawing/2014/main" id="{94B0F821-0DCA-4241-828E-DCC92CD8F227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23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23" name="Freeform 75">
            <a:extLst>
              <a:ext uri="{FF2B5EF4-FFF2-40B4-BE49-F238E27FC236}">
                <a16:creationId xmlns:a16="http://schemas.microsoft.com/office/drawing/2014/main" id="{EC547998-0697-4B5E-BCE8-CD599D503204}"/>
              </a:ext>
            </a:extLst>
          </xdr:cNvPr>
          <xdr:cNvSpPr>
            <a:spLocks/>
          </xdr:cNvSpPr>
        </xdr:nvSpPr>
        <xdr:spPr bwMode="auto">
          <a:xfrm rot="-10800000">
            <a:off x="122" y="64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24" name="Freeform 76">
            <a:extLst>
              <a:ext uri="{FF2B5EF4-FFF2-40B4-BE49-F238E27FC236}">
                <a16:creationId xmlns:a16="http://schemas.microsoft.com/office/drawing/2014/main" id="{861E5416-06BC-47F9-8514-E891C05546A1}"/>
              </a:ext>
            </a:extLst>
          </xdr:cNvPr>
          <xdr:cNvSpPr>
            <a:spLocks/>
          </xdr:cNvSpPr>
        </xdr:nvSpPr>
        <xdr:spPr bwMode="auto">
          <a:xfrm rot="-10800000">
            <a:off x="195" y="64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25" name="Line 77">
            <a:extLst>
              <a:ext uri="{FF2B5EF4-FFF2-40B4-BE49-F238E27FC236}">
                <a16:creationId xmlns:a16="http://schemas.microsoft.com/office/drawing/2014/main" id="{FAE83E37-963E-4AFA-A98B-24D71B205F79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95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26" name="Freeform 78">
            <a:extLst>
              <a:ext uri="{FF2B5EF4-FFF2-40B4-BE49-F238E27FC236}">
                <a16:creationId xmlns:a16="http://schemas.microsoft.com/office/drawing/2014/main" id="{3BC2B6C4-A6F9-4309-B98D-37B440B380D6}"/>
              </a:ext>
            </a:extLst>
          </xdr:cNvPr>
          <xdr:cNvSpPr>
            <a:spLocks/>
          </xdr:cNvSpPr>
        </xdr:nvSpPr>
        <xdr:spPr bwMode="auto">
          <a:xfrm rot="-10800000">
            <a:off x="191" y="652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27" name="Freeform 79">
            <a:extLst>
              <a:ext uri="{FF2B5EF4-FFF2-40B4-BE49-F238E27FC236}">
                <a16:creationId xmlns:a16="http://schemas.microsoft.com/office/drawing/2014/main" id="{B4E8110D-77AA-408B-8E22-7627272632D8}"/>
              </a:ext>
            </a:extLst>
          </xdr:cNvPr>
          <xdr:cNvSpPr>
            <a:spLocks/>
          </xdr:cNvSpPr>
        </xdr:nvSpPr>
        <xdr:spPr bwMode="auto">
          <a:xfrm rot="-10800000">
            <a:off x="184" y="636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28" name="Line 80">
            <a:extLst>
              <a:ext uri="{FF2B5EF4-FFF2-40B4-BE49-F238E27FC236}">
                <a16:creationId xmlns:a16="http://schemas.microsoft.com/office/drawing/2014/main" id="{4A957C14-2C5F-42EE-9164-9D526B40A7E8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84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29" name="Freeform 81">
            <a:extLst>
              <a:ext uri="{FF2B5EF4-FFF2-40B4-BE49-F238E27FC236}">
                <a16:creationId xmlns:a16="http://schemas.microsoft.com/office/drawing/2014/main" id="{51DF948C-11F7-4EFF-BEF7-24DAAFFF3613}"/>
              </a:ext>
            </a:extLst>
          </xdr:cNvPr>
          <xdr:cNvSpPr>
            <a:spLocks/>
          </xdr:cNvSpPr>
        </xdr:nvSpPr>
        <xdr:spPr bwMode="auto">
          <a:xfrm rot="-10800000">
            <a:off x="180" y="628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19050</xdr:colOff>
      <xdr:row>15</xdr:row>
      <xdr:rowOff>866775</xdr:rowOff>
    </xdr:from>
    <xdr:to>
      <xdr:col>8</xdr:col>
      <xdr:colOff>19050</xdr:colOff>
      <xdr:row>15</xdr:row>
      <xdr:rowOff>1162050</xdr:rowOff>
    </xdr:to>
    <xdr:grpSp>
      <xdr:nvGrpSpPr>
        <xdr:cNvPr id="2130" name="Group 82">
          <a:extLst>
            <a:ext uri="{FF2B5EF4-FFF2-40B4-BE49-F238E27FC236}">
              <a16:creationId xmlns:a16="http://schemas.microsoft.com/office/drawing/2014/main" id="{A29598EB-D23D-4DA4-BC80-A46694EB300A}"/>
            </a:ext>
          </a:extLst>
        </xdr:cNvPr>
        <xdr:cNvGrpSpPr>
          <a:grpSpLocks/>
        </xdr:cNvGrpSpPr>
      </xdr:nvGrpSpPr>
      <xdr:grpSpPr bwMode="auto">
        <a:xfrm>
          <a:off x="1209675" y="5981700"/>
          <a:ext cx="942975" cy="295275"/>
          <a:chOff x="287" y="628"/>
          <a:chExt cx="99" cy="31"/>
        </a:xfrm>
      </xdr:grpSpPr>
      <xdr:sp macro="" textlink="">
        <xdr:nvSpPr>
          <xdr:cNvPr id="2131" name="Line 83">
            <a:extLst>
              <a:ext uri="{FF2B5EF4-FFF2-40B4-BE49-F238E27FC236}">
                <a16:creationId xmlns:a16="http://schemas.microsoft.com/office/drawing/2014/main" id="{14BFD2F9-FF44-429A-B0C7-FE4400E3F9A9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288" y="643"/>
            <a:ext cx="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32" name="Freeform 84">
            <a:extLst>
              <a:ext uri="{FF2B5EF4-FFF2-40B4-BE49-F238E27FC236}">
                <a16:creationId xmlns:a16="http://schemas.microsoft.com/office/drawing/2014/main" id="{D5A019C0-83EB-4CE7-B37A-067A7B603E5B}"/>
              </a:ext>
            </a:extLst>
          </xdr:cNvPr>
          <xdr:cNvSpPr>
            <a:spLocks/>
          </xdr:cNvSpPr>
        </xdr:nvSpPr>
        <xdr:spPr bwMode="auto">
          <a:xfrm rot="-10800000">
            <a:off x="287" y="64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33" name="Freeform 85">
            <a:extLst>
              <a:ext uri="{FF2B5EF4-FFF2-40B4-BE49-F238E27FC236}">
                <a16:creationId xmlns:a16="http://schemas.microsoft.com/office/drawing/2014/main" id="{690B99E0-A570-4279-9AE7-0AC95883EDF8}"/>
              </a:ext>
            </a:extLst>
          </xdr:cNvPr>
          <xdr:cNvSpPr>
            <a:spLocks/>
          </xdr:cNvSpPr>
        </xdr:nvSpPr>
        <xdr:spPr bwMode="auto">
          <a:xfrm rot="-10800000">
            <a:off x="342" y="64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34" name="Line 86">
            <a:extLst>
              <a:ext uri="{FF2B5EF4-FFF2-40B4-BE49-F238E27FC236}">
                <a16:creationId xmlns:a16="http://schemas.microsoft.com/office/drawing/2014/main" id="{F97240CE-98CF-44C4-9D23-44FB122EFFE8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342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35" name="Freeform 87">
            <a:extLst>
              <a:ext uri="{FF2B5EF4-FFF2-40B4-BE49-F238E27FC236}">
                <a16:creationId xmlns:a16="http://schemas.microsoft.com/office/drawing/2014/main" id="{5F2D93D8-3AD2-4A9F-9A3E-811DF6EE3DCB}"/>
              </a:ext>
            </a:extLst>
          </xdr:cNvPr>
          <xdr:cNvSpPr>
            <a:spLocks/>
          </xdr:cNvSpPr>
        </xdr:nvSpPr>
        <xdr:spPr bwMode="auto">
          <a:xfrm rot="-10800000">
            <a:off x="338" y="652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36" name="Freeform 88">
            <a:extLst>
              <a:ext uri="{FF2B5EF4-FFF2-40B4-BE49-F238E27FC236}">
                <a16:creationId xmlns:a16="http://schemas.microsoft.com/office/drawing/2014/main" id="{FE0FCCFB-1A79-4518-8931-B46E11BABB28}"/>
              </a:ext>
            </a:extLst>
          </xdr:cNvPr>
          <xdr:cNvSpPr>
            <a:spLocks/>
          </xdr:cNvSpPr>
        </xdr:nvSpPr>
        <xdr:spPr bwMode="auto">
          <a:xfrm rot="-10800000">
            <a:off x="331" y="636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37" name="Line 89">
            <a:extLst>
              <a:ext uri="{FF2B5EF4-FFF2-40B4-BE49-F238E27FC236}">
                <a16:creationId xmlns:a16="http://schemas.microsoft.com/office/drawing/2014/main" id="{90224740-49ED-4FEB-925C-55DB236B7B0E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331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38" name="Freeform 90">
            <a:extLst>
              <a:ext uri="{FF2B5EF4-FFF2-40B4-BE49-F238E27FC236}">
                <a16:creationId xmlns:a16="http://schemas.microsoft.com/office/drawing/2014/main" id="{02865E3F-A0FD-42DE-BA78-586B4B829D2F}"/>
              </a:ext>
            </a:extLst>
          </xdr:cNvPr>
          <xdr:cNvSpPr>
            <a:spLocks/>
          </xdr:cNvSpPr>
        </xdr:nvSpPr>
        <xdr:spPr bwMode="auto">
          <a:xfrm rot="-10800000">
            <a:off x="327" y="628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39" name="Line 91">
            <a:extLst>
              <a:ext uri="{FF2B5EF4-FFF2-40B4-BE49-F238E27FC236}">
                <a16:creationId xmlns:a16="http://schemas.microsoft.com/office/drawing/2014/main" id="{69E5C8DB-B8AD-47DE-980E-5BA898A57C46}"/>
              </a:ext>
            </a:extLst>
          </xdr:cNvPr>
          <xdr:cNvSpPr>
            <a:spLocks noChangeShapeType="1"/>
          </xdr:cNvSpPr>
        </xdr:nvSpPr>
        <xdr:spPr bwMode="auto">
          <a:xfrm rot="-12821404">
            <a:off x="354" y="634"/>
            <a:ext cx="32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38100</xdr:colOff>
      <xdr:row>15</xdr:row>
      <xdr:rowOff>495300</xdr:rowOff>
    </xdr:from>
    <xdr:to>
      <xdr:col>7</xdr:col>
      <xdr:colOff>66675</xdr:colOff>
      <xdr:row>15</xdr:row>
      <xdr:rowOff>647700</xdr:rowOff>
    </xdr:to>
    <xdr:grpSp>
      <xdr:nvGrpSpPr>
        <xdr:cNvPr id="2222" name="Group 174">
          <a:extLst>
            <a:ext uri="{FF2B5EF4-FFF2-40B4-BE49-F238E27FC236}">
              <a16:creationId xmlns:a16="http://schemas.microsoft.com/office/drawing/2014/main" id="{E470EFB6-1B81-4D33-AE35-0AF101F45334}"/>
            </a:ext>
          </a:extLst>
        </xdr:cNvPr>
        <xdr:cNvGrpSpPr>
          <a:grpSpLocks/>
        </xdr:cNvGrpSpPr>
      </xdr:nvGrpSpPr>
      <xdr:grpSpPr bwMode="auto">
        <a:xfrm>
          <a:off x="1228725" y="5610225"/>
          <a:ext cx="657225" cy="152400"/>
          <a:chOff x="129" y="589"/>
          <a:chExt cx="69" cy="16"/>
        </a:xfrm>
      </xdr:grpSpPr>
      <xdr:grpSp>
        <xdr:nvGrpSpPr>
          <xdr:cNvPr id="2141" name="Group 93">
            <a:extLst>
              <a:ext uri="{FF2B5EF4-FFF2-40B4-BE49-F238E27FC236}">
                <a16:creationId xmlns:a16="http://schemas.microsoft.com/office/drawing/2014/main" id="{C68CE14C-39F5-43E8-A6EC-1EA12EA112F4}"/>
              </a:ext>
            </a:extLst>
          </xdr:cNvPr>
          <xdr:cNvGrpSpPr>
            <a:grpSpLocks/>
          </xdr:cNvGrpSpPr>
        </xdr:nvGrpSpPr>
        <xdr:grpSpPr bwMode="auto">
          <a:xfrm>
            <a:off x="145" y="589"/>
            <a:ext cx="12" cy="16"/>
            <a:chOff x="307" y="589"/>
            <a:chExt cx="12" cy="16"/>
          </a:xfrm>
        </xdr:grpSpPr>
        <xdr:sp macro="" textlink="">
          <xdr:nvSpPr>
            <xdr:cNvPr id="2142" name="Freeform 94">
              <a:extLst>
                <a:ext uri="{FF2B5EF4-FFF2-40B4-BE49-F238E27FC236}">
                  <a16:creationId xmlns:a16="http://schemas.microsoft.com/office/drawing/2014/main" id="{F6CE1387-F167-4A1B-9661-0DC4F6A74A8B}"/>
                </a:ext>
              </a:extLst>
            </xdr:cNvPr>
            <xdr:cNvSpPr>
              <a:spLocks/>
            </xdr:cNvSpPr>
          </xdr:nvSpPr>
          <xdr:spPr bwMode="auto">
            <a:xfrm flipV="1">
              <a:off x="307" y="597"/>
              <a:ext cx="8" cy="8"/>
            </a:xfrm>
            <a:custGeom>
              <a:avLst/>
              <a:gdLst>
                <a:gd name="T0" fmla="*/ 2 w 193"/>
                <a:gd name="T1" fmla="*/ 0 h 199"/>
                <a:gd name="T2" fmla="*/ 7 w 193"/>
                <a:gd name="T3" fmla="*/ 1 h 199"/>
                <a:gd name="T4" fmla="*/ 12 w 193"/>
                <a:gd name="T5" fmla="*/ 1 h 199"/>
                <a:gd name="T6" fmla="*/ 17 w 193"/>
                <a:gd name="T7" fmla="*/ 2 h 199"/>
                <a:gd name="T8" fmla="*/ 22 w 193"/>
                <a:gd name="T9" fmla="*/ 2 h 199"/>
                <a:gd name="T10" fmla="*/ 27 w 193"/>
                <a:gd name="T11" fmla="*/ 3 h 199"/>
                <a:gd name="T12" fmla="*/ 32 w 193"/>
                <a:gd name="T13" fmla="*/ 4 h 199"/>
                <a:gd name="T14" fmla="*/ 36 w 193"/>
                <a:gd name="T15" fmla="*/ 5 h 199"/>
                <a:gd name="T16" fmla="*/ 41 w 193"/>
                <a:gd name="T17" fmla="*/ 6 h 199"/>
                <a:gd name="T18" fmla="*/ 46 w 193"/>
                <a:gd name="T19" fmla="*/ 7 h 199"/>
                <a:gd name="T20" fmla="*/ 51 w 193"/>
                <a:gd name="T21" fmla="*/ 9 h 199"/>
                <a:gd name="T22" fmla="*/ 55 w 193"/>
                <a:gd name="T23" fmla="*/ 10 h 199"/>
                <a:gd name="T24" fmla="*/ 60 w 193"/>
                <a:gd name="T25" fmla="*/ 12 h 199"/>
                <a:gd name="T26" fmla="*/ 65 w 193"/>
                <a:gd name="T27" fmla="*/ 14 h 199"/>
                <a:gd name="T28" fmla="*/ 69 w 193"/>
                <a:gd name="T29" fmla="*/ 15 h 199"/>
                <a:gd name="T30" fmla="*/ 74 w 193"/>
                <a:gd name="T31" fmla="*/ 17 h 199"/>
                <a:gd name="T32" fmla="*/ 78 w 193"/>
                <a:gd name="T33" fmla="*/ 19 h 199"/>
                <a:gd name="T34" fmla="*/ 83 w 193"/>
                <a:gd name="T35" fmla="*/ 22 h 199"/>
                <a:gd name="T36" fmla="*/ 87 w 193"/>
                <a:gd name="T37" fmla="*/ 24 h 199"/>
                <a:gd name="T38" fmla="*/ 91 w 193"/>
                <a:gd name="T39" fmla="*/ 26 h 199"/>
                <a:gd name="T40" fmla="*/ 95 w 193"/>
                <a:gd name="T41" fmla="*/ 29 h 199"/>
                <a:gd name="T42" fmla="*/ 100 w 193"/>
                <a:gd name="T43" fmla="*/ 31 h 199"/>
                <a:gd name="T44" fmla="*/ 104 w 193"/>
                <a:gd name="T45" fmla="*/ 35 h 199"/>
                <a:gd name="T46" fmla="*/ 108 w 193"/>
                <a:gd name="T47" fmla="*/ 38 h 199"/>
                <a:gd name="T48" fmla="*/ 112 w 193"/>
                <a:gd name="T49" fmla="*/ 41 h 199"/>
                <a:gd name="T50" fmla="*/ 116 w 193"/>
                <a:gd name="T51" fmla="*/ 44 h 199"/>
                <a:gd name="T52" fmla="*/ 119 w 193"/>
                <a:gd name="T53" fmla="*/ 47 h 199"/>
                <a:gd name="T54" fmla="*/ 123 w 193"/>
                <a:gd name="T55" fmla="*/ 50 h 199"/>
                <a:gd name="T56" fmla="*/ 127 w 193"/>
                <a:gd name="T57" fmla="*/ 53 h 199"/>
                <a:gd name="T58" fmla="*/ 130 w 193"/>
                <a:gd name="T59" fmla="*/ 56 h 199"/>
                <a:gd name="T60" fmla="*/ 134 w 193"/>
                <a:gd name="T61" fmla="*/ 60 h 199"/>
                <a:gd name="T62" fmla="*/ 137 w 193"/>
                <a:gd name="T63" fmla="*/ 63 h 199"/>
                <a:gd name="T64" fmla="*/ 141 w 193"/>
                <a:gd name="T65" fmla="*/ 67 h 199"/>
                <a:gd name="T66" fmla="*/ 144 w 193"/>
                <a:gd name="T67" fmla="*/ 71 h 199"/>
                <a:gd name="T68" fmla="*/ 147 w 193"/>
                <a:gd name="T69" fmla="*/ 74 h 199"/>
                <a:gd name="T70" fmla="*/ 150 w 193"/>
                <a:gd name="T71" fmla="*/ 78 h 199"/>
                <a:gd name="T72" fmla="*/ 153 w 193"/>
                <a:gd name="T73" fmla="*/ 82 h 199"/>
                <a:gd name="T74" fmla="*/ 156 w 193"/>
                <a:gd name="T75" fmla="*/ 86 h 199"/>
                <a:gd name="T76" fmla="*/ 159 w 193"/>
                <a:gd name="T77" fmla="*/ 90 h 199"/>
                <a:gd name="T78" fmla="*/ 161 w 193"/>
                <a:gd name="T79" fmla="*/ 94 h 199"/>
                <a:gd name="T80" fmla="*/ 165 w 193"/>
                <a:gd name="T81" fmla="*/ 98 h 199"/>
                <a:gd name="T82" fmla="*/ 167 w 193"/>
                <a:gd name="T83" fmla="*/ 103 h 199"/>
                <a:gd name="T84" fmla="*/ 170 w 193"/>
                <a:gd name="T85" fmla="*/ 107 h 199"/>
                <a:gd name="T86" fmla="*/ 172 w 193"/>
                <a:gd name="T87" fmla="*/ 111 h 199"/>
                <a:gd name="T88" fmla="*/ 174 w 193"/>
                <a:gd name="T89" fmla="*/ 116 h 199"/>
                <a:gd name="T90" fmla="*/ 176 w 193"/>
                <a:gd name="T91" fmla="*/ 121 h 199"/>
                <a:gd name="T92" fmla="*/ 178 w 193"/>
                <a:gd name="T93" fmla="*/ 126 h 199"/>
                <a:gd name="T94" fmla="*/ 180 w 193"/>
                <a:gd name="T95" fmla="*/ 130 h 199"/>
                <a:gd name="T96" fmla="*/ 182 w 193"/>
                <a:gd name="T97" fmla="*/ 135 h 199"/>
                <a:gd name="T98" fmla="*/ 183 w 193"/>
                <a:gd name="T99" fmla="*/ 140 h 199"/>
                <a:gd name="T100" fmla="*/ 185 w 193"/>
                <a:gd name="T101" fmla="*/ 144 h 199"/>
                <a:gd name="T102" fmla="*/ 186 w 193"/>
                <a:gd name="T103" fmla="*/ 149 h 199"/>
                <a:gd name="T104" fmla="*/ 187 w 193"/>
                <a:gd name="T105" fmla="*/ 154 h 199"/>
                <a:gd name="T106" fmla="*/ 188 w 193"/>
                <a:gd name="T107" fmla="*/ 158 h 199"/>
                <a:gd name="T108" fmla="*/ 189 w 193"/>
                <a:gd name="T109" fmla="*/ 163 h 199"/>
                <a:gd name="T110" fmla="*/ 190 w 193"/>
                <a:gd name="T111" fmla="*/ 168 h 199"/>
                <a:gd name="T112" fmla="*/ 191 w 193"/>
                <a:gd name="T113" fmla="*/ 173 h 199"/>
                <a:gd name="T114" fmla="*/ 192 w 193"/>
                <a:gd name="T115" fmla="*/ 178 h 199"/>
                <a:gd name="T116" fmla="*/ 192 w 193"/>
                <a:gd name="T117" fmla="*/ 183 h 199"/>
                <a:gd name="T118" fmla="*/ 193 w 193"/>
                <a:gd name="T119" fmla="*/ 187 h 199"/>
                <a:gd name="T120" fmla="*/ 193 w 193"/>
                <a:gd name="T121" fmla="*/ 192 h 199"/>
                <a:gd name="T122" fmla="*/ 193 w 193"/>
                <a:gd name="T123" fmla="*/ 197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43" name="Line 95">
              <a:extLst>
                <a:ext uri="{FF2B5EF4-FFF2-40B4-BE49-F238E27FC236}">
                  <a16:creationId xmlns:a16="http://schemas.microsoft.com/office/drawing/2014/main" id="{0E2BB166-C241-4018-9E96-59109538401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15" y="590"/>
              <a:ext cx="0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44" name="Freeform 96">
              <a:extLst>
                <a:ext uri="{FF2B5EF4-FFF2-40B4-BE49-F238E27FC236}">
                  <a16:creationId xmlns:a16="http://schemas.microsoft.com/office/drawing/2014/main" id="{0E9D9E46-EC10-4F5D-BBE5-846966CA2352}"/>
                </a:ext>
              </a:extLst>
            </xdr:cNvPr>
            <xdr:cNvSpPr>
              <a:spLocks/>
            </xdr:cNvSpPr>
          </xdr:nvSpPr>
          <xdr:spPr bwMode="auto">
            <a:xfrm flipV="1">
              <a:off x="311" y="589"/>
              <a:ext cx="8" cy="6"/>
            </a:xfrm>
            <a:custGeom>
              <a:avLst/>
              <a:gdLst>
                <a:gd name="T0" fmla="*/ 201 w 201"/>
                <a:gd name="T1" fmla="*/ 0 h 174"/>
                <a:gd name="T2" fmla="*/ 101 w 201"/>
                <a:gd name="T3" fmla="*/ 174 h 174"/>
                <a:gd name="T4" fmla="*/ 0 w 201"/>
                <a:gd name="T5" fmla="*/ 0 h 1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2146" name="Line 98">
            <a:extLst>
              <a:ext uri="{FF2B5EF4-FFF2-40B4-BE49-F238E27FC236}">
                <a16:creationId xmlns:a16="http://schemas.microsoft.com/office/drawing/2014/main" id="{5B20D905-1CD4-4391-AC53-2126402E1924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29" y="605"/>
            <a:ext cx="5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217" name="Group 169">
            <a:extLst>
              <a:ext uri="{FF2B5EF4-FFF2-40B4-BE49-F238E27FC236}">
                <a16:creationId xmlns:a16="http://schemas.microsoft.com/office/drawing/2014/main" id="{53B66C20-0E2B-439C-8723-7E3187118735}"/>
              </a:ext>
            </a:extLst>
          </xdr:cNvPr>
          <xdr:cNvGrpSpPr>
            <a:grpSpLocks/>
          </xdr:cNvGrpSpPr>
        </xdr:nvGrpSpPr>
        <xdr:grpSpPr bwMode="auto">
          <a:xfrm>
            <a:off x="186" y="590"/>
            <a:ext cx="12" cy="15"/>
            <a:chOff x="186" y="590"/>
            <a:chExt cx="12" cy="15"/>
          </a:xfrm>
        </xdr:grpSpPr>
        <xdr:sp macro="" textlink="">
          <xdr:nvSpPr>
            <xdr:cNvPr id="2148" name="Line 100">
              <a:extLst>
                <a:ext uri="{FF2B5EF4-FFF2-40B4-BE49-F238E27FC236}">
                  <a16:creationId xmlns:a16="http://schemas.microsoft.com/office/drawing/2014/main" id="{1872C4A0-E7A6-45F9-A5D1-9B863786A9D8}"/>
                </a:ext>
              </a:extLst>
            </xdr:cNvPr>
            <xdr:cNvSpPr>
              <a:spLocks noChangeShapeType="1"/>
            </xdr:cNvSpPr>
          </xdr:nvSpPr>
          <xdr:spPr bwMode="auto">
            <a:xfrm rot="10800000" flipH="1">
              <a:off x="194" y="591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47" name="Freeform 99">
              <a:extLst>
                <a:ext uri="{FF2B5EF4-FFF2-40B4-BE49-F238E27FC236}">
                  <a16:creationId xmlns:a16="http://schemas.microsoft.com/office/drawing/2014/main" id="{B500831F-A096-43CD-836C-F0DA5AE4CA15}"/>
                </a:ext>
              </a:extLst>
            </xdr:cNvPr>
            <xdr:cNvSpPr>
              <a:spLocks/>
            </xdr:cNvSpPr>
          </xdr:nvSpPr>
          <xdr:spPr bwMode="auto">
            <a:xfrm rot="10800000" flipH="1">
              <a:off x="186" y="598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49" name="Freeform 101">
              <a:extLst>
                <a:ext uri="{FF2B5EF4-FFF2-40B4-BE49-F238E27FC236}">
                  <a16:creationId xmlns:a16="http://schemas.microsoft.com/office/drawing/2014/main" id="{3317C492-22B9-46BB-BE72-0A076B208F31}"/>
                </a:ext>
              </a:extLst>
            </xdr:cNvPr>
            <xdr:cNvSpPr>
              <a:spLocks/>
            </xdr:cNvSpPr>
          </xdr:nvSpPr>
          <xdr:spPr bwMode="auto">
            <a:xfrm rot="10800000" flipH="1">
              <a:off x="190" y="590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8</xdr:col>
      <xdr:colOff>0</xdr:colOff>
      <xdr:row>15</xdr:row>
      <xdr:rowOff>933450</xdr:rowOff>
    </xdr:from>
    <xdr:to>
      <xdr:col>8</xdr:col>
      <xdr:colOff>57150</xdr:colOff>
      <xdr:row>15</xdr:row>
      <xdr:rowOff>1352550</xdr:rowOff>
    </xdr:to>
    <xdr:grpSp>
      <xdr:nvGrpSpPr>
        <xdr:cNvPr id="2150" name="Group 102">
          <a:extLst>
            <a:ext uri="{FF2B5EF4-FFF2-40B4-BE49-F238E27FC236}">
              <a16:creationId xmlns:a16="http://schemas.microsoft.com/office/drawing/2014/main" id="{9953F885-1783-4B9A-921E-4AEDD213F9B7}"/>
            </a:ext>
          </a:extLst>
        </xdr:cNvPr>
        <xdr:cNvGrpSpPr>
          <a:grpSpLocks/>
        </xdr:cNvGrpSpPr>
      </xdr:nvGrpSpPr>
      <xdr:grpSpPr bwMode="auto">
        <a:xfrm>
          <a:off x="2133600" y="6048375"/>
          <a:ext cx="57150" cy="419100"/>
          <a:chOff x="122" y="579"/>
          <a:chExt cx="6" cy="44"/>
        </a:xfrm>
      </xdr:grpSpPr>
      <xdr:sp macro="" textlink="">
        <xdr:nvSpPr>
          <xdr:cNvPr id="2151" name="Line 103">
            <a:extLst>
              <a:ext uri="{FF2B5EF4-FFF2-40B4-BE49-F238E27FC236}">
                <a16:creationId xmlns:a16="http://schemas.microsoft.com/office/drawing/2014/main" id="{ACAC201B-D416-4269-BC4D-41C07B2CA695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6" y="602"/>
            <a:ext cx="3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52" name="Freeform 104">
            <a:extLst>
              <a:ext uri="{FF2B5EF4-FFF2-40B4-BE49-F238E27FC236}">
                <a16:creationId xmlns:a16="http://schemas.microsoft.com/office/drawing/2014/main" id="{033493B1-7404-4E8B-A65F-1548E02C8DD8}"/>
              </a:ext>
            </a:extLst>
          </xdr:cNvPr>
          <xdr:cNvSpPr>
            <a:spLocks/>
          </xdr:cNvSpPr>
        </xdr:nvSpPr>
        <xdr:spPr bwMode="auto">
          <a:xfrm rot="5400000">
            <a:off x="121" y="617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53" name="Freeform 105">
            <a:extLst>
              <a:ext uri="{FF2B5EF4-FFF2-40B4-BE49-F238E27FC236}">
                <a16:creationId xmlns:a16="http://schemas.microsoft.com/office/drawing/2014/main" id="{DE44D903-2597-4788-B466-EEB364C76719}"/>
              </a:ext>
            </a:extLst>
          </xdr:cNvPr>
          <xdr:cNvSpPr>
            <a:spLocks/>
          </xdr:cNvSpPr>
        </xdr:nvSpPr>
        <xdr:spPr bwMode="auto">
          <a:xfrm rot="-5400000">
            <a:off x="121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16</xdr:col>
      <xdr:colOff>171450</xdr:colOff>
      <xdr:row>15</xdr:row>
      <xdr:rowOff>266700</xdr:rowOff>
    </xdr:from>
    <xdr:to>
      <xdr:col>17</xdr:col>
      <xdr:colOff>257175</xdr:colOff>
      <xdr:row>15</xdr:row>
      <xdr:rowOff>1247775</xdr:rowOff>
    </xdr:to>
    <xdr:grpSp>
      <xdr:nvGrpSpPr>
        <xdr:cNvPr id="2154" name="Group 106">
          <a:extLst>
            <a:ext uri="{FF2B5EF4-FFF2-40B4-BE49-F238E27FC236}">
              <a16:creationId xmlns:a16="http://schemas.microsoft.com/office/drawing/2014/main" id="{10CDE631-CCE1-43C8-A068-736C81CE4714}"/>
            </a:ext>
          </a:extLst>
        </xdr:cNvPr>
        <xdr:cNvGrpSpPr>
          <a:grpSpLocks/>
        </xdr:cNvGrpSpPr>
      </xdr:nvGrpSpPr>
      <xdr:grpSpPr bwMode="auto">
        <a:xfrm>
          <a:off x="4819650" y="5381625"/>
          <a:ext cx="400050" cy="981075"/>
          <a:chOff x="458" y="565"/>
          <a:chExt cx="42" cy="103"/>
        </a:xfrm>
      </xdr:grpSpPr>
      <xdr:sp macro="" textlink="">
        <xdr:nvSpPr>
          <xdr:cNvPr id="2155" name="Line 107">
            <a:extLst>
              <a:ext uri="{FF2B5EF4-FFF2-40B4-BE49-F238E27FC236}">
                <a16:creationId xmlns:a16="http://schemas.microsoft.com/office/drawing/2014/main" id="{E2B81D4B-3C0D-41F3-9E9D-58B728208ABA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43" y="595"/>
            <a:ext cx="6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56" name="Freeform 108">
            <a:extLst>
              <a:ext uri="{FF2B5EF4-FFF2-40B4-BE49-F238E27FC236}">
                <a16:creationId xmlns:a16="http://schemas.microsoft.com/office/drawing/2014/main" id="{E6DBD449-37B1-4D33-A6FD-AA8A184F723A}"/>
              </a:ext>
            </a:extLst>
          </xdr:cNvPr>
          <xdr:cNvSpPr>
            <a:spLocks/>
          </xdr:cNvSpPr>
        </xdr:nvSpPr>
        <xdr:spPr bwMode="auto">
          <a:xfrm rot="5400000">
            <a:off x="485" y="662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57" name="Freeform 109">
            <a:extLst>
              <a:ext uri="{FF2B5EF4-FFF2-40B4-BE49-F238E27FC236}">
                <a16:creationId xmlns:a16="http://schemas.microsoft.com/office/drawing/2014/main" id="{74EF040B-BB80-4C17-9C28-C9D0BBC12746}"/>
              </a:ext>
            </a:extLst>
          </xdr:cNvPr>
          <xdr:cNvSpPr>
            <a:spLocks/>
          </xdr:cNvSpPr>
        </xdr:nvSpPr>
        <xdr:spPr bwMode="auto">
          <a:xfrm rot="5400000">
            <a:off x="473" y="589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58" name="Line 110">
            <a:extLst>
              <a:ext uri="{FF2B5EF4-FFF2-40B4-BE49-F238E27FC236}">
                <a16:creationId xmlns:a16="http://schemas.microsoft.com/office/drawing/2014/main" id="{99DD0E56-80A0-4F3F-9AE2-06323969A5FC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85" y="59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59" name="Freeform 111">
            <a:extLst>
              <a:ext uri="{FF2B5EF4-FFF2-40B4-BE49-F238E27FC236}">
                <a16:creationId xmlns:a16="http://schemas.microsoft.com/office/drawing/2014/main" id="{D4E650C6-D948-41F2-B92E-A036422F097B}"/>
              </a:ext>
            </a:extLst>
          </xdr:cNvPr>
          <xdr:cNvSpPr>
            <a:spLocks/>
          </xdr:cNvSpPr>
        </xdr:nvSpPr>
        <xdr:spPr bwMode="auto">
          <a:xfrm rot="5400000">
            <a:off x="482" y="592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60" name="Freeform 112">
            <a:extLst>
              <a:ext uri="{FF2B5EF4-FFF2-40B4-BE49-F238E27FC236}">
                <a16:creationId xmlns:a16="http://schemas.microsoft.com/office/drawing/2014/main" id="{F5548A29-8F65-41B6-BC6E-C455B5F0BBD1}"/>
              </a:ext>
            </a:extLst>
          </xdr:cNvPr>
          <xdr:cNvSpPr>
            <a:spLocks/>
          </xdr:cNvSpPr>
        </xdr:nvSpPr>
        <xdr:spPr bwMode="auto">
          <a:xfrm rot="5400000">
            <a:off x="466" y="600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61" name="Line 113">
            <a:extLst>
              <a:ext uri="{FF2B5EF4-FFF2-40B4-BE49-F238E27FC236}">
                <a16:creationId xmlns:a16="http://schemas.microsoft.com/office/drawing/2014/main" id="{5B7923D2-DE43-47D3-A670-E03245CA094F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63" y="60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62" name="Freeform 114">
            <a:extLst>
              <a:ext uri="{FF2B5EF4-FFF2-40B4-BE49-F238E27FC236}">
                <a16:creationId xmlns:a16="http://schemas.microsoft.com/office/drawing/2014/main" id="{5149D49C-27FF-4D15-93D9-5E8B08827BB4}"/>
              </a:ext>
            </a:extLst>
          </xdr:cNvPr>
          <xdr:cNvSpPr>
            <a:spLocks/>
          </xdr:cNvSpPr>
        </xdr:nvSpPr>
        <xdr:spPr bwMode="auto">
          <a:xfrm rot="5400000">
            <a:off x="458" y="604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63" name="Line 115">
            <a:extLst>
              <a:ext uri="{FF2B5EF4-FFF2-40B4-BE49-F238E27FC236}">
                <a16:creationId xmlns:a16="http://schemas.microsoft.com/office/drawing/2014/main" id="{1351A8EB-B47A-489D-AEA8-4985585324BF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91" y="622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64" name="Freeform 116">
            <a:extLst>
              <a:ext uri="{FF2B5EF4-FFF2-40B4-BE49-F238E27FC236}">
                <a16:creationId xmlns:a16="http://schemas.microsoft.com/office/drawing/2014/main" id="{B6EFC5D9-9AF4-4F4A-B9F5-6F5F6644585B}"/>
              </a:ext>
            </a:extLst>
          </xdr:cNvPr>
          <xdr:cNvSpPr>
            <a:spLocks/>
          </xdr:cNvSpPr>
        </xdr:nvSpPr>
        <xdr:spPr bwMode="auto">
          <a:xfrm rot="5400000">
            <a:off x="493" y="62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65" name="Line 117">
            <a:extLst>
              <a:ext uri="{FF2B5EF4-FFF2-40B4-BE49-F238E27FC236}">
                <a16:creationId xmlns:a16="http://schemas.microsoft.com/office/drawing/2014/main" id="{33D1E93B-3640-4AD6-AB86-E596AFE4BEEE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489" y="638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66" name="Freeform 118">
            <a:extLst>
              <a:ext uri="{FF2B5EF4-FFF2-40B4-BE49-F238E27FC236}">
                <a16:creationId xmlns:a16="http://schemas.microsoft.com/office/drawing/2014/main" id="{A546F226-F136-40E3-86C7-1A4FECBF261E}"/>
              </a:ext>
            </a:extLst>
          </xdr:cNvPr>
          <xdr:cNvSpPr>
            <a:spLocks/>
          </xdr:cNvSpPr>
        </xdr:nvSpPr>
        <xdr:spPr bwMode="auto">
          <a:xfrm rot="5400000">
            <a:off x="473" y="624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67" name="Freeform 119">
            <a:extLst>
              <a:ext uri="{FF2B5EF4-FFF2-40B4-BE49-F238E27FC236}">
                <a16:creationId xmlns:a16="http://schemas.microsoft.com/office/drawing/2014/main" id="{B6D8349A-9552-4731-9290-F485F58368BB}"/>
              </a:ext>
            </a:extLst>
          </xdr:cNvPr>
          <xdr:cNvSpPr>
            <a:spLocks/>
          </xdr:cNvSpPr>
        </xdr:nvSpPr>
        <xdr:spPr bwMode="auto">
          <a:xfrm rot="-5400000">
            <a:off x="481" y="631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285750</xdr:colOff>
      <xdr:row>15</xdr:row>
      <xdr:rowOff>266700</xdr:rowOff>
    </xdr:from>
    <xdr:to>
      <xdr:col>15</xdr:col>
      <xdr:colOff>295275</xdr:colOff>
      <xdr:row>15</xdr:row>
      <xdr:rowOff>1247775</xdr:rowOff>
    </xdr:to>
    <xdr:grpSp>
      <xdr:nvGrpSpPr>
        <xdr:cNvPr id="2168" name="Group 120">
          <a:extLst>
            <a:ext uri="{FF2B5EF4-FFF2-40B4-BE49-F238E27FC236}">
              <a16:creationId xmlns:a16="http://schemas.microsoft.com/office/drawing/2014/main" id="{ACE466A1-B460-42AF-A831-C02FCE204052}"/>
            </a:ext>
          </a:extLst>
        </xdr:cNvPr>
        <xdr:cNvGrpSpPr>
          <a:grpSpLocks/>
        </xdr:cNvGrpSpPr>
      </xdr:nvGrpSpPr>
      <xdr:grpSpPr bwMode="auto">
        <a:xfrm>
          <a:off x="4305300" y="5381625"/>
          <a:ext cx="323850" cy="981075"/>
          <a:chOff x="518" y="565"/>
          <a:chExt cx="34" cy="103"/>
        </a:xfrm>
      </xdr:grpSpPr>
      <xdr:sp macro="" textlink="">
        <xdr:nvSpPr>
          <xdr:cNvPr id="2169" name="Line 121">
            <a:extLst>
              <a:ext uri="{FF2B5EF4-FFF2-40B4-BE49-F238E27FC236}">
                <a16:creationId xmlns:a16="http://schemas.microsoft.com/office/drawing/2014/main" id="{695E21C8-1FBF-4040-86D0-46054782F488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507" y="638"/>
            <a:ext cx="6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70" name="Freeform 122">
            <a:extLst>
              <a:ext uri="{FF2B5EF4-FFF2-40B4-BE49-F238E27FC236}">
                <a16:creationId xmlns:a16="http://schemas.microsoft.com/office/drawing/2014/main" id="{786927ED-E4DD-484A-8555-E75230035187}"/>
              </a:ext>
            </a:extLst>
          </xdr:cNvPr>
          <xdr:cNvSpPr>
            <a:spLocks/>
          </xdr:cNvSpPr>
        </xdr:nvSpPr>
        <xdr:spPr bwMode="auto">
          <a:xfrm rot="5400000" flipH="1" flipV="1">
            <a:off x="517" y="566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71" name="Freeform 123">
            <a:extLst>
              <a:ext uri="{FF2B5EF4-FFF2-40B4-BE49-F238E27FC236}">
                <a16:creationId xmlns:a16="http://schemas.microsoft.com/office/drawing/2014/main" id="{B0D6649A-5992-465D-A36C-293FC900125B}"/>
              </a:ext>
            </a:extLst>
          </xdr:cNvPr>
          <xdr:cNvSpPr>
            <a:spLocks/>
          </xdr:cNvSpPr>
        </xdr:nvSpPr>
        <xdr:spPr bwMode="auto">
          <a:xfrm rot="5400000" flipH="1" flipV="1">
            <a:off x="529" y="637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72" name="Line 124">
            <a:extLst>
              <a:ext uri="{FF2B5EF4-FFF2-40B4-BE49-F238E27FC236}">
                <a16:creationId xmlns:a16="http://schemas.microsoft.com/office/drawing/2014/main" id="{13FFFDF7-FA98-4E4E-A7F9-723C5095602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525" y="63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73" name="Freeform 125">
            <a:extLst>
              <a:ext uri="{FF2B5EF4-FFF2-40B4-BE49-F238E27FC236}">
                <a16:creationId xmlns:a16="http://schemas.microsoft.com/office/drawing/2014/main" id="{49032BF3-6743-4B18-8C0C-FDDE3C35AF70}"/>
              </a:ext>
            </a:extLst>
          </xdr:cNvPr>
          <xdr:cNvSpPr>
            <a:spLocks/>
          </xdr:cNvSpPr>
        </xdr:nvSpPr>
        <xdr:spPr bwMode="auto">
          <a:xfrm rot="5400000" flipH="1" flipV="1">
            <a:off x="521" y="633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74" name="Freeform 126">
            <a:extLst>
              <a:ext uri="{FF2B5EF4-FFF2-40B4-BE49-F238E27FC236}">
                <a16:creationId xmlns:a16="http://schemas.microsoft.com/office/drawing/2014/main" id="{09A9E15A-36D2-41B7-B765-FF86234E4C4C}"/>
              </a:ext>
            </a:extLst>
          </xdr:cNvPr>
          <xdr:cNvSpPr>
            <a:spLocks/>
          </xdr:cNvSpPr>
        </xdr:nvSpPr>
        <xdr:spPr bwMode="auto">
          <a:xfrm rot="5400000" flipH="1" flipV="1">
            <a:off x="537" y="625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75" name="Line 127">
            <a:extLst>
              <a:ext uri="{FF2B5EF4-FFF2-40B4-BE49-F238E27FC236}">
                <a16:creationId xmlns:a16="http://schemas.microsoft.com/office/drawing/2014/main" id="{2B296008-E054-4B97-AABB-26026DB723B8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547" y="62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76" name="Freeform 128">
            <a:extLst>
              <a:ext uri="{FF2B5EF4-FFF2-40B4-BE49-F238E27FC236}">
                <a16:creationId xmlns:a16="http://schemas.microsoft.com/office/drawing/2014/main" id="{F86BFE7E-061C-4C7E-8FB8-5F6D89801389}"/>
              </a:ext>
            </a:extLst>
          </xdr:cNvPr>
          <xdr:cNvSpPr>
            <a:spLocks/>
          </xdr:cNvSpPr>
        </xdr:nvSpPr>
        <xdr:spPr bwMode="auto">
          <a:xfrm rot="5400000" flipH="1" flipV="1">
            <a:off x="545" y="621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77" name="Line 129">
            <a:extLst>
              <a:ext uri="{FF2B5EF4-FFF2-40B4-BE49-F238E27FC236}">
                <a16:creationId xmlns:a16="http://schemas.microsoft.com/office/drawing/2014/main" id="{B662CE1F-F8C1-4B18-A066-8B6AB7420A32}"/>
              </a:ext>
            </a:extLst>
          </xdr:cNvPr>
          <xdr:cNvSpPr>
            <a:spLocks noChangeShapeType="1"/>
          </xdr:cNvSpPr>
        </xdr:nvSpPr>
        <xdr:spPr bwMode="auto">
          <a:xfrm rot="10800000" flipH="1" flipV="1">
            <a:off x="521" y="566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78" name="Freeform 130">
            <a:extLst>
              <a:ext uri="{FF2B5EF4-FFF2-40B4-BE49-F238E27FC236}">
                <a16:creationId xmlns:a16="http://schemas.microsoft.com/office/drawing/2014/main" id="{E5D9244A-E4E3-436C-864C-A96AE07A811F}"/>
              </a:ext>
            </a:extLst>
          </xdr:cNvPr>
          <xdr:cNvSpPr>
            <a:spLocks/>
          </xdr:cNvSpPr>
        </xdr:nvSpPr>
        <xdr:spPr bwMode="auto">
          <a:xfrm rot="5400000" flipH="1" flipV="1">
            <a:off x="529" y="602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79" name="Freeform 131">
            <a:extLst>
              <a:ext uri="{FF2B5EF4-FFF2-40B4-BE49-F238E27FC236}">
                <a16:creationId xmlns:a16="http://schemas.microsoft.com/office/drawing/2014/main" id="{0B820072-93A3-4FF3-8CA3-E93EC196573D}"/>
              </a:ext>
            </a:extLst>
          </xdr:cNvPr>
          <xdr:cNvSpPr>
            <a:spLocks/>
          </xdr:cNvSpPr>
        </xdr:nvSpPr>
        <xdr:spPr bwMode="auto">
          <a:xfrm rot="-5400000" flipH="1" flipV="1">
            <a:off x="521" y="59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80" name="Freeform 132">
            <a:extLst>
              <a:ext uri="{FF2B5EF4-FFF2-40B4-BE49-F238E27FC236}">
                <a16:creationId xmlns:a16="http://schemas.microsoft.com/office/drawing/2014/main" id="{BE49E917-BCC0-4349-8164-F98989B1BD13}"/>
              </a:ext>
            </a:extLst>
          </xdr:cNvPr>
          <xdr:cNvSpPr>
            <a:spLocks/>
          </xdr:cNvSpPr>
        </xdr:nvSpPr>
        <xdr:spPr bwMode="auto">
          <a:xfrm rot="5400000" flipH="1" flipV="1">
            <a:off x="537" y="602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81" name="Line 133">
            <a:extLst>
              <a:ext uri="{FF2B5EF4-FFF2-40B4-BE49-F238E27FC236}">
                <a16:creationId xmlns:a16="http://schemas.microsoft.com/office/drawing/2014/main" id="{E67033C4-E39C-4471-BE31-9FCC43E29C60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547" y="59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82" name="Freeform 134">
            <a:extLst>
              <a:ext uri="{FF2B5EF4-FFF2-40B4-BE49-F238E27FC236}">
                <a16:creationId xmlns:a16="http://schemas.microsoft.com/office/drawing/2014/main" id="{F664F5B6-4BAB-4881-9639-E45CACD70482}"/>
              </a:ext>
            </a:extLst>
          </xdr:cNvPr>
          <xdr:cNvSpPr>
            <a:spLocks/>
          </xdr:cNvSpPr>
        </xdr:nvSpPr>
        <xdr:spPr bwMode="auto">
          <a:xfrm rot="5400000" flipH="1" flipV="1">
            <a:off x="545" y="598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18</xdr:col>
      <xdr:colOff>28575</xdr:colOff>
      <xdr:row>15</xdr:row>
      <xdr:rowOff>323850</xdr:rowOff>
    </xdr:from>
    <xdr:to>
      <xdr:col>18</xdr:col>
      <xdr:colOff>85725</xdr:colOff>
      <xdr:row>15</xdr:row>
      <xdr:rowOff>742950</xdr:rowOff>
    </xdr:to>
    <xdr:grpSp>
      <xdr:nvGrpSpPr>
        <xdr:cNvPr id="2183" name="Group 135">
          <a:extLst>
            <a:ext uri="{FF2B5EF4-FFF2-40B4-BE49-F238E27FC236}">
              <a16:creationId xmlns:a16="http://schemas.microsoft.com/office/drawing/2014/main" id="{0387A13E-85B1-4D96-A2D5-47BF12FE7D9A}"/>
            </a:ext>
          </a:extLst>
        </xdr:cNvPr>
        <xdr:cNvGrpSpPr>
          <a:grpSpLocks/>
        </xdr:cNvGrpSpPr>
      </xdr:nvGrpSpPr>
      <xdr:grpSpPr bwMode="auto">
        <a:xfrm rot="-1555494">
          <a:off x="5305425" y="5438775"/>
          <a:ext cx="57150" cy="419100"/>
          <a:chOff x="122" y="579"/>
          <a:chExt cx="6" cy="44"/>
        </a:xfrm>
      </xdr:grpSpPr>
      <xdr:sp macro="" textlink="">
        <xdr:nvSpPr>
          <xdr:cNvPr id="2184" name="Line 136">
            <a:extLst>
              <a:ext uri="{FF2B5EF4-FFF2-40B4-BE49-F238E27FC236}">
                <a16:creationId xmlns:a16="http://schemas.microsoft.com/office/drawing/2014/main" id="{7697D371-F03F-46BD-AB07-DB141A034BAD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6" y="602"/>
            <a:ext cx="3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85" name="Freeform 137">
            <a:extLst>
              <a:ext uri="{FF2B5EF4-FFF2-40B4-BE49-F238E27FC236}">
                <a16:creationId xmlns:a16="http://schemas.microsoft.com/office/drawing/2014/main" id="{C35FBBDE-AD00-4F5C-B071-E1195CCBDC22}"/>
              </a:ext>
            </a:extLst>
          </xdr:cNvPr>
          <xdr:cNvSpPr>
            <a:spLocks/>
          </xdr:cNvSpPr>
        </xdr:nvSpPr>
        <xdr:spPr bwMode="auto">
          <a:xfrm rot="5400000">
            <a:off x="121" y="617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86" name="Freeform 138">
            <a:extLst>
              <a:ext uri="{FF2B5EF4-FFF2-40B4-BE49-F238E27FC236}">
                <a16:creationId xmlns:a16="http://schemas.microsoft.com/office/drawing/2014/main" id="{BEE290A4-023F-4061-94BB-675FA0A87200}"/>
              </a:ext>
            </a:extLst>
          </xdr:cNvPr>
          <xdr:cNvSpPr>
            <a:spLocks/>
          </xdr:cNvSpPr>
        </xdr:nvSpPr>
        <xdr:spPr bwMode="auto">
          <a:xfrm rot="-5400000">
            <a:off x="121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76200</xdr:colOff>
      <xdr:row>9</xdr:row>
      <xdr:rowOff>76200</xdr:rowOff>
    </xdr:from>
    <xdr:to>
      <xdr:col>5</xdr:col>
      <xdr:colOff>95250</xdr:colOff>
      <xdr:row>13</xdr:row>
      <xdr:rowOff>85725</xdr:rowOff>
    </xdr:to>
    <xdr:sp macro="" textlink="">
      <xdr:nvSpPr>
        <xdr:cNvPr id="2187" name="Text Box 139">
          <a:extLst>
            <a:ext uri="{FF2B5EF4-FFF2-40B4-BE49-F238E27FC236}">
              <a16:creationId xmlns:a16="http://schemas.microsoft.com/office/drawing/2014/main" id="{A7CB967B-AE73-4234-B9A5-4187C23EF3F5}"/>
            </a:ext>
          </a:extLst>
        </xdr:cNvPr>
        <xdr:cNvSpPr txBox="1">
          <a:spLocks noChangeArrowheads="1"/>
        </xdr:cNvSpPr>
      </xdr:nvSpPr>
      <xdr:spPr bwMode="auto">
        <a:xfrm>
          <a:off x="76200" y="3819525"/>
          <a:ext cx="1209675" cy="923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付加機能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連動出力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</xdr:txBody>
    </xdr:sp>
    <xdr:clientData/>
  </xdr:twoCellAnchor>
  <xdr:twoCellAnchor>
    <xdr:from>
      <xdr:col>7</xdr:col>
      <xdr:colOff>190500</xdr:colOff>
      <xdr:row>15</xdr:row>
      <xdr:rowOff>1381125</xdr:rowOff>
    </xdr:from>
    <xdr:to>
      <xdr:col>8</xdr:col>
      <xdr:colOff>228600</xdr:colOff>
      <xdr:row>15</xdr:row>
      <xdr:rowOff>1543050</xdr:rowOff>
    </xdr:to>
    <xdr:sp macro="" textlink="">
      <xdr:nvSpPr>
        <xdr:cNvPr id="2188" name="Text Box 140">
          <a:extLst>
            <a:ext uri="{FF2B5EF4-FFF2-40B4-BE49-F238E27FC236}">
              <a16:creationId xmlns:a16="http://schemas.microsoft.com/office/drawing/2014/main" id="{8BB29328-CBC9-4A8C-A57E-67A1449AC2BD}"/>
            </a:ext>
          </a:extLst>
        </xdr:cNvPr>
        <xdr:cNvSpPr txBox="1">
          <a:spLocks noChangeArrowheads="1"/>
        </xdr:cNvSpPr>
      </xdr:nvSpPr>
      <xdr:spPr bwMode="auto">
        <a:xfrm>
          <a:off x="2009775" y="64960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12.6m</a:t>
          </a:r>
        </a:p>
      </xdr:txBody>
    </xdr:sp>
    <xdr:clientData/>
  </xdr:twoCellAnchor>
  <xdr:twoCellAnchor>
    <xdr:from>
      <xdr:col>17</xdr:col>
      <xdr:colOff>133350</xdr:colOff>
      <xdr:row>15</xdr:row>
      <xdr:rowOff>161925</xdr:rowOff>
    </xdr:from>
    <xdr:to>
      <xdr:col>18</xdr:col>
      <xdr:colOff>171450</xdr:colOff>
      <xdr:row>15</xdr:row>
      <xdr:rowOff>323850</xdr:rowOff>
    </xdr:to>
    <xdr:sp macro="" textlink="">
      <xdr:nvSpPr>
        <xdr:cNvPr id="2189" name="Text Box 141">
          <a:extLst>
            <a:ext uri="{FF2B5EF4-FFF2-40B4-BE49-F238E27FC236}">
              <a16:creationId xmlns:a16="http://schemas.microsoft.com/office/drawing/2014/main" id="{E9F1B663-9DF2-410C-9C57-B07FD9F48A34}"/>
            </a:ext>
          </a:extLst>
        </xdr:cNvPr>
        <xdr:cNvSpPr txBox="1">
          <a:spLocks noChangeArrowheads="1"/>
        </xdr:cNvSpPr>
      </xdr:nvSpPr>
      <xdr:spPr bwMode="auto">
        <a:xfrm>
          <a:off x="5095875" y="52768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19.2m</a:t>
          </a:r>
        </a:p>
      </xdr:txBody>
    </xdr:sp>
    <xdr:clientData/>
  </xdr:twoCellAnchor>
  <xdr:twoCellAnchor>
    <xdr:from>
      <xdr:col>20</xdr:col>
      <xdr:colOff>276225</xdr:colOff>
      <xdr:row>7</xdr:row>
      <xdr:rowOff>447675</xdr:rowOff>
    </xdr:from>
    <xdr:to>
      <xdr:col>21</xdr:col>
      <xdr:colOff>209550</xdr:colOff>
      <xdr:row>8</xdr:row>
      <xdr:rowOff>161925</xdr:rowOff>
    </xdr:to>
    <xdr:sp macro="" textlink="">
      <xdr:nvSpPr>
        <xdr:cNvPr id="2190" name="Text Box 142">
          <a:extLst>
            <a:ext uri="{FF2B5EF4-FFF2-40B4-BE49-F238E27FC236}">
              <a16:creationId xmlns:a16="http://schemas.microsoft.com/office/drawing/2014/main" id="{5FC4DE4A-DA7C-41A7-A26D-33285C0C976B}"/>
            </a:ext>
          </a:extLst>
        </xdr:cNvPr>
        <xdr:cNvSpPr txBox="1">
          <a:spLocks noChangeArrowheads="1"/>
        </xdr:cNvSpPr>
      </xdr:nvSpPr>
      <xdr:spPr bwMode="auto">
        <a:xfrm>
          <a:off x="6181725" y="208597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清水１丁目</a:t>
          </a:r>
        </a:p>
      </xdr:txBody>
    </xdr:sp>
    <xdr:clientData/>
  </xdr:twoCellAnchor>
  <xdr:twoCellAnchor>
    <xdr:from>
      <xdr:col>4</xdr:col>
      <xdr:colOff>76200</xdr:colOff>
      <xdr:row>7</xdr:row>
      <xdr:rowOff>0</xdr:rowOff>
    </xdr:from>
    <xdr:to>
      <xdr:col>5</xdr:col>
      <xdr:colOff>9525</xdr:colOff>
      <xdr:row>7</xdr:row>
      <xdr:rowOff>1590675</xdr:rowOff>
    </xdr:to>
    <xdr:sp macro="" textlink="">
      <xdr:nvSpPr>
        <xdr:cNvPr id="2191" name="Text Box 143">
          <a:extLst>
            <a:ext uri="{FF2B5EF4-FFF2-40B4-BE49-F238E27FC236}">
              <a16:creationId xmlns:a16="http://schemas.microsoft.com/office/drawing/2014/main" id="{854AAD55-8232-4C81-B216-E3C5195C9672}"/>
            </a:ext>
          </a:extLst>
        </xdr:cNvPr>
        <xdr:cNvSpPr txBox="1">
          <a:spLocks noChangeArrowheads="1"/>
        </xdr:cNvSpPr>
      </xdr:nvSpPr>
      <xdr:spPr bwMode="auto">
        <a:xfrm>
          <a:off x="952500" y="1638300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警固屋</a:t>
          </a:r>
        </a:p>
      </xdr:txBody>
    </xdr:sp>
    <xdr:clientData/>
  </xdr:twoCellAnchor>
  <xdr:twoCellAnchor editAs="oneCell">
    <xdr:from>
      <xdr:col>20</xdr:col>
      <xdr:colOff>247650</xdr:colOff>
      <xdr:row>2</xdr:row>
      <xdr:rowOff>114300</xdr:rowOff>
    </xdr:from>
    <xdr:to>
      <xdr:col>23</xdr:col>
      <xdr:colOff>0</xdr:colOff>
      <xdr:row>5</xdr:row>
      <xdr:rowOff>123825</xdr:rowOff>
    </xdr:to>
    <xdr:pic>
      <xdr:nvPicPr>
        <xdr:cNvPr id="2192" name="Picture 144">
          <a:extLst>
            <a:ext uri="{FF2B5EF4-FFF2-40B4-BE49-F238E27FC236}">
              <a16:creationId xmlns:a16="http://schemas.microsoft.com/office/drawing/2014/main" id="{A465CEC3-A25B-40B4-8333-8EC2EF6F9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609600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161925</xdr:colOff>
      <xdr:row>7</xdr:row>
      <xdr:rowOff>1152525</xdr:rowOff>
    </xdr:from>
    <xdr:to>
      <xdr:col>20</xdr:col>
      <xdr:colOff>238125</xdr:colOff>
      <xdr:row>7</xdr:row>
      <xdr:rowOff>1295400</xdr:rowOff>
    </xdr:to>
    <xdr:sp macro="" textlink="">
      <xdr:nvSpPr>
        <xdr:cNvPr id="2193" name="Text Box 145">
          <a:extLst>
            <a:ext uri="{FF2B5EF4-FFF2-40B4-BE49-F238E27FC236}">
              <a16:creationId xmlns:a16="http://schemas.microsoft.com/office/drawing/2014/main" id="{1CC2935D-93D4-4306-9D8D-4F40D89ECC56}"/>
            </a:ext>
          </a:extLst>
        </xdr:cNvPr>
        <xdr:cNvSpPr txBox="1">
          <a:spLocks noChangeArrowheads="1"/>
        </xdr:cNvSpPr>
      </xdr:nvSpPr>
      <xdr:spPr bwMode="auto">
        <a:xfrm>
          <a:off x="5753100" y="2790825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30km/h</a:t>
          </a:r>
        </a:p>
      </xdr:txBody>
    </xdr:sp>
    <xdr:clientData/>
  </xdr:twoCellAnchor>
  <xdr:twoCellAnchor>
    <xdr:from>
      <xdr:col>5</xdr:col>
      <xdr:colOff>47625</xdr:colOff>
      <xdr:row>7</xdr:row>
      <xdr:rowOff>790575</xdr:rowOff>
    </xdr:from>
    <xdr:to>
      <xdr:col>6</xdr:col>
      <xdr:colOff>123825</xdr:colOff>
      <xdr:row>7</xdr:row>
      <xdr:rowOff>933450</xdr:rowOff>
    </xdr:to>
    <xdr:sp macro="" textlink="">
      <xdr:nvSpPr>
        <xdr:cNvPr id="2194" name="Text Box 146">
          <a:extLst>
            <a:ext uri="{FF2B5EF4-FFF2-40B4-BE49-F238E27FC236}">
              <a16:creationId xmlns:a16="http://schemas.microsoft.com/office/drawing/2014/main" id="{4EDFEB52-4C67-43F1-B772-B8E0382DD664}"/>
            </a:ext>
          </a:extLst>
        </xdr:cNvPr>
        <xdr:cNvSpPr txBox="1">
          <a:spLocks noChangeArrowheads="1"/>
        </xdr:cNvSpPr>
      </xdr:nvSpPr>
      <xdr:spPr bwMode="auto">
        <a:xfrm>
          <a:off x="1238250" y="2428875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50km/h</a:t>
          </a:r>
        </a:p>
      </xdr:txBody>
    </xdr:sp>
    <xdr:clientData/>
  </xdr:twoCellAnchor>
  <xdr:twoCellAnchor>
    <xdr:from>
      <xdr:col>16</xdr:col>
      <xdr:colOff>171450</xdr:colOff>
      <xdr:row>3</xdr:row>
      <xdr:rowOff>9525</xdr:rowOff>
    </xdr:from>
    <xdr:to>
      <xdr:col>17</xdr:col>
      <xdr:colOff>247650</xdr:colOff>
      <xdr:row>3</xdr:row>
      <xdr:rowOff>152400</xdr:rowOff>
    </xdr:to>
    <xdr:sp macro="" textlink="">
      <xdr:nvSpPr>
        <xdr:cNvPr id="2195" name="Text Box 147">
          <a:extLst>
            <a:ext uri="{FF2B5EF4-FFF2-40B4-BE49-F238E27FC236}">
              <a16:creationId xmlns:a16="http://schemas.microsoft.com/office/drawing/2014/main" id="{A57A96C8-C304-4C9C-BE9D-AC28988488B0}"/>
            </a:ext>
          </a:extLst>
        </xdr:cNvPr>
        <xdr:cNvSpPr txBox="1">
          <a:spLocks noChangeArrowheads="1"/>
        </xdr:cNvSpPr>
      </xdr:nvSpPr>
      <xdr:spPr bwMode="auto">
        <a:xfrm>
          <a:off x="4819650" y="733425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50km/h</a:t>
          </a:r>
        </a:p>
      </xdr:txBody>
    </xdr:sp>
    <xdr:clientData/>
  </xdr:twoCellAnchor>
  <xdr:twoCellAnchor>
    <xdr:from>
      <xdr:col>14</xdr:col>
      <xdr:colOff>209550</xdr:colOff>
      <xdr:row>7</xdr:row>
      <xdr:rowOff>1857375</xdr:rowOff>
    </xdr:from>
    <xdr:to>
      <xdr:col>16</xdr:col>
      <xdr:colOff>285750</xdr:colOff>
      <xdr:row>8</xdr:row>
      <xdr:rowOff>114300</xdr:rowOff>
    </xdr:to>
    <xdr:sp macro="" textlink="">
      <xdr:nvSpPr>
        <xdr:cNvPr id="2196" name="Text Box 148">
          <a:extLst>
            <a:ext uri="{FF2B5EF4-FFF2-40B4-BE49-F238E27FC236}">
              <a16:creationId xmlns:a16="http://schemas.microsoft.com/office/drawing/2014/main" id="{EA40F8A2-8E9C-4E80-A12E-47E222408EC2}"/>
            </a:ext>
          </a:extLst>
        </xdr:cNvPr>
        <xdr:cNvSpPr txBox="1">
          <a:spLocks noChangeArrowheads="1"/>
        </xdr:cNvSpPr>
      </xdr:nvSpPr>
      <xdr:spPr bwMode="auto">
        <a:xfrm>
          <a:off x="4229100" y="3495675"/>
          <a:ext cx="70485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速度表示無し</a:t>
          </a:r>
        </a:p>
      </xdr:txBody>
    </xdr:sp>
    <xdr:clientData/>
  </xdr:twoCellAnchor>
  <xdr:twoCellAnchor>
    <xdr:from>
      <xdr:col>4</xdr:col>
      <xdr:colOff>0</xdr:colOff>
      <xdr:row>17</xdr:row>
      <xdr:rowOff>95250</xdr:rowOff>
    </xdr:from>
    <xdr:to>
      <xdr:col>9</xdr:col>
      <xdr:colOff>0</xdr:colOff>
      <xdr:row>17</xdr:row>
      <xdr:rowOff>142875</xdr:rowOff>
    </xdr:to>
    <xdr:grpSp>
      <xdr:nvGrpSpPr>
        <xdr:cNvPr id="2203" name="Group 155">
          <a:extLst>
            <a:ext uri="{FF2B5EF4-FFF2-40B4-BE49-F238E27FC236}">
              <a16:creationId xmlns:a16="http://schemas.microsoft.com/office/drawing/2014/main" id="{5F2E81A5-EBFD-44B4-A0CB-79C4CD613AB3}"/>
            </a:ext>
          </a:extLst>
        </xdr:cNvPr>
        <xdr:cNvGrpSpPr>
          <a:grpSpLocks/>
        </xdr:cNvGrpSpPr>
      </xdr:nvGrpSpPr>
      <xdr:grpSpPr bwMode="auto">
        <a:xfrm>
          <a:off x="876300" y="7019925"/>
          <a:ext cx="1571625" cy="47625"/>
          <a:chOff x="158" y="715"/>
          <a:chExt cx="33" cy="5"/>
        </a:xfrm>
      </xdr:grpSpPr>
      <xdr:sp macro="" textlink="">
        <xdr:nvSpPr>
          <xdr:cNvPr id="2204" name="Line 156">
            <a:extLst>
              <a:ext uri="{FF2B5EF4-FFF2-40B4-BE49-F238E27FC236}">
                <a16:creationId xmlns:a16="http://schemas.microsoft.com/office/drawing/2014/main" id="{807C0693-7FDF-471B-9F83-6871B21368A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05" name="Line 157">
            <a:extLst>
              <a:ext uri="{FF2B5EF4-FFF2-40B4-BE49-F238E27FC236}">
                <a16:creationId xmlns:a16="http://schemas.microsoft.com/office/drawing/2014/main" id="{EC6EE2CD-1761-4B20-8CDD-9CE2A73160E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16</xdr:row>
      <xdr:rowOff>95250</xdr:rowOff>
    </xdr:from>
    <xdr:to>
      <xdr:col>19</xdr:col>
      <xdr:colOff>9525</xdr:colOff>
      <xdr:row>16</xdr:row>
      <xdr:rowOff>142875</xdr:rowOff>
    </xdr:to>
    <xdr:grpSp>
      <xdr:nvGrpSpPr>
        <xdr:cNvPr id="2206" name="Group 158">
          <a:extLst>
            <a:ext uri="{FF2B5EF4-FFF2-40B4-BE49-F238E27FC236}">
              <a16:creationId xmlns:a16="http://schemas.microsoft.com/office/drawing/2014/main" id="{79F1C12E-F60A-426C-92AD-5F238A27F097}"/>
            </a:ext>
          </a:extLst>
        </xdr:cNvPr>
        <xdr:cNvGrpSpPr>
          <a:grpSpLocks/>
        </xdr:cNvGrpSpPr>
      </xdr:nvGrpSpPr>
      <xdr:grpSpPr bwMode="auto">
        <a:xfrm>
          <a:off x="3714750" y="6791325"/>
          <a:ext cx="1885950" cy="47625"/>
          <a:chOff x="158" y="715"/>
          <a:chExt cx="33" cy="5"/>
        </a:xfrm>
      </xdr:grpSpPr>
      <xdr:sp macro="" textlink="">
        <xdr:nvSpPr>
          <xdr:cNvPr id="2207" name="Line 159">
            <a:extLst>
              <a:ext uri="{FF2B5EF4-FFF2-40B4-BE49-F238E27FC236}">
                <a16:creationId xmlns:a16="http://schemas.microsoft.com/office/drawing/2014/main" id="{A89FDB2B-CEEB-494A-98CE-50714D1A319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08" name="Line 160">
            <a:extLst>
              <a:ext uri="{FF2B5EF4-FFF2-40B4-BE49-F238E27FC236}">
                <a16:creationId xmlns:a16="http://schemas.microsoft.com/office/drawing/2014/main" id="{5DF59588-55AE-400D-9A5C-985EE2BFCB5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16</xdr:row>
      <xdr:rowOff>47625</xdr:rowOff>
    </xdr:from>
    <xdr:to>
      <xdr:col>12</xdr:col>
      <xdr:colOff>304800</xdr:colOff>
      <xdr:row>16</xdr:row>
      <xdr:rowOff>190500</xdr:rowOff>
    </xdr:to>
    <xdr:sp macro="" textlink="">
      <xdr:nvSpPr>
        <xdr:cNvPr id="2209" name="Freeform 161">
          <a:extLst>
            <a:ext uri="{FF2B5EF4-FFF2-40B4-BE49-F238E27FC236}">
              <a16:creationId xmlns:a16="http://schemas.microsoft.com/office/drawing/2014/main" id="{8CD30F60-3139-4ECD-9919-4E61C7F45BF2}"/>
            </a:ext>
          </a:extLst>
        </xdr:cNvPr>
        <xdr:cNvSpPr>
          <a:spLocks/>
        </xdr:cNvSpPr>
      </xdr:nvSpPr>
      <xdr:spPr bwMode="auto">
        <a:xfrm>
          <a:off x="3400425" y="67437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9525</xdr:colOff>
      <xdr:row>16</xdr:row>
      <xdr:rowOff>95250</xdr:rowOff>
    </xdr:from>
    <xdr:to>
      <xdr:col>9</xdr:col>
      <xdr:colOff>9525</xdr:colOff>
      <xdr:row>16</xdr:row>
      <xdr:rowOff>142875</xdr:rowOff>
    </xdr:to>
    <xdr:grpSp>
      <xdr:nvGrpSpPr>
        <xdr:cNvPr id="2210" name="Group 162">
          <a:extLst>
            <a:ext uri="{FF2B5EF4-FFF2-40B4-BE49-F238E27FC236}">
              <a16:creationId xmlns:a16="http://schemas.microsoft.com/office/drawing/2014/main" id="{3B69C904-FB42-413D-88A1-6B944F4E099D}"/>
            </a:ext>
          </a:extLst>
        </xdr:cNvPr>
        <xdr:cNvGrpSpPr>
          <a:grpSpLocks/>
        </xdr:cNvGrpSpPr>
      </xdr:nvGrpSpPr>
      <xdr:grpSpPr bwMode="auto">
        <a:xfrm>
          <a:off x="885825" y="6791325"/>
          <a:ext cx="1571625" cy="47625"/>
          <a:chOff x="158" y="715"/>
          <a:chExt cx="33" cy="5"/>
        </a:xfrm>
      </xdr:grpSpPr>
      <xdr:sp macro="" textlink="">
        <xdr:nvSpPr>
          <xdr:cNvPr id="2211" name="Line 163">
            <a:extLst>
              <a:ext uri="{FF2B5EF4-FFF2-40B4-BE49-F238E27FC236}">
                <a16:creationId xmlns:a16="http://schemas.microsoft.com/office/drawing/2014/main" id="{51B56DAE-A4E9-4217-B78C-E5C1E9BEF34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12" name="Line 164">
            <a:extLst>
              <a:ext uri="{FF2B5EF4-FFF2-40B4-BE49-F238E27FC236}">
                <a16:creationId xmlns:a16="http://schemas.microsoft.com/office/drawing/2014/main" id="{5AA4701E-06EF-426C-AD2F-3FF2034AF60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266700</xdr:colOff>
      <xdr:row>15</xdr:row>
      <xdr:rowOff>485775</xdr:rowOff>
    </xdr:from>
    <xdr:to>
      <xdr:col>12</xdr:col>
      <xdr:colOff>66675</xdr:colOff>
      <xdr:row>15</xdr:row>
      <xdr:rowOff>628650</xdr:rowOff>
    </xdr:to>
    <xdr:grpSp>
      <xdr:nvGrpSpPr>
        <xdr:cNvPr id="2218" name="Group 170">
          <a:extLst>
            <a:ext uri="{FF2B5EF4-FFF2-40B4-BE49-F238E27FC236}">
              <a16:creationId xmlns:a16="http://schemas.microsoft.com/office/drawing/2014/main" id="{BA962913-88F9-4022-AE5C-C36493A5DCF3}"/>
            </a:ext>
          </a:extLst>
        </xdr:cNvPr>
        <xdr:cNvGrpSpPr>
          <a:grpSpLocks/>
        </xdr:cNvGrpSpPr>
      </xdr:nvGrpSpPr>
      <xdr:grpSpPr bwMode="auto">
        <a:xfrm>
          <a:off x="3343275" y="5600700"/>
          <a:ext cx="114300" cy="142875"/>
          <a:chOff x="186" y="590"/>
          <a:chExt cx="12" cy="15"/>
        </a:xfrm>
      </xdr:grpSpPr>
      <xdr:sp macro="" textlink="">
        <xdr:nvSpPr>
          <xdr:cNvPr id="2219" name="Line 171">
            <a:extLst>
              <a:ext uri="{FF2B5EF4-FFF2-40B4-BE49-F238E27FC236}">
                <a16:creationId xmlns:a16="http://schemas.microsoft.com/office/drawing/2014/main" id="{0296C311-C46D-4B9A-9649-D1A8332167CB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94" y="59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20" name="Freeform 172">
            <a:extLst>
              <a:ext uri="{FF2B5EF4-FFF2-40B4-BE49-F238E27FC236}">
                <a16:creationId xmlns:a16="http://schemas.microsoft.com/office/drawing/2014/main" id="{A4DD88F5-5643-4EC3-9E72-226ABA21C5E9}"/>
              </a:ext>
            </a:extLst>
          </xdr:cNvPr>
          <xdr:cNvSpPr>
            <a:spLocks/>
          </xdr:cNvSpPr>
        </xdr:nvSpPr>
        <xdr:spPr bwMode="auto">
          <a:xfrm rot="10800000" flipH="1">
            <a:off x="186" y="598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221" name="Freeform 173">
            <a:extLst>
              <a:ext uri="{FF2B5EF4-FFF2-40B4-BE49-F238E27FC236}">
                <a16:creationId xmlns:a16="http://schemas.microsoft.com/office/drawing/2014/main" id="{029794F9-D17E-415D-8CF2-46C788A576BA}"/>
              </a:ext>
            </a:extLst>
          </xdr:cNvPr>
          <xdr:cNvSpPr>
            <a:spLocks/>
          </xdr:cNvSpPr>
        </xdr:nvSpPr>
        <xdr:spPr bwMode="auto">
          <a:xfrm rot="10800000" flipH="1">
            <a:off x="190" y="590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3</xdr:row>
      <xdr:rowOff>9525</xdr:rowOff>
    </xdr:from>
    <xdr:to>
      <xdr:col>20</xdr:col>
      <xdr:colOff>247650</xdr:colOff>
      <xdr:row>8</xdr:row>
      <xdr:rowOff>190500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F5195FF-02C0-45EF-92F2-F2B358C55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733425"/>
          <a:ext cx="4905375" cy="297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72680027-952E-4160-B830-45BA287E4082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31CA119E-CCE1-4B66-908A-DB2F04B3C77E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1028" name="Freeform 4">
          <a:extLst>
            <a:ext uri="{FF2B5EF4-FFF2-40B4-BE49-F238E27FC236}">
              <a16:creationId xmlns:a16="http://schemas.microsoft.com/office/drawing/2014/main" id="{449F1EA9-B677-47D0-B721-EAA553CE72A7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16</xdr:row>
      <xdr:rowOff>114300</xdr:rowOff>
    </xdr:from>
    <xdr:to>
      <xdr:col>7</xdr:col>
      <xdr:colOff>0</xdr:colOff>
      <xdr:row>16</xdr:row>
      <xdr:rowOff>114300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18CAC788-4FDA-41EB-A193-AA8702920282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16</xdr:row>
      <xdr:rowOff>47625</xdr:rowOff>
    </xdr:from>
    <xdr:to>
      <xdr:col>7</xdr:col>
      <xdr:colOff>304800</xdr:colOff>
      <xdr:row>16</xdr:row>
      <xdr:rowOff>190500</xdr:rowOff>
    </xdr:to>
    <xdr:sp macro="" textlink="">
      <xdr:nvSpPr>
        <xdr:cNvPr id="1030" name="Freeform 6">
          <a:extLst>
            <a:ext uri="{FF2B5EF4-FFF2-40B4-BE49-F238E27FC236}">
              <a16:creationId xmlns:a16="http://schemas.microsoft.com/office/drawing/2014/main" id="{9410D32D-20FB-4A61-A3E5-A1AB4EF14EAB}"/>
            </a:ext>
          </a:extLst>
        </xdr:cNvPr>
        <xdr:cNvSpPr>
          <a:spLocks/>
        </xdr:cNvSpPr>
      </xdr:nvSpPr>
      <xdr:spPr bwMode="auto">
        <a:xfrm>
          <a:off x="1828800" y="67437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16</xdr:row>
      <xdr:rowOff>95250</xdr:rowOff>
    </xdr:from>
    <xdr:to>
      <xdr:col>19</xdr:col>
      <xdr:colOff>0</xdr:colOff>
      <xdr:row>16</xdr:row>
      <xdr:rowOff>142875</xdr:rowOff>
    </xdr:to>
    <xdr:grpSp>
      <xdr:nvGrpSpPr>
        <xdr:cNvPr id="1031" name="Group 7">
          <a:extLst>
            <a:ext uri="{FF2B5EF4-FFF2-40B4-BE49-F238E27FC236}">
              <a16:creationId xmlns:a16="http://schemas.microsoft.com/office/drawing/2014/main" id="{AE0E8226-78E4-4731-BF70-7DA57FFB995D}"/>
            </a:ext>
          </a:extLst>
        </xdr:cNvPr>
        <xdr:cNvGrpSpPr>
          <a:grpSpLocks/>
        </xdr:cNvGrpSpPr>
      </xdr:nvGrpSpPr>
      <xdr:grpSpPr bwMode="auto">
        <a:xfrm>
          <a:off x="2133600" y="6791325"/>
          <a:ext cx="3457575" cy="47625"/>
          <a:chOff x="158" y="715"/>
          <a:chExt cx="33" cy="5"/>
        </a:xfrm>
      </xdr:grpSpPr>
      <xdr:sp macro="" textlink="">
        <xdr:nvSpPr>
          <xdr:cNvPr id="1032" name="Line 8">
            <a:extLst>
              <a:ext uri="{FF2B5EF4-FFF2-40B4-BE49-F238E27FC236}">
                <a16:creationId xmlns:a16="http://schemas.microsoft.com/office/drawing/2014/main" id="{E7445FCD-643A-4614-996F-0D1DDFE262B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3" name="Line 9">
            <a:extLst>
              <a:ext uri="{FF2B5EF4-FFF2-40B4-BE49-F238E27FC236}">
                <a16:creationId xmlns:a16="http://schemas.microsoft.com/office/drawing/2014/main" id="{C38965C1-8DE3-44BA-92AA-C115A2538F8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17</xdr:row>
      <xdr:rowOff>47625</xdr:rowOff>
    </xdr:from>
    <xdr:to>
      <xdr:col>12</xdr:col>
      <xdr:colOff>304800</xdr:colOff>
      <xdr:row>17</xdr:row>
      <xdr:rowOff>190500</xdr:rowOff>
    </xdr:to>
    <xdr:sp macro="" textlink="">
      <xdr:nvSpPr>
        <xdr:cNvPr id="1034" name="Freeform 10">
          <a:extLst>
            <a:ext uri="{FF2B5EF4-FFF2-40B4-BE49-F238E27FC236}">
              <a16:creationId xmlns:a16="http://schemas.microsoft.com/office/drawing/2014/main" id="{682A597B-026F-49BD-AF48-E30DA3C92E60}"/>
            </a:ext>
          </a:extLst>
        </xdr:cNvPr>
        <xdr:cNvSpPr>
          <a:spLocks/>
        </xdr:cNvSpPr>
      </xdr:nvSpPr>
      <xdr:spPr bwMode="auto">
        <a:xfrm>
          <a:off x="3400425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17</xdr:row>
      <xdr:rowOff>104775</xdr:rowOff>
    </xdr:from>
    <xdr:to>
      <xdr:col>12</xdr:col>
      <xdr:colOff>0</xdr:colOff>
      <xdr:row>17</xdr:row>
      <xdr:rowOff>152400</xdr:rowOff>
    </xdr:to>
    <xdr:grpSp>
      <xdr:nvGrpSpPr>
        <xdr:cNvPr id="1035" name="Group 11">
          <a:extLst>
            <a:ext uri="{FF2B5EF4-FFF2-40B4-BE49-F238E27FC236}">
              <a16:creationId xmlns:a16="http://schemas.microsoft.com/office/drawing/2014/main" id="{0F8869B0-08E4-4EB6-ACB3-89F3043E5D2F}"/>
            </a:ext>
          </a:extLst>
        </xdr:cNvPr>
        <xdr:cNvGrpSpPr>
          <a:grpSpLocks/>
        </xdr:cNvGrpSpPr>
      </xdr:nvGrpSpPr>
      <xdr:grpSpPr bwMode="auto">
        <a:xfrm>
          <a:off x="2133600" y="7029450"/>
          <a:ext cx="1257300" cy="47625"/>
          <a:chOff x="158" y="715"/>
          <a:chExt cx="33" cy="5"/>
        </a:xfrm>
      </xdr:grpSpPr>
      <xdr:sp macro="" textlink="">
        <xdr:nvSpPr>
          <xdr:cNvPr id="1036" name="Line 12">
            <a:extLst>
              <a:ext uri="{FF2B5EF4-FFF2-40B4-BE49-F238E27FC236}">
                <a16:creationId xmlns:a16="http://schemas.microsoft.com/office/drawing/2014/main" id="{B8724504-A74B-436D-A0AC-4BD6490CDAD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7" name="Line 13">
            <a:extLst>
              <a:ext uri="{FF2B5EF4-FFF2-40B4-BE49-F238E27FC236}">
                <a16:creationId xmlns:a16="http://schemas.microsoft.com/office/drawing/2014/main" id="{544A6F8E-6AC0-400C-84BC-9A851031CE0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17</xdr:row>
      <xdr:rowOff>104775</xdr:rowOff>
    </xdr:from>
    <xdr:to>
      <xdr:col>19</xdr:col>
      <xdr:colOff>0</xdr:colOff>
      <xdr:row>17</xdr:row>
      <xdr:rowOff>152400</xdr:rowOff>
    </xdr:to>
    <xdr:grpSp>
      <xdr:nvGrpSpPr>
        <xdr:cNvPr id="1038" name="Group 14">
          <a:extLst>
            <a:ext uri="{FF2B5EF4-FFF2-40B4-BE49-F238E27FC236}">
              <a16:creationId xmlns:a16="http://schemas.microsoft.com/office/drawing/2014/main" id="{CA072ECF-B32E-4268-A532-5D07C92C118C}"/>
            </a:ext>
          </a:extLst>
        </xdr:cNvPr>
        <xdr:cNvGrpSpPr>
          <a:grpSpLocks/>
        </xdr:cNvGrpSpPr>
      </xdr:nvGrpSpPr>
      <xdr:grpSpPr bwMode="auto">
        <a:xfrm>
          <a:off x="3705225" y="7029450"/>
          <a:ext cx="1885950" cy="47625"/>
          <a:chOff x="158" y="715"/>
          <a:chExt cx="33" cy="5"/>
        </a:xfrm>
      </xdr:grpSpPr>
      <xdr:sp macro="" textlink="">
        <xdr:nvSpPr>
          <xdr:cNvPr id="1039" name="Line 15">
            <a:extLst>
              <a:ext uri="{FF2B5EF4-FFF2-40B4-BE49-F238E27FC236}">
                <a16:creationId xmlns:a16="http://schemas.microsoft.com/office/drawing/2014/main" id="{624ED2F9-A585-466F-A250-5FEDC5EEABB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0" name="Line 16">
            <a:extLst>
              <a:ext uri="{FF2B5EF4-FFF2-40B4-BE49-F238E27FC236}">
                <a16:creationId xmlns:a16="http://schemas.microsoft.com/office/drawing/2014/main" id="{D4F75D40-DE8A-4818-A79F-56CC116D4B4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0</xdr:colOff>
      <xdr:row>21</xdr:row>
      <xdr:rowOff>95250</xdr:rowOff>
    </xdr:from>
    <xdr:to>
      <xdr:col>19</xdr:col>
      <xdr:colOff>0</xdr:colOff>
      <xdr:row>21</xdr:row>
      <xdr:rowOff>142875</xdr:rowOff>
    </xdr:to>
    <xdr:grpSp>
      <xdr:nvGrpSpPr>
        <xdr:cNvPr id="1041" name="Group 17">
          <a:extLst>
            <a:ext uri="{FF2B5EF4-FFF2-40B4-BE49-F238E27FC236}">
              <a16:creationId xmlns:a16="http://schemas.microsoft.com/office/drawing/2014/main" id="{979344D2-DC90-4055-92F0-87BEE5F437F5}"/>
            </a:ext>
          </a:extLst>
        </xdr:cNvPr>
        <xdr:cNvGrpSpPr>
          <a:grpSpLocks/>
        </xdr:cNvGrpSpPr>
      </xdr:nvGrpSpPr>
      <xdr:grpSpPr bwMode="auto">
        <a:xfrm>
          <a:off x="4648200" y="7934325"/>
          <a:ext cx="942975" cy="47625"/>
          <a:chOff x="158" y="715"/>
          <a:chExt cx="33" cy="5"/>
        </a:xfrm>
      </xdr:grpSpPr>
      <xdr:sp macro="" textlink="">
        <xdr:nvSpPr>
          <xdr:cNvPr id="1042" name="Line 18">
            <a:extLst>
              <a:ext uri="{FF2B5EF4-FFF2-40B4-BE49-F238E27FC236}">
                <a16:creationId xmlns:a16="http://schemas.microsoft.com/office/drawing/2014/main" id="{D89E83DE-4345-46FE-A108-06FAF29F268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3" name="Line 19">
            <a:extLst>
              <a:ext uri="{FF2B5EF4-FFF2-40B4-BE49-F238E27FC236}">
                <a16:creationId xmlns:a16="http://schemas.microsoft.com/office/drawing/2014/main" id="{9F0DB20E-0196-427A-B600-91CFE406252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21</xdr:row>
      <xdr:rowOff>95250</xdr:rowOff>
    </xdr:from>
    <xdr:to>
      <xdr:col>14</xdr:col>
      <xdr:colOff>0</xdr:colOff>
      <xdr:row>21</xdr:row>
      <xdr:rowOff>142875</xdr:rowOff>
    </xdr:to>
    <xdr:grpSp>
      <xdr:nvGrpSpPr>
        <xdr:cNvPr id="1044" name="Group 20">
          <a:extLst>
            <a:ext uri="{FF2B5EF4-FFF2-40B4-BE49-F238E27FC236}">
              <a16:creationId xmlns:a16="http://schemas.microsoft.com/office/drawing/2014/main" id="{5CFE4CA2-95DC-459A-A2AB-37472D20493D}"/>
            </a:ext>
          </a:extLst>
        </xdr:cNvPr>
        <xdr:cNvGrpSpPr>
          <a:grpSpLocks/>
        </xdr:cNvGrpSpPr>
      </xdr:nvGrpSpPr>
      <xdr:grpSpPr bwMode="auto">
        <a:xfrm>
          <a:off x="876300" y="7934325"/>
          <a:ext cx="3143250" cy="47625"/>
          <a:chOff x="158" y="715"/>
          <a:chExt cx="33" cy="5"/>
        </a:xfrm>
      </xdr:grpSpPr>
      <xdr:sp macro="" textlink="">
        <xdr:nvSpPr>
          <xdr:cNvPr id="1045" name="Line 21">
            <a:extLst>
              <a:ext uri="{FF2B5EF4-FFF2-40B4-BE49-F238E27FC236}">
                <a16:creationId xmlns:a16="http://schemas.microsoft.com/office/drawing/2014/main" id="{723F1196-FC5F-46EE-8AC8-4733268D373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6" name="Line 22">
            <a:extLst>
              <a:ext uri="{FF2B5EF4-FFF2-40B4-BE49-F238E27FC236}">
                <a16:creationId xmlns:a16="http://schemas.microsoft.com/office/drawing/2014/main" id="{48661FC6-03C0-4B65-9126-E5C3FD99E52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47625</xdr:colOff>
      <xdr:row>21</xdr:row>
      <xdr:rowOff>38100</xdr:rowOff>
    </xdr:from>
    <xdr:to>
      <xdr:col>15</xdr:col>
      <xdr:colOff>266700</xdr:colOff>
      <xdr:row>21</xdr:row>
      <xdr:rowOff>190500</xdr:rowOff>
    </xdr:to>
    <xdr:grpSp>
      <xdr:nvGrpSpPr>
        <xdr:cNvPr id="1047" name="Group 23">
          <a:extLst>
            <a:ext uri="{FF2B5EF4-FFF2-40B4-BE49-F238E27FC236}">
              <a16:creationId xmlns:a16="http://schemas.microsoft.com/office/drawing/2014/main" id="{113B863B-22C7-4E1E-8A3B-0C90CD497FBB}"/>
            </a:ext>
          </a:extLst>
        </xdr:cNvPr>
        <xdr:cNvGrpSpPr>
          <a:grpSpLocks/>
        </xdr:cNvGrpSpPr>
      </xdr:nvGrpSpPr>
      <xdr:grpSpPr bwMode="auto">
        <a:xfrm>
          <a:off x="4381500" y="7877175"/>
          <a:ext cx="219075" cy="152400"/>
          <a:chOff x="132" y="708"/>
          <a:chExt cx="20" cy="14"/>
        </a:xfrm>
      </xdr:grpSpPr>
      <xdr:sp macro="" textlink="">
        <xdr:nvSpPr>
          <xdr:cNvPr id="1048" name="Line 24">
            <a:extLst>
              <a:ext uri="{FF2B5EF4-FFF2-40B4-BE49-F238E27FC236}">
                <a16:creationId xmlns:a16="http://schemas.microsoft.com/office/drawing/2014/main" id="{2FE6A707-D7C5-4E22-9863-C663D5914414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9" name="Line 25">
            <a:extLst>
              <a:ext uri="{FF2B5EF4-FFF2-40B4-BE49-F238E27FC236}">
                <a16:creationId xmlns:a16="http://schemas.microsoft.com/office/drawing/2014/main" id="{3030DBD1-2087-4139-B64B-95321D361E2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0" name="Line 26">
            <a:extLst>
              <a:ext uri="{FF2B5EF4-FFF2-40B4-BE49-F238E27FC236}">
                <a16:creationId xmlns:a16="http://schemas.microsoft.com/office/drawing/2014/main" id="{0A4B79A3-EBC2-46BD-A67B-5ABD5B96E20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1" name="Line 27">
            <a:extLst>
              <a:ext uri="{FF2B5EF4-FFF2-40B4-BE49-F238E27FC236}">
                <a16:creationId xmlns:a16="http://schemas.microsoft.com/office/drawing/2014/main" id="{60DC861F-E546-4C8E-92E5-D4C8DAA23134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21</xdr:row>
      <xdr:rowOff>114300</xdr:rowOff>
    </xdr:from>
    <xdr:to>
      <xdr:col>15</xdr:col>
      <xdr:colOff>0</xdr:colOff>
      <xdr:row>21</xdr:row>
      <xdr:rowOff>114300</xdr:rowOff>
    </xdr:to>
    <xdr:sp macro="" textlink="">
      <xdr:nvSpPr>
        <xdr:cNvPr id="1052" name="Line 28">
          <a:extLst>
            <a:ext uri="{FF2B5EF4-FFF2-40B4-BE49-F238E27FC236}">
              <a16:creationId xmlns:a16="http://schemas.microsoft.com/office/drawing/2014/main" id="{6C0E07A0-1050-4753-A3C8-EF46C11D5E19}"/>
            </a:ext>
          </a:extLst>
        </xdr:cNvPr>
        <xdr:cNvSpPr>
          <a:spLocks noChangeShapeType="1"/>
        </xdr:cNvSpPr>
      </xdr:nvSpPr>
      <xdr:spPr bwMode="auto">
        <a:xfrm>
          <a:off x="4019550" y="79533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20</xdr:row>
      <xdr:rowOff>95250</xdr:rowOff>
    </xdr:from>
    <xdr:to>
      <xdr:col>9</xdr:col>
      <xdr:colOff>0</xdr:colOff>
      <xdr:row>20</xdr:row>
      <xdr:rowOff>142875</xdr:rowOff>
    </xdr:to>
    <xdr:grpSp>
      <xdr:nvGrpSpPr>
        <xdr:cNvPr id="1053" name="Group 29">
          <a:extLst>
            <a:ext uri="{FF2B5EF4-FFF2-40B4-BE49-F238E27FC236}">
              <a16:creationId xmlns:a16="http://schemas.microsoft.com/office/drawing/2014/main" id="{67DF7216-8C39-4298-AAFE-A0A4B7977E7C}"/>
            </a:ext>
          </a:extLst>
        </xdr:cNvPr>
        <xdr:cNvGrpSpPr>
          <a:grpSpLocks/>
        </xdr:cNvGrpSpPr>
      </xdr:nvGrpSpPr>
      <xdr:grpSpPr bwMode="auto">
        <a:xfrm>
          <a:off x="876300" y="7705725"/>
          <a:ext cx="1571625" cy="47625"/>
          <a:chOff x="158" y="715"/>
          <a:chExt cx="33" cy="5"/>
        </a:xfrm>
      </xdr:grpSpPr>
      <xdr:sp macro="" textlink="">
        <xdr:nvSpPr>
          <xdr:cNvPr id="1054" name="Line 30">
            <a:extLst>
              <a:ext uri="{FF2B5EF4-FFF2-40B4-BE49-F238E27FC236}">
                <a16:creationId xmlns:a16="http://schemas.microsoft.com/office/drawing/2014/main" id="{6B164BE0-B11A-49FE-BECE-7ACC9867447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" name="Line 31">
            <a:extLst>
              <a:ext uri="{FF2B5EF4-FFF2-40B4-BE49-F238E27FC236}">
                <a16:creationId xmlns:a16="http://schemas.microsoft.com/office/drawing/2014/main" id="{21F8AACD-4D69-435E-BD0B-91A8E2B7C54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20</xdr:row>
      <xdr:rowOff>47625</xdr:rowOff>
    </xdr:from>
    <xdr:to>
      <xdr:col>12</xdr:col>
      <xdr:colOff>304800</xdr:colOff>
      <xdr:row>20</xdr:row>
      <xdr:rowOff>190500</xdr:rowOff>
    </xdr:to>
    <xdr:sp macro="" textlink="">
      <xdr:nvSpPr>
        <xdr:cNvPr id="1056" name="Freeform 32">
          <a:extLst>
            <a:ext uri="{FF2B5EF4-FFF2-40B4-BE49-F238E27FC236}">
              <a16:creationId xmlns:a16="http://schemas.microsoft.com/office/drawing/2014/main" id="{B7B17608-C38F-408D-BE81-88E0C6F95E23}"/>
            </a:ext>
          </a:extLst>
        </xdr:cNvPr>
        <xdr:cNvSpPr>
          <a:spLocks/>
        </xdr:cNvSpPr>
      </xdr:nvSpPr>
      <xdr:spPr bwMode="auto">
        <a:xfrm>
          <a:off x="3400425" y="76581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20</xdr:row>
      <xdr:rowOff>104775</xdr:rowOff>
    </xdr:from>
    <xdr:to>
      <xdr:col>19</xdr:col>
      <xdr:colOff>0</xdr:colOff>
      <xdr:row>20</xdr:row>
      <xdr:rowOff>152400</xdr:rowOff>
    </xdr:to>
    <xdr:grpSp>
      <xdr:nvGrpSpPr>
        <xdr:cNvPr id="1057" name="Group 33">
          <a:extLst>
            <a:ext uri="{FF2B5EF4-FFF2-40B4-BE49-F238E27FC236}">
              <a16:creationId xmlns:a16="http://schemas.microsoft.com/office/drawing/2014/main" id="{243D80EC-7CD3-422E-A947-B9497FEC4899}"/>
            </a:ext>
          </a:extLst>
        </xdr:cNvPr>
        <xdr:cNvGrpSpPr>
          <a:grpSpLocks/>
        </xdr:cNvGrpSpPr>
      </xdr:nvGrpSpPr>
      <xdr:grpSpPr bwMode="auto">
        <a:xfrm>
          <a:off x="3705225" y="7715250"/>
          <a:ext cx="1885950" cy="47625"/>
          <a:chOff x="158" y="715"/>
          <a:chExt cx="33" cy="5"/>
        </a:xfrm>
      </xdr:grpSpPr>
      <xdr:sp macro="" textlink="">
        <xdr:nvSpPr>
          <xdr:cNvPr id="1058" name="Line 34">
            <a:extLst>
              <a:ext uri="{FF2B5EF4-FFF2-40B4-BE49-F238E27FC236}">
                <a16:creationId xmlns:a16="http://schemas.microsoft.com/office/drawing/2014/main" id="{CD9D1CD7-E096-4998-885B-7451C13B794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9" name="Line 35">
            <a:extLst>
              <a:ext uri="{FF2B5EF4-FFF2-40B4-BE49-F238E27FC236}">
                <a16:creationId xmlns:a16="http://schemas.microsoft.com/office/drawing/2014/main" id="{C00A5515-FC2D-4C86-B4F2-D62569D3B08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20</xdr:row>
      <xdr:rowOff>114300</xdr:rowOff>
    </xdr:from>
    <xdr:to>
      <xdr:col>12</xdr:col>
      <xdr:colOff>0</xdr:colOff>
      <xdr:row>20</xdr:row>
      <xdr:rowOff>114300</xdr:rowOff>
    </xdr:to>
    <xdr:sp macro="" textlink="">
      <xdr:nvSpPr>
        <xdr:cNvPr id="1060" name="Line 36">
          <a:extLst>
            <a:ext uri="{FF2B5EF4-FFF2-40B4-BE49-F238E27FC236}">
              <a16:creationId xmlns:a16="http://schemas.microsoft.com/office/drawing/2014/main" id="{352ABDFC-A047-46A2-933A-E05207939040}"/>
            </a:ext>
          </a:extLst>
        </xdr:cNvPr>
        <xdr:cNvSpPr>
          <a:spLocks noChangeShapeType="1"/>
        </xdr:cNvSpPr>
      </xdr:nvSpPr>
      <xdr:spPr bwMode="auto">
        <a:xfrm>
          <a:off x="2447925" y="77247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95250</xdr:rowOff>
    </xdr:from>
    <xdr:to>
      <xdr:col>9</xdr:col>
      <xdr:colOff>0</xdr:colOff>
      <xdr:row>19</xdr:row>
      <xdr:rowOff>142875</xdr:rowOff>
    </xdr:to>
    <xdr:grpSp>
      <xdr:nvGrpSpPr>
        <xdr:cNvPr id="1061" name="Group 37">
          <a:extLst>
            <a:ext uri="{FF2B5EF4-FFF2-40B4-BE49-F238E27FC236}">
              <a16:creationId xmlns:a16="http://schemas.microsoft.com/office/drawing/2014/main" id="{399961BA-A051-4935-82D3-606249C75CDF}"/>
            </a:ext>
          </a:extLst>
        </xdr:cNvPr>
        <xdr:cNvGrpSpPr>
          <a:grpSpLocks/>
        </xdr:cNvGrpSpPr>
      </xdr:nvGrpSpPr>
      <xdr:grpSpPr bwMode="auto">
        <a:xfrm>
          <a:off x="876300" y="7477125"/>
          <a:ext cx="1571625" cy="47625"/>
          <a:chOff x="158" y="715"/>
          <a:chExt cx="33" cy="5"/>
        </a:xfrm>
      </xdr:grpSpPr>
      <xdr:sp macro="" textlink="">
        <xdr:nvSpPr>
          <xdr:cNvPr id="1062" name="Line 38">
            <a:extLst>
              <a:ext uri="{FF2B5EF4-FFF2-40B4-BE49-F238E27FC236}">
                <a16:creationId xmlns:a16="http://schemas.microsoft.com/office/drawing/2014/main" id="{C6CF9E2A-5D3F-4949-A5E1-66B61C642D3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3" name="Line 39">
            <a:extLst>
              <a:ext uri="{FF2B5EF4-FFF2-40B4-BE49-F238E27FC236}">
                <a16:creationId xmlns:a16="http://schemas.microsoft.com/office/drawing/2014/main" id="{F8FF0246-48F1-4797-905A-DA9D404DCCB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47625</xdr:colOff>
      <xdr:row>19</xdr:row>
      <xdr:rowOff>38100</xdr:rowOff>
    </xdr:from>
    <xdr:to>
      <xdr:col>10</xdr:col>
      <xdr:colOff>266700</xdr:colOff>
      <xdr:row>19</xdr:row>
      <xdr:rowOff>190500</xdr:rowOff>
    </xdr:to>
    <xdr:grpSp>
      <xdr:nvGrpSpPr>
        <xdr:cNvPr id="1064" name="Group 40">
          <a:extLst>
            <a:ext uri="{FF2B5EF4-FFF2-40B4-BE49-F238E27FC236}">
              <a16:creationId xmlns:a16="http://schemas.microsoft.com/office/drawing/2014/main" id="{38E4A98F-8CC7-4290-94DB-45578AB2CBBA}"/>
            </a:ext>
          </a:extLst>
        </xdr:cNvPr>
        <xdr:cNvGrpSpPr>
          <a:grpSpLocks/>
        </xdr:cNvGrpSpPr>
      </xdr:nvGrpSpPr>
      <xdr:grpSpPr bwMode="auto">
        <a:xfrm>
          <a:off x="2809875" y="7419975"/>
          <a:ext cx="219075" cy="152400"/>
          <a:chOff x="132" y="708"/>
          <a:chExt cx="20" cy="14"/>
        </a:xfrm>
      </xdr:grpSpPr>
      <xdr:sp macro="" textlink="">
        <xdr:nvSpPr>
          <xdr:cNvPr id="1065" name="Line 41">
            <a:extLst>
              <a:ext uri="{FF2B5EF4-FFF2-40B4-BE49-F238E27FC236}">
                <a16:creationId xmlns:a16="http://schemas.microsoft.com/office/drawing/2014/main" id="{10C1044B-C79E-4F49-AE54-2440E1D3EACC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6" name="Line 42">
            <a:extLst>
              <a:ext uri="{FF2B5EF4-FFF2-40B4-BE49-F238E27FC236}">
                <a16:creationId xmlns:a16="http://schemas.microsoft.com/office/drawing/2014/main" id="{338B8848-2E5A-463B-9D00-C4F6A2270D8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7" name="Line 43">
            <a:extLst>
              <a:ext uri="{FF2B5EF4-FFF2-40B4-BE49-F238E27FC236}">
                <a16:creationId xmlns:a16="http://schemas.microsoft.com/office/drawing/2014/main" id="{7F05E891-28E1-4B34-9C8D-6EA6E3A2A5C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8" name="Line 44">
            <a:extLst>
              <a:ext uri="{FF2B5EF4-FFF2-40B4-BE49-F238E27FC236}">
                <a16:creationId xmlns:a16="http://schemas.microsoft.com/office/drawing/2014/main" id="{59DFBABE-574C-4764-9A39-DEB4C8E117DD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19</xdr:row>
      <xdr:rowOff>95250</xdr:rowOff>
    </xdr:from>
    <xdr:to>
      <xdr:col>19</xdr:col>
      <xdr:colOff>0</xdr:colOff>
      <xdr:row>19</xdr:row>
      <xdr:rowOff>142875</xdr:rowOff>
    </xdr:to>
    <xdr:grpSp>
      <xdr:nvGrpSpPr>
        <xdr:cNvPr id="1069" name="Group 45">
          <a:extLst>
            <a:ext uri="{FF2B5EF4-FFF2-40B4-BE49-F238E27FC236}">
              <a16:creationId xmlns:a16="http://schemas.microsoft.com/office/drawing/2014/main" id="{F62AABF7-5CE9-46E7-87A5-9AA5F9C80B17}"/>
            </a:ext>
          </a:extLst>
        </xdr:cNvPr>
        <xdr:cNvGrpSpPr>
          <a:grpSpLocks/>
        </xdr:cNvGrpSpPr>
      </xdr:nvGrpSpPr>
      <xdr:grpSpPr bwMode="auto">
        <a:xfrm>
          <a:off x="3076575" y="7477125"/>
          <a:ext cx="2514600" cy="47625"/>
          <a:chOff x="158" y="715"/>
          <a:chExt cx="33" cy="5"/>
        </a:xfrm>
      </xdr:grpSpPr>
      <xdr:sp macro="" textlink="">
        <xdr:nvSpPr>
          <xdr:cNvPr id="1070" name="Line 46">
            <a:extLst>
              <a:ext uri="{FF2B5EF4-FFF2-40B4-BE49-F238E27FC236}">
                <a16:creationId xmlns:a16="http://schemas.microsoft.com/office/drawing/2014/main" id="{3104801D-6082-4472-9AE4-02421AC9371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1" name="Line 47">
            <a:extLst>
              <a:ext uri="{FF2B5EF4-FFF2-40B4-BE49-F238E27FC236}">
                <a16:creationId xmlns:a16="http://schemas.microsoft.com/office/drawing/2014/main" id="{B756EC3F-1890-44E4-A90C-E6494B6D29F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19</xdr:row>
      <xdr:rowOff>114300</xdr:rowOff>
    </xdr:from>
    <xdr:to>
      <xdr:col>10</xdr:col>
      <xdr:colOff>0</xdr:colOff>
      <xdr:row>19</xdr:row>
      <xdr:rowOff>114300</xdr:rowOff>
    </xdr:to>
    <xdr:sp macro="" textlink="">
      <xdr:nvSpPr>
        <xdr:cNvPr id="1072" name="Line 48">
          <a:extLst>
            <a:ext uri="{FF2B5EF4-FFF2-40B4-BE49-F238E27FC236}">
              <a16:creationId xmlns:a16="http://schemas.microsoft.com/office/drawing/2014/main" id="{C56C09D9-781F-435A-87FA-68FFCFACB6A3}"/>
            </a:ext>
          </a:extLst>
        </xdr:cNvPr>
        <xdr:cNvSpPr>
          <a:spLocks noChangeShapeType="1"/>
        </xdr:cNvSpPr>
      </xdr:nvSpPr>
      <xdr:spPr bwMode="auto">
        <a:xfrm>
          <a:off x="2447925" y="74961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18</xdr:row>
      <xdr:rowOff>38100</xdr:rowOff>
    </xdr:from>
    <xdr:to>
      <xdr:col>12</xdr:col>
      <xdr:colOff>0</xdr:colOff>
      <xdr:row>18</xdr:row>
      <xdr:rowOff>209550</xdr:rowOff>
    </xdr:to>
    <xdr:grpSp>
      <xdr:nvGrpSpPr>
        <xdr:cNvPr id="1073" name="Group 49">
          <a:extLst>
            <a:ext uri="{FF2B5EF4-FFF2-40B4-BE49-F238E27FC236}">
              <a16:creationId xmlns:a16="http://schemas.microsoft.com/office/drawing/2014/main" id="{C77B71E6-6108-45A3-9BB6-8BAA892D76E4}"/>
            </a:ext>
          </a:extLst>
        </xdr:cNvPr>
        <xdr:cNvGrpSpPr>
          <a:grpSpLocks/>
        </xdr:cNvGrpSpPr>
      </xdr:nvGrpSpPr>
      <xdr:grpSpPr bwMode="auto">
        <a:xfrm>
          <a:off x="1819275" y="7191375"/>
          <a:ext cx="1571625" cy="171450"/>
          <a:chOff x="191" y="755"/>
          <a:chExt cx="165" cy="18"/>
        </a:xfrm>
      </xdr:grpSpPr>
      <xdr:grpSp>
        <xdr:nvGrpSpPr>
          <xdr:cNvPr id="1074" name="Group 50">
            <a:extLst>
              <a:ext uri="{FF2B5EF4-FFF2-40B4-BE49-F238E27FC236}">
                <a16:creationId xmlns:a16="http://schemas.microsoft.com/office/drawing/2014/main" id="{B6C668B4-82E0-45A1-9458-B0C66F549813}"/>
              </a:ext>
            </a:extLst>
          </xdr:cNvPr>
          <xdr:cNvGrpSpPr>
            <a:grpSpLocks/>
          </xdr:cNvGrpSpPr>
        </xdr:nvGrpSpPr>
        <xdr:grpSpPr bwMode="auto">
          <a:xfrm flipH="1">
            <a:off x="259" y="755"/>
            <a:ext cx="29" cy="18"/>
            <a:chOff x="226" y="755"/>
            <a:chExt cx="29" cy="18"/>
          </a:xfrm>
        </xdr:grpSpPr>
        <xdr:sp macro="" textlink="">
          <xdr:nvSpPr>
            <xdr:cNvPr id="1075" name="Oval 51">
              <a:extLst>
                <a:ext uri="{FF2B5EF4-FFF2-40B4-BE49-F238E27FC236}">
                  <a16:creationId xmlns:a16="http://schemas.microsoft.com/office/drawing/2014/main" id="{9525AE5A-A8A9-4C26-B8D3-F187FF2B09F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6" y="755"/>
              <a:ext cx="29" cy="18"/>
            </a:xfrm>
            <a:prstGeom prst="ellips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76" name="Line 52">
              <a:extLst>
                <a:ext uri="{FF2B5EF4-FFF2-40B4-BE49-F238E27FC236}">
                  <a16:creationId xmlns:a16="http://schemas.microsoft.com/office/drawing/2014/main" id="{1BEA12AD-372D-4F7D-819F-0378D77D7D3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31" y="764"/>
              <a:ext cx="18" cy="0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7" name="Freeform 53">
              <a:extLst>
                <a:ext uri="{FF2B5EF4-FFF2-40B4-BE49-F238E27FC236}">
                  <a16:creationId xmlns:a16="http://schemas.microsoft.com/office/drawing/2014/main" id="{54587485-02CE-4878-AEDA-ECC5A6489F74}"/>
                </a:ext>
              </a:extLst>
            </xdr:cNvPr>
            <xdr:cNvSpPr>
              <a:spLocks/>
            </xdr:cNvSpPr>
          </xdr:nvSpPr>
          <xdr:spPr bwMode="auto">
            <a:xfrm>
              <a:off x="240" y="760"/>
              <a:ext cx="11" cy="8"/>
            </a:xfrm>
            <a:custGeom>
              <a:avLst/>
              <a:gdLst>
                <a:gd name="T0" fmla="*/ 0 w 268"/>
                <a:gd name="T1" fmla="*/ 208 h 208"/>
                <a:gd name="T2" fmla="*/ 268 w 268"/>
                <a:gd name="T3" fmla="*/ 107 h 208"/>
                <a:gd name="T4" fmla="*/ 0 w 268"/>
                <a:gd name="T5" fmla="*/ 0 h 20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68" h="208">
                  <a:moveTo>
                    <a:pt x="0" y="208"/>
                  </a:moveTo>
                  <a:lnTo>
                    <a:pt x="268" y="107"/>
                  </a:lnTo>
                  <a:lnTo>
                    <a:pt x="0" y="0"/>
                  </a:lnTo>
                </a:path>
              </a:pathLst>
            </a:custGeom>
            <a:noFill/>
            <a:ln w="1270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1078" name="Line 54">
            <a:extLst>
              <a:ext uri="{FF2B5EF4-FFF2-40B4-BE49-F238E27FC236}">
                <a16:creationId xmlns:a16="http://schemas.microsoft.com/office/drawing/2014/main" id="{E6D12804-E387-4176-A0A9-224BD56DF33D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64"/>
            <a:ext cx="6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9" name="Line 55">
            <a:extLst>
              <a:ext uri="{FF2B5EF4-FFF2-40B4-BE49-F238E27FC236}">
                <a16:creationId xmlns:a16="http://schemas.microsoft.com/office/drawing/2014/main" id="{056A06CD-F8FF-433A-BDE8-7D4CFEA6A4F6}"/>
              </a:ext>
            </a:extLst>
          </xdr:cNvPr>
          <xdr:cNvSpPr>
            <a:spLocks noChangeShapeType="1"/>
          </xdr:cNvSpPr>
        </xdr:nvSpPr>
        <xdr:spPr bwMode="auto">
          <a:xfrm flipH="1">
            <a:off x="191" y="764"/>
            <a:ext cx="6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22</xdr:row>
      <xdr:rowOff>95250</xdr:rowOff>
    </xdr:from>
    <xdr:to>
      <xdr:col>14</xdr:col>
      <xdr:colOff>0</xdr:colOff>
      <xdr:row>22</xdr:row>
      <xdr:rowOff>142875</xdr:rowOff>
    </xdr:to>
    <xdr:grpSp>
      <xdr:nvGrpSpPr>
        <xdr:cNvPr id="1080" name="Group 56">
          <a:extLst>
            <a:ext uri="{FF2B5EF4-FFF2-40B4-BE49-F238E27FC236}">
              <a16:creationId xmlns:a16="http://schemas.microsoft.com/office/drawing/2014/main" id="{98850D2D-71F8-440D-931B-9ABBCEA60259}"/>
            </a:ext>
          </a:extLst>
        </xdr:cNvPr>
        <xdr:cNvGrpSpPr>
          <a:grpSpLocks/>
        </xdr:cNvGrpSpPr>
      </xdr:nvGrpSpPr>
      <xdr:grpSpPr bwMode="auto">
        <a:xfrm>
          <a:off x="876300" y="8162925"/>
          <a:ext cx="3143250" cy="47625"/>
          <a:chOff x="158" y="715"/>
          <a:chExt cx="33" cy="5"/>
        </a:xfrm>
      </xdr:grpSpPr>
      <xdr:sp macro="" textlink="">
        <xdr:nvSpPr>
          <xdr:cNvPr id="1081" name="Line 57">
            <a:extLst>
              <a:ext uri="{FF2B5EF4-FFF2-40B4-BE49-F238E27FC236}">
                <a16:creationId xmlns:a16="http://schemas.microsoft.com/office/drawing/2014/main" id="{521FD336-5002-46BC-972A-4CA8D8ACDBF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2" name="Line 58">
            <a:extLst>
              <a:ext uri="{FF2B5EF4-FFF2-40B4-BE49-F238E27FC236}">
                <a16:creationId xmlns:a16="http://schemas.microsoft.com/office/drawing/2014/main" id="{9B61E4AB-657C-4466-A59C-8B49C9B8B03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9525</xdr:colOff>
      <xdr:row>22</xdr:row>
      <xdr:rowOff>47625</xdr:rowOff>
    </xdr:from>
    <xdr:to>
      <xdr:col>17</xdr:col>
      <xdr:colOff>304800</xdr:colOff>
      <xdr:row>22</xdr:row>
      <xdr:rowOff>190500</xdr:rowOff>
    </xdr:to>
    <xdr:sp macro="" textlink="">
      <xdr:nvSpPr>
        <xdr:cNvPr id="1083" name="Freeform 59">
          <a:extLst>
            <a:ext uri="{FF2B5EF4-FFF2-40B4-BE49-F238E27FC236}">
              <a16:creationId xmlns:a16="http://schemas.microsoft.com/office/drawing/2014/main" id="{F30FE948-BD58-4DDA-A544-AE46C2A4C097}"/>
            </a:ext>
          </a:extLst>
        </xdr:cNvPr>
        <xdr:cNvSpPr>
          <a:spLocks/>
        </xdr:cNvSpPr>
      </xdr:nvSpPr>
      <xdr:spPr bwMode="auto">
        <a:xfrm>
          <a:off x="4972050" y="8115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22</xdr:row>
      <xdr:rowOff>114300</xdr:rowOff>
    </xdr:from>
    <xdr:to>
      <xdr:col>17</xdr:col>
      <xdr:colOff>0</xdr:colOff>
      <xdr:row>22</xdr:row>
      <xdr:rowOff>114300</xdr:rowOff>
    </xdr:to>
    <xdr:sp macro="" textlink="">
      <xdr:nvSpPr>
        <xdr:cNvPr id="1084" name="Line 60">
          <a:extLst>
            <a:ext uri="{FF2B5EF4-FFF2-40B4-BE49-F238E27FC236}">
              <a16:creationId xmlns:a16="http://schemas.microsoft.com/office/drawing/2014/main" id="{6A001569-B4A4-469F-8ECA-BA26D7CE477F}"/>
            </a:ext>
          </a:extLst>
        </xdr:cNvPr>
        <xdr:cNvSpPr>
          <a:spLocks noChangeShapeType="1"/>
        </xdr:cNvSpPr>
      </xdr:nvSpPr>
      <xdr:spPr bwMode="auto">
        <a:xfrm>
          <a:off x="4019550" y="81819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22</xdr:row>
      <xdr:rowOff>95250</xdr:rowOff>
    </xdr:from>
    <xdr:to>
      <xdr:col>19</xdr:col>
      <xdr:colOff>0</xdr:colOff>
      <xdr:row>22</xdr:row>
      <xdr:rowOff>142875</xdr:rowOff>
    </xdr:to>
    <xdr:grpSp>
      <xdr:nvGrpSpPr>
        <xdr:cNvPr id="1085" name="Group 61">
          <a:extLst>
            <a:ext uri="{FF2B5EF4-FFF2-40B4-BE49-F238E27FC236}">
              <a16:creationId xmlns:a16="http://schemas.microsoft.com/office/drawing/2014/main" id="{2A4D40D8-244A-4E50-9CED-CBBD43AF89E7}"/>
            </a:ext>
          </a:extLst>
        </xdr:cNvPr>
        <xdr:cNvGrpSpPr>
          <a:grpSpLocks/>
        </xdr:cNvGrpSpPr>
      </xdr:nvGrpSpPr>
      <xdr:grpSpPr bwMode="auto">
        <a:xfrm>
          <a:off x="5276850" y="8162925"/>
          <a:ext cx="314325" cy="47625"/>
          <a:chOff x="158" y="715"/>
          <a:chExt cx="33" cy="5"/>
        </a:xfrm>
      </xdr:grpSpPr>
      <xdr:sp macro="" textlink="">
        <xdr:nvSpPr>
          <xdr:cNvPr id="1086" name="Line 62">
            <a:extLst>
              <a:ext uri="{FF2B5EF4-FFF2-40B4-BE49-F238E27FC236}">
                <a16:creationId xmlns:a16="http://schemas.microsoft.com/office/drawing/2014/main" id="{67B6CA42-594D-4F6E-9120-7CE8ADB4483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7" name="Line 63">
            <a:extLst>
              <a:ext uri="{FF2B5EF4-FFF2-40B4-BE49-F238E27FC236}">
                <a16:creationId xmlns:a16="http://schemas.microsoft.com/office/drawing/2014/main" id="{17888E16-627A-4C2E-917B-9F70055FCBB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285750</xdr:colOff>
      <xdr:row>15</xdr:row>
      <xdr:rowOff>495300</xdr:rowOff>
    </xdr:from>
    <xdr:to>
      <xdr:col>8</xdr:col>
      <xdr:colOff>28575</xdr:colOff>
      <xdr:row>15</xdr:row>
      <xdr:rowOff>800100</xdr:rowOff>
    </xdr:to>
    <xdr:grpSp>
      <xdr:nvGrpSpPr>
        <xdr:cNvPr id="1088" name="Group 64">
          <a:extLst>
            <a:ext uri="{FF2B5EF4-FFF2-40B4-BE49-F238E27FC236}">
              <a16:creationId xmlns:a16="http://schemas.microsoft.com/office/drawing/2014/main" id="{95E7991A-CAFC-4F95-B213-BA1AEBBE4F4E}"/>
            </a:ext>
          </a:extLst>
        </xdr:cNvPr>
        <xdr:cNvGrpSpPr>
          <a:grpSpLocks/>
        </xdr:cNvGrpSpPr>
      </xdr:nvGrpSpPr>
      <xdr:grpSpPr bwMode="auto">
        <a:xfrm>
          <a:off x="1162050" y="5610225"/>
          <a:ext cx="1000125" cy="304800"/>
          <a:chOff x="122" y="589"/>
          <a:chExt cx="105" cy="32"/>
        </a:xfrm>
      </xdr:grpSpPr>
      <xdr:sp macro="" textlink="">
        <xdr:nvSpPr>
          <xdr:cNvPr id="1089" name="Line 65">
            <a:extLst>
              <a:ext uri="{FF2B5EF4-FFF2-40B4-BE49-F238E27FC236}">
                <a16:creationId xmlns:a16="http://schemas.microsoft.com/office/drawing/2014/main" id="{182B1364-53E9-4EF6-8CC4-04579D488976}"/>
              </a:ext>
            </a:extLst>
          </xdr:cNvPr>
          <xdr:cNvSpPr>
            <a:spLocks noChangeShapeType="1"/>
          </xdr:cNvSpPr>
        </xdr:nvSpPr>
        <xdr:spPr bwMode="auto">
          <a:xfrm>
            <a:off x="122" y="605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0" name="Freeform 66">
            <a:extLst>
              <a:ext uri="{FF2B5EF4-FFF2-40B4-BE49-F238E27FC236}">
                <a16:creationId xmlns:a16="http://schemas.microsoft.com/office/drawing/2014/main" id="{0F81F6C4-A861-495B-A944-5FF6FE45E923}"/>
              </a:ext>
            </a:extLst>
          </xdr:cNvPr>
          <xdr:cNvSpPr>
            <a:spLocks/>
          </xdr:cNvSpPr>
        </xdr:nvSpPr>
        <xdr:spPr bwMode="auto">
          <a:xfrm>
            <a:off x="220" y="602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1" name="Freeform 67">
            <a:extLst>
              <a:ext uri="{FF2B5EF4-FFF2-40B4-BE49-F238E27FC236}">
                <a16:creationId xmlns:a16="http://schemas.microsoft.com/office/drawing/2014/main" id="{D432F0AC-C4CE-4FBA-BE9B-6788B4047376}"/>
              </a:ext>
            </a:extLst>
          </xdr:cNvPr>
          <xdr:cNvSpPr>
            <a:spLocks/>
          </xdr:cNvSpPr>
        </xdr:nvSpPr>
        <xdr:spPr bwMode="auto">
          <a:xfrm>
            <a:off x="146" y="597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2" name="Line 68">
            <a:extLst>
              <a:ext uri="{FF2B5EF4-FFF2-40B4-BE49-F238E27FC236}">
                <a16:creationId xmlns:a16="http://schemas.microsoft.com/office/drawing/2014/main" id="{89030179-F749-40E4-AE81-D38F53C16E1C}"/>
              </a:ext>
            </a:extLst>
          </xdr:cNvPr>
          <xdr:cNvSpPr>
            <a:spLocks noChangeShapeType="1"/>
          </xdr:cNvSpPr>
        </xdr:nvSpPr>
        <xdr:spPr bwMode="auto">
          <a:xfrm flipV="1">
            <a:off x="153" y="58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3" name="Freeform 69">
            <a:extLst>
              <a:ext uri="{FF2B5EF4-FFF2-40B4-BE49-F238E27FC236}">
                <a16:creationId xmlns:a16="http://schemas.microsoft.com/office/drawing/2014/main" id="{CF30961C-D64E-4467-8384-E5E81569C43E}"/>
              </a:ext>
            </a:extLst>
          </xdr:cNvPr>
          <xdr:cNvSpPr>
            <a:spLocks/>
          </xdr:cNvSpPr>
        </xdr:nvSpPr>
        <xdr:spPr bwMode="auto">
          <a:xfrm>
            <a:off x="149" y="589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4" name="Freeform 70">
            <a:extLst>
              <a:ext uri="{FF2B5EF4-FFF2-40B4-BE49-F238E27FC236}">
                <a16:creationId xmlns:a16="http://schemas.microsoft.com/office/drawing/2014/main" id="{337F16CD-EC5D-4420-ABAC-798B899EFBE0}"/>
              </a:ext>
            </a:extLst>
          </xdr:cNvPr>
          <xdr:cNvSpPr>
            <a:spLocks/>
          </xdr:cNvSpPr>
        </xdr:nvSpPr>
        <xdr:spPr bwMode="auto">
          <a:xfrm>
            <a:off x="157" y="605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5" name="Line 71">
            <a:extLst>
              <a:ext uri="{FF2B5EF4-FFF2-40B4-BE49-F238E27FC236}">
                <a16:creationId xmlns:a16="http://schemas.microsoft.com/office/drawing/2014/main" id="{F6EB89B8-CCA7-41C7-9872-93D9B78820BA}"/>
              </a:ext>
            </a:extLst>
          </xdr:cNvPr>
          <xdr:cNvSpPr>
            <a:spLocks noChangeShapeType="1"/>
          </xdr:cNvSpPr>
        </xdr:nvSpPr>
        <xdr:spPr bwMode="auto">
          <a:xfrm>
            <a:off x="165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6" name="Freeform 72">
            <a:extLst>
              <a:ext uri="{FF2B5EF4-FFF2-40B4-BE49-F238E27FC236}">
                <a16:creationId xmlns:a16="http://schemas.microsoft.com/office/drawing/2014/main" id="{883C9310-03B1-4040-A31A-FBB5CF906282}"/>
              </a:ext>
            </a:extLst>
          </xdr:cNvPr>
          <xdr:cNvSpPr>
            <a:spLocks/>
          </xdr:cNvSpPr>
        </xdr:nvSpPr>
        <xdr:spPr bwMode="auto">
          <a:xfrm>
            <a:off x="161" y="614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285750</xdr:colOff>
      <xdr:row>15</xdr:row>
      <xdr:rowOff>866775</xdr:rowOff>
    </xdr:from>
    <xdr:to>
      <xdr:col>8</xdr:col>
      <xdr:colOff>28575</xdr:colOff>
      <xdr:row>15</xdr:row>
      <xdr:rowOff>1162050</xdr:rowOff>
    </xdr:to>
    <xdr:grpSp>
      <xdr:nvGrpSpPr>
        <xdr:cNvPr id="1097" name="Group 73">
          <a:extLst>
            <a:ext uri="{FF2B5EF4-FFF2-40B4-BE49-F238E27FC236}">
              <a16:creationId xmlns:a16="http://schemas.microsoft.com/office/drawing/2014/main" id="{20F0DA55-69B3-4FA0-939B-A4388FF47A77}"/>
            </a:ext>
          </a:extLst>
        </xdr:cNvPr>
        <xdr:cNvGrpSpPr>
          <a:grpSpLocks/>
        </xdr:cNvGrpSpPr>
      </xdr:nvGrpSpPr>
      <xdr:grpSpPr bwMode="auto">
        <a:xfrm>
          <a:off x="1162050" y="5981700"/>
          <a:ext cx="1000125" cy="295275"/>
          <a:chOff x="122" y="628"/>
          <a:chExt cx="105" cy="31"/>
        </a:xfrm>
      </xdr:grpSpPr>
      <xdr:sp macro="" textlink="">
        <xdr:nvSpPr>
          <xdr:cNvPr id="1098" name="Line 74">
            <a:extLst>
              <a:ext uri="{FF2B5EF4-FFF2-40B4-BE49-F238E27FC236}">
                <a16:creationId xmlns:a16="http://schemas.microsoft.com/office/drawing/2014/main" id="{11ED4FD2-A551-4AC5-B1C7-155A8EF259F7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23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9" name="Freeform 75">
            <a:extLst>
              <a:ext uri="{FF2B5EF4-FFF2-40B4-BE49-F238E27FC236}">
                <a16:creationId xmlns:a16="http://schemas.microsoft.com/office/drawing/2014/main" id="{B599397E-55A0-4A8D-B23D-5D649604497E}"/>
              </a:ext>
            </a:extLst>
          </xdr:cNvPr>
          <xdr:cNvSpPr>
            <a:spLocks/>
          </xdr:cNvSpPr>
        </xdr:nvSpPr>
        <xdr:spPr bwMode="auto">
          <a:xfrm rot="-10800000">
            <a:off x="122" y="64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0" name="Freeform 76">
            <a:extLst>
              <a:ext uri="{FF2B5EF4-FFF2-40B4-BE49-F238E27FC236}">
                <a16:creationId xmlns:a16="http://schemas.microsoft.com/office/drawing/2014/main" id="{65D95136-9275-47FB-846A-B08A4C2F8048}"/>
              </a:ext>
            </a:extLst>
          </xdr:cNvPr>
          <xdr:cNvSpPr>
            <a:spLocks/>
          </xdr:cNvSpPr>
        </xdr:nvSpPr>
        <xdr:spPr bwMode="auto">
          <a:xfrm rot="-10800000">
            <a:off x="195" y="64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1" name="Line 77">
            <a:extLst>
              <a:ext uri="{FF2B5EF4-FFF2-40B4-BE49-F238E27FC236}">
                <a16:creationId xmlns:a16="http://schemas.microsoft.com/office/drawing/2014/main" id="{81912AD5-C2E2-4114-A83B-3305B546A7C3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95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2" name="Freeform 78">
            <a:extLst>
              <a:ext uri="{FF2B5EF4-FFF2-40B4-BE49-F238E27FC236}">
                <a16:creationId xmlns:a16="http://schemas.microsoft.com/office/drawing/2014/main" id="{7069C1F4-BFCD-4E03-AD4D-C2B620AB0AFC}"/>
              </a:ext>
            </a:extLst>
          </xdr:cNvPr>
          <xdr:cNvSpPr>
            <a:spLocks/>
          </xdr:cNvSpPr>
        </xdr:nvSpPr>
        <xdr:spPr bwMode="auto">
          <a:xfrm rot="-10800000">
            <a:off x="191" y="652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3" name="Freeform 79">
            <a:extLst>
              <a:ext uri="{FF2B5EF4-FFF2-40B4-BE49-F238E27FC236}">
                <a16:creationId xmlns:a16="http://schemas.microsoft.com/office/drawing/2014/main" id="{C76C438B-11B0-4C7D-8EFE-ED4687683B4A}"/>
              </a:ext>
            </a:extLst>
          </xdr:cNvPr>
          <xdr:cNvSpPr>
            <a:spLocks/>
          </xdr:cNvSpPr>
        </xdr:nvSpPr>
        <xdr:spPr bwMode="auto">
          <a:xfrm rot="-10800000">
            <a:off x="184" y="636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4" name="Line 80">
            <a:extLst>
              <a:ext uri="{FF2B5EF4-FFF2-40B4-BE49-F238E27FC236}">
                <a16:creationId xmlns:a16="http://schemas.microsoft.com/office/drawing/2014/main" id="{D708F0A2-71F6-416A-8E18-3EE6899C2CF2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84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5" name="Freeform 81">
            <a:extLst>
              <a:ext uri="{FF2B5EF4-FFF2-40B4-BE49-F238E27FC236}">
                <a16:creationId xmlns:a16="http://schemas.microsoft.com/office/drawing/2014/main" id="{3BD5E2D4-E246-4CA5-A4D6-E85DE95E70CF}"/>
              </a:ext>
            </a:extLst>
          </xdr:cNvPr>
          <xdr:cNvSpPr>
            <a:spLocks/>
          </xdr:cNvSpPr>
        </xdr:nvSpPr>
        <xdr:spPr bwMode="auto">
          <a:xfrm rot="-10800000">
            <a:off x="180" y="628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304800</xdr:colOff>
      <xdr:row>15</xdr:row>
      <xdr:rowOff>866775</xdr:rowOff>
    </xdr:from>
    <xdr:to>
      <xdr:col>12</xdr:col>
      <xdr:colOff>304800</xdr:colOff>
      <xdr:row>15</xdr:row>
      <xdr:rowOff>1162050</xdr:rowOff>
    </xdr:to>
    <xdr:grpSp>
      <xdr:nvGrpSpPr>
        <xdr:cNvPr id="1106" name="Group 82">
          <a:extLst>
            <a:ext uri="{FF2B5EF4-FFF2-40B4-BE49-F238E27FC236}">
              <a16:creationId xmlns:a16="http://schemas.microsoft.com/office/drawing/2014/main" id="{182A1B6E-1EB1-4047-A90C-E0166CA3B842}"/>
            </a:ext>
          </a:extLst>
        </xdr:cNvPr>
        <xdr:cNvGrpSpPr>
          <a:grpSpLocks/>
        </xdr:cNvGrpSpPr>
      </xdr:nvGrpSpPr>
      <xdr:grpSpPr bwMode="auto">
        <a:xfrm>
          <a:off x="2752725" y="5981700"/>
          <a:ext cx="942975" cy="295275"/>
          <a:chOff x="287" y="628"/>
          <a:chExt cx="99" cy="31"/>
        </a:xfrm>
      </xdr:grpSpPr>
      <xdr:sp macro="" textlink="">
        <xdr:nvSpPr>
          <xdr:cNvPr id="1107" name="Line 83">
            <a:extLst>
              <a:ext uri="{FF2B5EF4-FFF2-40B4-BE49-F238E27FC236}">
                <a16:creationId xmlns:a16="http://schemas.microsoft.com/office/drawing/2014/main" id="{38E5CC18-20E2-4486-AE34-A7B99678177C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288" y="643"/>
            <a:ext cx="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8" name="Freeform 84">
            <a:extLst>
              <a:ext uri="{FF2B5EF4-FFF2-40B4-BE49-F238E27FC236}">
                <a16:creationId xmlns:a16="http://schemas.microsoft.com/office/drawing/2014/main" id="{640DEF06-0BE2-4694-820D-C71CAA43C151}"/>
              </a:ext>
            </a:extLst>
          </xdr:cNvPr>
          <xdr:cNvSpPr>
            <a:spLocks/>
          </xdr:cNvSpPr>
        </xdr:nvSpPr>
        <xdr:spPr bwMode="auto">
          <a:xfrm rot="-10800000">
            <a:off x="287" y="64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9" name="Freeform 85">
            <a:extLst>
              <a:ext uri="{FF2B5EF4-FFF2-40B4-BE49-F238E27FC236}">
                <a16:creationId xmlns:a16="http://schemas.microsoft.com/office/drawing/2014/main" id="{743D856A-F6B2-496B-B1CD-D72261DB3888}"/>
              </a:ext>
            </a:extLst>
          </xdr:cNvPr>
          <xdr:cNvSpPr>
            <a:spLocks/>
          </xdr:cNvSpPr>
        </xdr:nvSpPr>
        <xdr:spPr bwMode="auto">
          <a:xfrm rot="-10800000">
            <a:off x="342" y="64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0" name="Line 86">
            <a:extLst>
              <a:ext uri="{FF2B5EF4-FFF2-40B4-BE49-F238E27FC236}">
                <a16:creationId xmlns:a16="http://schemas.microsoft.com/office/drawing/2014/main" id="{EFE49787-9850-4080-8980-3B0381F700C5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342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1" name="Freeform 87">
            <a:extLst>
              <a:ext uri="{FF2B5EF4-FFF2-40B4-BE49-F238E27FC236}">
                <a16:creationId xmlns:a16="http://schemas.microsoft.com/office/drawing/2014/main" id="{8F34B176-7925-4405-B054-ADDC939D5009}"/>
              </a:ext>
            </a:extLst>
          </xdr:cNvPr>
          <xdr:cNvSpPr>
            <a:spLocks/>
          </xdr:cNvSpPr>
        </xdr:nvSpPr>
        <xdr:spPr bwMode="auto">
          <a:xfrm rot="-10800000">
            <a:off x="338" y="652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2" name="Freeform 88">
            <a:extLst>
              <a:ext uri="{FF2B5EF4-FFF2-40B4-BE49-F238E27FC236}">
                <a16:creationId xmlns:a16="http://schemas.microsoft.com/office/drawing/2014/main" id="{9B0DFEC8-54A3-4600-8E6D-CAEE7B4BB0B7}"/>
              </a:ext>
            </a:extLst>
          </xdr:cNvPr>
          <xdr:cNvSpPr>
            <a:spLocks/>
          </xdr:cNvSpPr>
        </xdr:nvSpPr>
        <xdr:spPr bwMode="auto">
          <a:xfrm rot="-10800000">
            <a:off x="331" y="636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3" name="Line 89">
            <a:extLst>
              <a:ext uri="{FF2B5EF4-FFF2-40B4-BE49-F238E27FC236}">
                <a16:creationId xmlns:a16="http://schemas.microsoft.com/office/drawing/2014/main" id="{3521ADCB-43A6-4DCB-AA29-49131C2B390B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331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4" name="Freeform 90">
            <a:extLst>
              <a:ext uri="{FF2B5EF4-FFF2-40B4-BE49-F238E27FC236}">
                <a16:creationId xmlns:a16="http://schemas.microsoft.com/office/drawing/2014/main" id="{66A40DB3-B632-4244-873D-25FE4DDA19C8}"/>
              </a:ext>
            </a:extLst>
          </xdr:cNvPr>
          <xdr:cNvSpPr>
            <a:spLocks/>
          </xdr:cNvSpPr>
        </xdr:nvSpPr>
        <xdr:spPr bwMode="auto">
          <a:xfrm rot="-10800000">
            <a:off x="327" y="628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5" name="Line 91">
            <a:extLst>
              <a:ext uri="{FF2B5EF4-FFF2-40B4-BE49-F238E27FC236}">
                <a16:creationId xmlns:a16="http://schemas.microsoft.com/office/drawing/2014/main" id="{39522169-B3ED-438B-A3C4-E82573261D1F}"/>
              </a:ext>
            </a:extLst>
          </xdr:cNvPr>
          <xdr:cNvSpPr>
            <a:spLocks noChangeShapeType="1"/>
          </xdr:cNvSpPr>
        </xdr:nvSpPr>
        <xdr:spPr bwMode="auto">
          <a:xfrm rot="-12821404">
            <a:off x="354" y="634"/>
            <a:ext cx="32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9525</xdr:colOff>
      <xdr:row>15</xdr:row>
      <xdr:rowOff>495300</xdr:rowOff>
    </xdr:from>
    <xdr:to>
      <xdr:col>12</xdr:col>
      <xdr:colOff>38100</xdr:colOff>
      <xdr:row>15</xdr:row>
      <xdr:rowOff>647700</xdr:rowOff>
    </xdr:to>
    <xdr:grpSp>
      <xdr:nvGrpSpPr>
        <xdr:cNvPr id="1116" name="Group 92">
          <a:extLst>
            <a:ext uri="{FF2B5EF4-FFF2-40B4-BE49-F238E27FC236}">
              <a16:creationId xmlns:a16="http://schemas.microsoft.com/office/drawing/2014/main" id="{E071E372-7EBD-475B-A057-60CD3972725D}"/>
            </a:ext>
          </a:extLst>
        </xdr:cNvPr>
        <xdr:cNvGrpSpPr>
          <a:grpSpLocks/>
        </xdr:cNvGrpSpPr>
      </xdr:nvGrpSpPr>
      <xdr:grpSpPr bwMode="auto">
        <a:xfrm>
          <a:off x="2771775" y="5610225"/>
          <a:ext cx="657225" cy="152400"/>
          <a:chOff x="291" y="589"/>
          <a:chExt cx="69" cy="16"/>
        </a:xfrm>
      </xdr:grpSpPr>
      <xdr:grpSp>
        <xdr:nvGrpSpPr>
          <xdr:cNvPr id="1117" name="Group 93">
            <a:extLst>
              <a:ext uri="{FF2B5EF4-FFF2-40B4-BE49-F238E27FC236}">
                <a16:creationId xmlns:a16="http://schemas.microsoft.com/office/drawing/2014/main" id="{33ABA496-A442-4294-B2C7-E08EDD4D91B6}"/>
              </a:ext>
            </a:extLst>
          </xdr:cNvPr>
          <xdr:cNvGrpSpPr>
            <a:grpSpLocks/>
          </xdr:cNvGrpSpPr>
        </xdr:nvGrpSpPr>
        <xdr:grpSpPr bwMode="auto">
          <a:xfrm>
            <a:off x="307" y="589"/>
            <a:ext cx="12" cy="16"/>
            <a:chOff x="307" y="589"/>
            <a:chExt cx="12" cy="16"/>
          </a:xfrm>
        </xdr:grpSpPr>
        <xdr:sp macro="" textlink="">
          <xdr:nvSpPr>
            <xdr:cNvPr id="1118" name="Freeform 94">
              <a:extLst>
                <a:ext uri="{FF2B5EF4-FFF2-40B4-BE49-F238E27FC236}">
                  <a16:creationId xmlns:a16="http://schemas.microsoft.com/office/drawing/2014/main" id="{4B874035-B2BB-4F3F-9CA9-44DE5BEB9911}"/>
                </a:ext>
              </a:extLst>
            </xdr:cNvPr>
            <xdr:cNvSpPr>
              <a:spLocks/>
            </xdr:cNvSpPr>
          </xdr:nvSpPr>
          <xdr:spPr bwMode="auto">
            <a:xfrm flipV="1">
              <a:off x="307" y="597"/>
              <a:ext cx="8" cy="8"/>
            </a:xfrm>
            <a:custGeom>
              <a:avLst/>
              <a:gdLst>
                <a:gd name="T0" fmla="*/ 2 w 193"/>
                <a:gd name="T1" fmla="*/ 0 h 199"/>
                <a:gd name="T2" fmla="*/ 7 w 193"/>
                <a:gd name="T3" fmla="*/ 1 h 199"/>
                <a:gd name="T4" fmla="*/ 12 w 193"/>
                <a:gd name="T5" fmla="*/ 1 h 199"/>
                <a:gd name="T6" fmla="*/ 17 w 193"/>
                <a:gd name="T7" fmla="*/ 2 h 199"/>
                <a:gd name="T8" fmla="*/ 22 w 193"/>
                <a:gd name="T9" fmla="*/ 2 h 199"/>
                <a:gd name="T10" fmla="*/ 27 w 193"/>
                <a:gd name="T11" fmla="*/ 3 h 199"/>
                <a:gd name="T12" fmla="*/ 32 w 193"/>
                <a:gd name="T13" fmla="*/ 4 h 199"/>
                <a:gd name="T14" fmla="*/ 36 w 193"/>
                <a:gd name="T15" fmla="*/ 5 h 199"/>
                <a:gd name="T16" fmla="*/ 41 w 193"/>
                <a:gd name="T17" fmla="*/ 6 h 199"/>
                <a:gd name="T18" fmla="*/ 46 w 193"/>
                <a:gd name="T19" fmla="*/ 7 h 199"/>
                <a:gd name="T20" fmla="*/ 51 w 193"/>
                <a:gd name="T21" fmla="*/ 9 h 199"/>
                <a:gd name="T22" fmla="*/ 55 w 193"/>
                <a:gd name="T23" fmla="*/ 10 h 199"/>
                <a:gd name="T24" fmla="*/ 60 w 193"/>
                <a:gd name="T25" fmla="*/ 12 h 199"/>
                <a:gd name="T26" fmla="*/ 65 w 193"/>
                <a:gd name="T27" fmla="*/ 14 h 199"/>
                <a:gd name="T28" fmla="*/ 69 w 193"/>
                <a:gd name="T29" fmla="*/ 15 h 199"/>
                <a:gd name="T30" fmla="*/ 74 w 193"/>
                <a:gd name="T31" fmla="*/ 17 h 199"/>
                <a:gd name="T32" fmla="*/ 78 w 193"/>
                <a:gd name="T33" fmla="*/ 19 h 199"/>
                <a:gd name="T34" fmla="*/ 83 w 193"/>
                <a:gd name="T35" fmla="*/ 22 h 199"/>
                <a:gd name="T36" fmla="*/ 87 w 193"/>
                <a:gd name="T37" fmla="*/ 24 h 199"/>
                <a:gd name="T38" fmla="*/ 91 w 193"/>
                <a:gd name="T39" fmla="*/ 26 h 199"/>
                <a:gd name="T40" fmla="*/ 95 w 193"/>
                <a:gd name="T41" fmla="*/ 29 h 199"/>
                <a:gd name="T42" fmla="*/ 100 w 193"/>
                <a:gd name="T43" fmla="*/ 31 h 199"/>
                <a:gd name="T44" fmla="*/ 104 w 193"/>
                <a:gd name="T45" fmla="*/ 35 h 199"/>
                <a:gd name="T46" fmla="*/ 108 w 193"/>
                <a:gd name="T47" fmla="*/ 38 h 199"/>
                <a:gd name="T48" fmla="*/ 112 w 193"/>
                <a:gd name="T49" fmla="*/ 41 h 199"/>
                <a:gd name="T50" fmla="*/ 116 w 193"/>
                <a:gd name="T51" fmla="*/ 44 h 199"/>
                <a:gd name="T52" fmla="*/ 119 w 193"/>
                <a:gd name="T53" fmla="*/ 47 h 199"/>
                <a:gd name="T54" fmla="*/ 123 w 193"/>
                <a:gd name="T55" fmla="*/ 50 h 199"/>
                <a:gd name="T56" fmla="*/ 127 w 193"/>
                <a:gd name="T57" fmla="*/ 53 h 199"/>
                <a:gd name="T58" fmla="*/ 130 w 193"/>
                <a:gd name="T59" fmla="*/ 56 h 199"/>
                <a:gd name="T60" fmla="*/ 134 w 193"/>
                <a:gd name="T61" fmla="*/ 60 h 199"/>
                <a:gd name="T62" fmla="*/ 137 w 193"/>
                <a:gd name="T63" fmla="*/ 63 h 199"/>
                <a:gd name="T64" fmla="*/ 141 w 193"/>
                <a:gd name="T65" fmla="*/ 67 h 199"/>
                <a:gd name="T66" fmla="*/ 144 w 193"/>
                <a:gd name="T67" fmla="*/ 71 h 199"/>
                <a:gd name="T68" fmla="*/ 147 w 193"/>
                <a:gd name="T69" fmla="*/ 74 h 199"/>
                <a:gd name="T70" fmla="*/ 150 w 193"/>
                <a:gd name="T71" fmla="*/ 78 h 199"/>
                <a:gd name="T72" fmla="*/ 153 w 193"/>
                <a:gd name="T73" fmla="*/ 82 h 199"/>
                <a:gd name="T74" fmla="*/ 156 w 193"/>
                <a:gd name="T75" fmla="*/ 86 h 199"/>
                <a:gd name="T76" fmla="*/ 159 w 193"/>
                <a:gd name="T77" fmla="*/ 90 h 199"/>
                <a:gd name="T78" fmla="*/ 161 w 193"/>
                <a:gd name="T79" fmla="*/ 94 h 199"/>
                <a:gd name="T80" fmla="*/ 165 w 193"/>
                <a:gd name="T81" fmla="*/ 98 h 199"/>
                <a:gd name="T82" fmla="*/ 167 w 193"/>
                <a:gd name="T83" fmla="*/ 103 h 199"/>
                <a:gd name="T84" fmla="*/ 170 w 193"/>
                <a:gd name="T85" fmla="*/ 107 h 199"/>
                <a:gd name="T86" fmla="*/ 172 w 193"/>
                <a:gd name="T87" fmla="*/ 111 h 199"/>
                <a:gd name="T88" fmla="*/ 174 w 193"/>
                <a:gd name="T89" fmla="*/ 116 h 199"/>
                <a:gd name="T90" fmla="*/ 176 w 193"/>
                <a:gd name="T91" fmla="*/ 121 h 199"/>
                <a:gd name="T92" fmla="*/ 178 w 193"/>
                <a:gd name="T93" fmla="*/ 126 h 199"/>
                <a:gd name="T94" fmla="*/ 180 w 193"/>
                <a:gd name="T95" fmla="*/ 130 h 199"/>
                <a:gd name="T96" fmla="*/ 182 w 193"/>
                <a:gd name="T97" fmla="*/ 135 h 199"/>
                <a:gd name="T98" fmla="*/ 183 w 193"/>
                <a:gd name="T99" fmla="*/ 140 h 199"/>
                <a:gd name="T100" fmla="*/ 185 w 193"/>
                <a:gd name="T101" fmla="*/ 144 h 199"/>
                <a:gd name="T102" fmla="*/ 186 w 193"/>
                <a:gd name="T103" fmla="*/ 149 h 199"/>
                <a:gd name="T104" fmla="*/ 187 w 193"/>
                <a:gd name="T105" fmla="*/ 154 h 199"/>
                <a:gd name="T106" fmla="*/ 188 w 193"/>
                <a:gd name="T107" fmla="*/ 158 h 199"/>
                <a:gd name="T108" fmla="*/ 189 w 193"/>
                <a:gd name="T109" fmla="*/ 163 h 199"/>
                <a:gd name="T110" fmla="*/ 190 w 193"/>
                <a:gd name="T111" fmla="*/ 168 h 199"/>
                <a:gd name="T112" fmla="*/ 191 w 193"/>
                <a:gd name="T113" fmla="*/ 173 h 199"/>
                <a:gd name="T114" fmla="*/ 192 w 193"/>
                <a:gd name="T115" fmla="*/ 178 h 199"/>
                <a:gd name="T116" fmla="*/ 192 w 193"/>
                <a:gd name="T117" fmla="*/ 183 h 199"/>
                <a:gd name="T118" fmla="*/ 193 w 193"/>
                <a:gd name="T119" fmla="*/ 187 h 199"/>
                <a:gd name="T120" fmla="*/ 193 w 193"/>
                <a:gd name="T121" fmla="*/ 192 h 199"/>
                <a:gd name="T122" fmla="*/ 193 w 193"/>
                <a:gd name="T123" fmla="*/ 197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193" h="199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7" y="1"/>
                  </a:lnTo>
                  <a:lnTo>
                    <a:pt x="10" y="1"/>
                  </a:lnTo>
                  <a:lnTo>
                    <a:pt x="12" y="1"/>
                  </a:lnTo>
                  <a:lnTo>
                    <a:pt x="15" y="1"/>
                  </a:lnTo>
                  <a:lnTo>
                    <a:pt x="17" y="2"/>
                  </a:lnTo>
                  <a:lnTo>
                    <a:pt x="20" y="2"/>
                  </a:lnTo>
                  <a:lnTo>
                    <a:pt x="22" y="2"/>
                  </a:lnTo>
                  <a:lnTo>
                    <a:pt x="24" y="3"/>
                  </a:lnTo>
                  <a:lnTo>
                    <a:pt x="27" y="3"/>
                  </a:lnTo>
                  <a:lnTo>
                    <a:pt x="29" y="3"/>
                  </a:lnTo>
                  <a:lnTo>
                    <a:pt x="32" y="4"/>
                  </a:lnTo>
                  <a:lnTo>
                    <a:pt x="34" y="4"/>
                  </a:lnTo>
                  <a:lnTo>
                    <a:pt x="36" y="5"/>
                  </a:lnTo>
                  <a:lnTo>
                    <a:pt x="39" y="6"/>
                  </a:lnTo>
                  <a:lnTo>
                    <a:pt x="41" y="6"/>
                  </a:lnTo>
                  <a:lnTo>
                    <a:pt x="44" y="7"/>
                  </a:lnTo>
                  <a:lnTo>
                    <a:pt x="46" y="7"/>
                  </a:lnTo>
                  <a:lnTo>
                    <a:pt x="48" y="8"/>
                  </a:lnTo>
                  <a:lnTo>
                    <a:pt x="51" y="9"/>
                  </a:lnTo>
                  <a:lnTo>
                    <a:pt x="53" y="10"/>
                  </a:lnTo>
                  <a:lnTo>
                    <a:pt x="55" y="10"/>
                  </a:lnTo>
                  <a:lnTo>
                    <a:pt x="58" y="11"/>
                  </a:lnTo>
                  <a:lnTo>
                    <a:pt x="60" y="12"/>
                  </a:lnTo>
                  <a:lnTo>
                    <a:pt x="62" y="13"/>
                  </a:lnTo>
                  <a:lnTo>
                    <a:pt x="65" y="14"/>
                  </a:lnTo>
                  <a:lnTo>
                    <a:pt x="67" y="15"/>
                  </a:lnTo>
                  <a:lnTo>
                    <a:pt x="69" y="15"/>
                  </a:lnTo>
                  <a:lnTo>
                    <a:pt x="71" y="16"/>
                  </a:lnTo>
                  <a:lnTo>
                    <a:pt x="74" y="17"/>
                  </a:lnTo>
                  <a:lnTo>
                    <a:pt x="76" y="18"/>
                  </a:lnTo>
                  <a:lnTo>
                    <a:pt x="78" y="19"/>
                  </a:lnTo>
                  <a:lnTo>
                    <a:pt x="80" y="21"/>
                  </a:lnTo>
                  <a:lnTo>
                    <a:pt x="83" y="22"/>
                  </a:lnTo>
                  <a:lnTo>
                    <a:pt x="85" y="23"/>
                  </a:lnTo>
                  <a:lnTo>
                    <a:pt x="87" y="24"/>
                  </a:lnTo>
                  <a:lnTo>
                    <a:pt x="89" y="25"/>
                  </a:lnTo>
                  <a:lnTo>
                    <a:pt x="91" y="26"/>
                  </a:lnTo>
                  <a:lnTo>
                    <a:pt x="93" y="27"/>
                  </a:lnTo>
                  <a:lnTo>
                    <a:pt x="95" y="29"/>
                  </a:lnTo>
                  <a:lnTo>
                    <a:pt x="97" y="30"/>
                  </a:lnTo>
                  <a:lnTo>
                    <a:pt x="100" y="31"/>
                  </a:lnTo>
                  <a:lnTo>
                    <a:pt x="102" y="34"/>
                  </a:lnTo>
                  <a:lnTo>
                    <a:pt x="104" y="35"/>
                  </a:lnTo>
                  <a:lnTo>
                    <a:pt x="106" y="36"/>
                  </a:lnTo>
                  <a:lnTo>
                    <a:pt x="108" y="38"/>
                  </a:lnTo>
                  <a:lnTo>
                    <a:pt x="110" y="39"/>
                  </a:lnTo>
                  <a:lnTo>
                    <a:pt x="112" y="41"/>
                  </a:lnTo>
                  <a:lnTo>
                    <a:pt x="114" y="42"/>
                  </a:lnTo>
                  <a:lnTo>
                    <a:pt x="116" y="44"/>
                  </a:lnTo>
                  <a:lnTo>
                    <a:pt x="117" y="45"/>
                  </a:lnTo>
                  <a:lnTo>
                    <a:pt x="119" y="47"/>
                  </a:lnTo>
                  <a:lnTo>
                    <a:pt x="121" y="48"/>
                  </a:lnTo>
                  <a:lnTo>
                    <a:pt x="123" y="50"/>
                  </a:lnTo>
                  <a:lnTo>
                    <a:pt x="125" y="51"/>
                  </a:lnTo>
                  <a:lnTo>
                    <a:pt x="127" y="53"/>
                  </a:lnTo>
                  <a:lnTo>
                    <a:pt x="129" y="55"/>
                  </a:lnTo>
                  <a:lnTo>
                    <a:pt x="130" y="56"/>
                  </a:lnTo>
                  <a:lnTo>
                    <a:pt x="132" y="58"/>
                  </a:lnTo>
                  <a:lnTo>
                    <a:pt x="134" y="60"/>
                  </a:lnTo>
                  <a:lnTo>
                    <a:pt x="136" y="62"/>
                  </a:lnTo>
                  <a:lnTo>
                    <a:pt x="137" y="63"/>
                  </a:lnTo>
                  <a:lnTo>
                    <a:pt x="139" y="65"/>
                  </a:lnTo>
                  <a:lnTo>
                    <a:pt x="141" y="67"/>
                  </a:lnTo>
                  <a:lnTo>
                    <a:pt x="142" y="69"/>
                  </a:lnTo>
                  <a:lnTo>
                    <a:pt x="144" y="71"/>
                  </a:lnTo>
                  <a:lnTo>
                    <a:pt x="145" y="73"/>
                  </a:lnTo>
                  <a:lnTo>
                    <a:pt x="147" y="74"/>
                  </a:lnTo>
                  <a:lnTo>
                    <a:pt x="149" y="76"/>
                  </a:lnTo>
                  <a:lnTo>
                    <a:pt x="150" y="78"/>
                  </a:lnTo>
                  <a:lnTo>
                    <a:pt x="152" y="80"/>
                  </a:lnTo>
                  <a:lnTo>
                    <a:pt x="153" y="82"/>
                  </a:lnTo>
                  <a:lnTo>
                    <a:pt x="154" y="84"/>
                  </a:lnTo>
                  <a:lnTo>
                    <a:pt x="156" y="86"/>
                  </a:lnTo>
                  <a:lnTo>
                    <a:pt x="157" y="88"/>
                  </a:lnTo>
                  <a:lnTo>
                    <a:pt x="159" y="90"/>
                  </a:lnTo>
                  <a:lnTo>
                    <a:pt x="160" y="92"/>
                  </a:lnTo>
                  <a:lnTo>
                    <a:pt x="161" y="94"/>
                  </a:lnTo>
                  <a:lnTo>
                    <a:pt x="164" y="96"/>
                  </a:lnTo>
                  <a:lnTo>
                    <a:pt x="165" y="98"/>
                  </a:lnTo>
                  <a:lnTo>
                    <a:pt x="166" y="101"/>
                  </a:lnTo>
                  <a:lnTo>
                    <a:pt x="167" y="103"/>
                  </a:lnTo>
                  <a:lnTo>
                    <a:pt x="169" y="105"/>
                  </a:lnTo>
                  <a:lnTo>
                    <a:pt x="170" y="107"/>
                  </a:lnTo>
                  <a:lnTo>
                    <a:pt x="171" y="109"/>
                  </a:lnTo>
                  <a:lnTo>
                    <a:pt x="172" y="111"/>
                  </a:lnTo>
                  <a:lnTo>
                    <a:pt x="173" y="114"/>
                  </a:lnTo>
                  <a:lnTo>
                    <a:pt x="174" y="116"/>
                  </a:lnTo>
                  <a:lnTo>
                    <a:pt x="175" y="118"/>
                  </a:lnTo>
                  <a:lnTo>
                    <a:pt x="176" y="121"/>
                  </a:lnTo>
                  <a:lnTo>
                    <a:pt x="177" y="123"/>
                  </a:lnTo>
                  <a:lnTo>
                    <a:pt x="178" y="126"/>
                  </a:lnTo>
                  <a:lnTo>
                    <a:pt x="179" y="128"/>
                  </a:lnTo>
                  <a:lnTo>
                    <a:pt x="180" y="130"/>
                  </a:lnTo>
                  <a:lnTo>
                    <a:pt x="181" y="133"/>
                  </a:lnTo>
                  <a:lnTo>
                    <a:pt x="182" y="135"/>
                  </a:lnTo>
                  <a:lnTo>
                    <a:pt x="182" y="137"/>
                  </a:lnTo>
                  <a:lnTo>
                    <a:pt x="183" y="140"/>
                  </a:lnTo>
                  <a:lnTo>
                    <a:pt x="184" y="142"/>
                  </a:lnTo>
                  <a:lnTo>
                    <a:pt x="185" y="144"/>
                  </a:lnTo>
                  <a:lnTo>
                    <a:pt x="185" y="147"/>
                  </a:lnTo>
                  <a:lnTo>
                    <a:pt x="186" y="149"/>
                  </a:lnTo>
                  <a:lnTo>
                    <a:pt x="187" y="151"/>
                  </a:lnTo>
                  <a:lnTo>
                    <a:pt x="187" y="154"/>
                  </a:lnTo>
                  <a:lnTo>
                    <a:pt x="188" y="156"/>
                  </a:lnTo>
                  <a:lnTo>
                    <a:pt x="188" y="158"/>
                  </a:lnTo>
                  <a:lnTo>
                    <a:pt x="189" y="161"/>
                  </a:lnTo>
                  <a:lnTo>
                    <a:pt x="189" y="163"/>
                  </a:lnTo>
                  <a:lnTo>
                    <a:pt x="190" y="166"/>
                  </a:lnTo>
                  <a:lnTo>
                    <a:pt x="190" y="168"/>
                  </a:lnTo>
                  <a:lnTo>
                    <a:pt x="191" y="170"/>
                  </a:lnTo>
                  <a:lnTo>
                    <a:pt x="191" y="173"/>
                  </a:lnTo>
                  <a:lnTo>
                    <a:pt x="191" y="175"/>
                  </a:lnTo>
                  <a:lnTo>
                    <a:pt x="192" y="178"/>
                  </a:lnTo>
                  <a:lnTo>
                    <a:pt x="192" y="180"/>
                  </a:lnTo>
                  <a:lnTo>
                    <a:pt x="192" y="183"/>
                  </a:lnTo>
                  <a:lnTo>
                    <a:pt x="192" y="185"/>
                  </a:lnTo>
                  <a:lnTo>
                    <a:pt x="193" y="187"/>
                  </a:lnTo>
                  <a:lnTo>
                    <a:pt x="193" y="190"/>
                  </a:lnTo>
                  <a:lnTo>
                    <a:pt x="193" y="192"/>
                  </a:lnTo>
                  <a:lnTo>
                    <a:pt x="193" y="195"/>
                  </a:lnTo>
                  <a:lnTo>
                    <a:pt x="193" y="197"/>
                  </a:lnTo>
                  <a:lnTo>
                    <a:pt x="193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19" name="Line 95">
              <a:extLst>
                <a:ext uri="{FF2B5EF4-FFF2-40B4-BE49-F238E27FC236}">
                  <a16:creationId xmlns:a16="http://schemas.microsoft.com/office/drawing/2014/main" id="{87F4BB7C-5FAA-4070-9B49-F6D76477988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15" y="590"/>
              <a:ext cx="0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0" name="Freeform 96">
              <a:extLst>
                <a:ext uri="{FF2B5EF4-FFF2-40B4-BE49-F238E27FC236}">
                  <a16:creationId xmlns:a16="http://schemas.microsoft.com/office/drawing/2014/main" id="{A9878386-3175-4FCA-BB53-4B01442BFB11}"/>
                </a:ext>
              </a:extLst>
            </xdr:cNvPr>
            <xdr:cNvSpPr>
              <a:spLocks/>
            </xdr:cNvSpPr>
          </xdr:nvSpPr>
          <xdr:spPr bwMode="auto">
            <a:xfrm flipV="1">
              <a:off x="311" y="589"/>
              <a:ext cx="8" cy="6"/>
            </a:xfrm>
            <a:custGeom>
              <a:avLst/>
              <a:gdLst>
                <a:gd name="T0" fmla="*/ 201 w 201"/>
                <a:gd name="T1" fmla="*/ 0 h 174"/>
                <a:gd name="T2" fmla="*/ 101 w 201"/>
                <a:gd name="T3" fmla="*/ 174 h 174"/>
                <a:gd name="T4" fmla="*/ 0 w 201"/>
                <a:gd name="T5" fmla="*/ 0 h 1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1" h="174">
                  <a:moveTo>
                    <a:pt x="201" y="0"/>
                  </a:moveTo>
                  <a:lnTo>
                    <a:pt x="101" y="174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121" name="Group 97">
            <a:extLst>
              <a:ext uri="{FF2B5EF4-FFF2-40B4-BE49-F238E27FC236}">
                <a16:creationId xmlns:a16="http://schemas.microsoft.com/office/drawing/2014/main" id="{F95A53A0-71A1-495C-8C4C-B8DE084EE4CB}"/>
              </a:ext>
            </a:extLst>
          </xdr:cNvPr>
          <xdr:cNvGrpSpPr>
            <a:grpSpLocks/>
          </xdr:cNvGrpSpPr>
        </xdr:nvGrpSpPr>
        <xdr:grpSpPr bwMode="auto">
          <a:xfrm>
            <a:off x="291" y="590"/>
            <a:ext cx="69" cy="15"/>
            <a:chOff x="291" y="590"/>
            <a:chExt cx="69" cy="15"/>
          </a:xfrm>
        </xdr:grpSpPr>
        <xdr:sp macro="" textlink="">
          <xdr:nvSpPr>
            <xdr:cNvPr id="1122" name="Line 98">
              <a:extLst>
                <a:ext uri="{FF2B5EF4-FFF2-40B4-BE49-F238E27FC236}">
                  <a16:creationId xmlns:a16="http://schemas.microsoft.com/office/drawing/2014/main" id="{6E4E0669-322C-4DE6-BDCF-78F35D044A4C}"/>
                </a:ext>
              </a:extLst>
            </xdr:cNvPr>
            <xdr:cNvSpPr>
              <a:spLocks noChangeShapeType="1"/>
            </xdr:cNvSpPr>
          </xdr:nvSpPr>
          <xdr:spPr bwMode="auto">
            <a:xfrm rot="10800000" flipH="1">
              <a:off x="291" y="605"/>
              <a:ext cx="5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3" name="Freeform 99">
              <a:extLst>
                <a:ext uri="{FF2B5EF4-FFF2-40B4-BE49-F238E27FC236}">
                  <a16:creationId xmlns:a16="http://schemas.microsoft.com/office/drawing/2014/main" id="{2EF79703-9931-4CB2-B8D9-1AFACF8C18A8}"/>
                </a:ext>
              </a:extLst>
            </xdr:cNvPr>
            <xdr:cNvSpPr>
              <a:spLocks/>
            </xdr:cNvSpPr>
          </xdr:nvSpPr>
          <xdr:spPr bwMode="auto">
            <a:xfrm rot="10800000" flipH="1">
              <a:off x="348" y="598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24" name="Line 100">
              <a:extLst>
                <a:ext uri="{FF2B5EF4-FFF2-40B4-BE49-F238E27FC236}">
                  <a16:creationId xmlns:a16="http://schemas.microsoft.com/office/drawing/2014/main" id="{1996871C-7DA6-4099-AE5D-1E9671CB125B}"/>
                </a:ext>
              </a:extLst>
            </xdr:cNvPr>
            <xdr:cNvSpPr>
              <a:spLocks noChangeShapeType="1"/>
            </xdr:cNvSpPr>
          </xdr:nvSpPr>
          <xdr:spPr bwMode="auto">
            <a:xfrm rot="10800000" flipH="1">
              <a:off x="356" y="591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5" name="Freeform 101">
              <a:extLst>
                <a:ext uri="{FF2B5EF4-FFF2-40B4-BE49-F238E27FC236}">
                  <a16:creationId xmlns:a16="http://schemas.microsoft.com/office/drawing/2014/main" id="{8811EA93-8B52-412B-8EC3-CAEF40D2A476}"/>
                </a:ext>
              </a:extLst>
            </xdr:cNvPr>
            <xdr:cNvSpPr>
              <a:spLocks/>
            </xdr:cNvSpPr>
          </xdr:nvSpPr>
          <xdr:spPr bwMode="auto">
            <a:xfrm rot="10800000" flipH="1">
              <a:off x="352" y="590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12</xdr:col>
      <xdr:colOff>285750</xdr:colOff>
      <xdr:row>15</xdr:row>
      <xdr:rowOff>933450</xdr:rowOff>
    </xdr:from>
    <xdr:to>
      <xdr:col>13</xdr:col>
      <xdr:colOff>28575</xdr:colOff>
      <xdr:row>15</xdr:row>
      <xdr:rowOff>1352550</xdr:rowOff>
    </xdr:to>
    <xdr:grpSp>
      <xdr:nvGrpSpPr>
        <xdr:cNvPr id="1126" name="Group 102">
          <a:extLst>
            <a:ext uri="{FF2B5EF4-FFF2-40B4-BE49-F238E27FC236}">
              <a16:creationId xmlns:a16="http://schemas.microsoft.com/office/drawing/2014/main" id="{088981E9-7AF7-4682-BB11-DDE87ECAF6AC}"/>
            </a:ext>
          </a:extLst>
        </xdr:cNvPr>
        <xdr:cNvGrpSpPr>
          <a:grpSpLocks/>
        </xdr:cNvGrpSpPr>
      </xdr:nvGrpSpPr>
      <xdr:grpSpPr bwMode="auto">
        <a:xfrm>
          <a:off x="3676650" y="6048375"/>
          <a:ext cx="57150" cy="419100"/>
          <a:chOff x="122" y="579"/>
          <a:chExt cx="6" cy="44"/>
        </a:xfrm>
      </xdr:grpSpPr>
      <xdr:sp macro="" textlink="">
        <xdr:nvSpPr>
          <xdr:cNvPr id="1127" name="Line 103">
            <a:extLst>
              <a:ext uri="{FF2B5EF4-FFF2-40B4-BE49-F238E27FC236}">
                <a16:creationId xmlns:a16="http://schemas.microsoft.com/office/drawing/2014/main" id="{DC132CB9-53FF-4A18-AD47-3066CCBF66D9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6" y="602"/>
            <a:ext cx="3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8" name="Freeform 104">
            <a:extLst>
              <a:ext uri="{FF2B5EF4-FFF2-40B4-BE49-F238E27FC236}">
                <a16:creationId xmlns:a16="http://schemas.microsoft.com/office/drawing/2014/main" id="{8229EEFF-DD70-4E3F-95D9-7902E7FF0F60}"/>
              </a:ext>
            </a:extLst>
          </xdr:cNvPr>
          <xdr:cNvSpPr>
            <a:spLocks/>
          </xdr:cNvSpPr>
        </xdr:nvSpPr>
        <xdr:spPr bwMode="auto">
          <a:xfrm rot="5400000">
            <a:off x="121" y="617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9" name="Freeform 105">
            <a:extLst>
              <a:ext uri="{FF2B5EF4-FFF2-40B4-BE49-F238E27FC236}">
                <a16:creationId xmlns:a16="http://schemas.microsoft.com/office/drawing/2014/main" id="{74343F98-B728-4600-BC7A-203C5D3C381B}"/>
              </a:ext>
            </a:extLst>
          </xdr:cNvPr>
          <xdr:cNvSpPr>
            <a:spLocks/>
          </xdr:cNvSpPr>
        </xdr:nvSpPr>
        <xdr:spPr bwMode="auto">
          <a:xfrm rot="-5400000">
            <a:off x="121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16</xdr:col>
      <xdr:colOff>171450</xdr:colOff>
      <xdr:row>15</xdr:row>
      <xdr:rowOff>266700</xdr:rowOff>
    </xdr:from>
    <xdr:to>
      <xdr:col>17</xdr:col>
      <xdr:colOff>257175</xdr:colOff>
      <xdr:row>15</xdr:row>
      <xdr:rowOff>1247775</xdr:rowOff>
    </xdr:to>
    <xdr:grpSp>
      <xdr:nvGrpSpPr>
        <xdr:cNvPr id="1130" name="Group 106">
          <a:extLst>
            <a:ext uri="{FF2B5EF4-FFF2-40B4-BE49-F238E27FC236}">
              <a16:creationId xmlns:a16="http://schemas.microsoft.com/office/drawing/2014/main" id="{04B84E8E-097C-4C6A-821D-FBB6F2AAC7F3}"/>
            </a:ext>
          </a:extLst>
        </xdr:cNvPr>
        <xdr:cNvGrpSpPr>
          <a:grpSpLocks/>
        </xdr:cNvGrpSpPr>
      </xdr:nvGrpSpPr>
      <xdr:grpSpPr bwMode="auto">
        <a:xfrm>
          <a:off x="4819650" y="5381625"/>
          <a:ext cx="400050" cy="981075"/>
          <a:chOff x="458" y="565"/>
          <a:chExt cx="42" cy="103"/>
        </a:xfrm>
      </xdr:grpSpPr>
      <xdr:sp macro="" textlink="">
        <xdr:nvSpPr>
          <xdr:cNvPr id="1131" name="Line 107">
            <a:extLst>
              <a:ext uri="{FF2B5EF4-FFF2-40B4-BE49-F238E27FC236}">
                <a16:creationId xmlns:a16="http://schemas.microsoft.com/office/drawing/2014/main" id="{C1AEA084-4A8D-4609-AAC8-42E22F0928C9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43" y="595"/>
            <a:ext cx="6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2" name="Freeform 108">
            <a:extLst>
              <a:ext uri="{FF2B5EF4-FFF2-40B4-BE49-F238E27FC236}">
                <a16:creationId xmlns:a16="http://schemas.microsoft.com/office/drawing/2014/main" id="{13A4A16B-5C1B-46CC-AAEC-8E4980034FC2}"/>
              </a:ext>
            </a:extLst>
          </xdr:cNvPr>
          <xdr:cNvSpPr>
            <a:spLocks/>
          </xdr:cNvSpPr>
        </xdr:nvSpPr>
        <xdr:spPr bwMode="auto">
          <a:xfrm rot="5400000">
            <a:off x="485" y="662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3" name="Freeform 109">
            <a:extLst>
              <a:ext uri="{FF2B5EF4-FFF2-40B4-BE49-F238E27FC236}">
                <a16:creationId xmlns:a16="http://schemas.microsoft.com/office/drawing/2014/main" id="{876F10C6-932A-4B8E-BC9D-ACB4A48408AB}"/>
              </a:ext>
            </a:extLst>
          </xdr:cNvPr>
          <xdr:cNvSpPr>
            <a:spLocks/>
          </xdr:cNvSpPr>
        </xdr:nvSpPr>
        <xdr:spPr bwMode="auto">
          <a:xfrm rot="5400000">
            <a:off x="473" y="589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4" name="Line 110">
            <a:extLst>
              <a:ext uri="{FF2B5EF4-FFF2-40B4-BE49-F238E27FC236}">
                <a16:creationId xmlns:a16="http://schemas.microsoft.com/office/drawing/2014/main" id="{066A60C1-A398-4EEB-A7B0-6F9662BDBA74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85" y="59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5" name="Freeform 111">
            <a:extLst>
              <a:ext uri="{FF2B5EF4-FFF2-40B4-BE49-F238E27FC236}">
                <a16:creationId xmlns:a16="http://schemas.microsoft.com/office/drawing/2014/main" id="{52983F64-7731-46EA-B990-93E45B42FD83}"/>
              </a:ext>
            </a:extLst>
          </xdr:cNvPr>
          <xdr:cNvSpPr>
            <a:spLocks/>
          </xdr:cNvSpPr>
        </xdr:nvSpPr>
        <xdr:spPr bwMode="auto">
          <a:xfrm rot="5400000">
            <a:off x="482" y="592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6" name="Freeform 112">
            <a:extLst>
              <a:ext uri="{FF2B5EF4-FFF2-40B4-BE49-F238E27FC236}">
                <a16:creationId xmlns:a16="http://schemas.microsoft.com/office/drawing/2014/main" id="{0C18A197-D156-4F42-963F-BB7D35B57BE6}"/>
              </a:ext>
            </a:extLst>
          </xdr:cNvPr>
          <xdr:cNvSpPr>
            <a:spLocks/>
          </xdr:cNvSpPr>
        </xdr:nvSpPr>
        <xdr:spPr bwMode="auto">
          <a:xfrm rot="5400000">
            <a:off x="466" y="600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7" name="Line 113">
            <a:extLst>
              <a:ext uri="{FF2B5EF4-FFF2-40B4-BE49-F238E27FC236}">
                <a16:creationId xmlns:a16="http://schemas.microsoft.com/office/drawing/2014/main" id="{1E9CC69C-1C92-4555-A014-D33845F3269E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63" y="60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8" name="Freeform 114">
            <a:extLst>
              <a:ext uri="{FF2B5EF4-FFF2-40B4-BE49-F238E27FC236}">
                <a16:creationId xmlns:a16="http://schemas.microsoft.com/office/drawing/2014/main" id="{97A2954E-EFE0-4703-89E2-DA98C79FF43F}"/>
              </a:ext>
            </a:extLst>
          </xdr:cNvPr>
          <xdr:cNvSpPr>
            <a:spLocks/>
          </xdr:cNvSpPr>
        </xdr:nvSpPr>
        <xdr:spPr bwMode="auto">
          <a:xfrm rot="5400000">
            <a:off x="458" y="604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9" name="Line 115">
            <a:extLst>
              <a:ext uri="{FF2B5EF4-FFF2-40B4-BE49-F238E27FC236}">
                <a16:creationId xmlns:a16="http://schemas.microsoft.com/office/drawing/2014/main" id="{AD1C0582-C9DE-493E-9D4A-2561DF33750A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91" y="622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0" name="Freeform 116">
            <a:extLst>
              <a:ext uri="{FF2B5EF4-FFF2-40B4-BE49-F238E27FC236}">
                <a16:creationId xmlns:a16="http://schemas.microsoft.com/office/drawing/2014/main" id="{8D4C7F69-6739-443C-A1FB-64D06CDF551C}"/>
              </a:ext>
            </a:extLst>
          </xdr:cNvPr>
          <xdr:cNvSpPr>
            <a:spLocks/>
          </xdr:cNvSpPr>
        </xdr:nvSpPr>
        <xdr:spPr bwMode="auto">
          <a:xfrm rot="5400000">
            <a:off x="493" y="62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1" name="Line 117">
            <a:extLst>
              <a:ext uri="{FF2B5EF4-FFF2-40B4-BE49-F238E27FC236}">
                <a16:creationId xmlns:a16="http://schemas.microsoft.com/office/drawing/2014/main" id="{935F878F-FF17-4D3E-8206-C463C3BDB254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489" y="638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2" name="Freeform 118">
            <a:extLst>
              <a:ext uri="{FF2B5EF4-FFF2-40B4-BE49-F238E27FC236}">
                <a16:creationId xmlns:a16="http://schemas.microsoft.com/office/drawing/2014/main" id="{18487332-21CD-4B40-8D67-C351F9F8D2E0}"/>
              </a:ext>
            </a:extLst>
          </xdr:cNvPr>
          <xdr:cNvSpPr>
            <a:spLocks/>
          </xdr:cNvSpPr>
        </xdr:nvSpPr>
        <xdr:spPr bwMode="auto">
          <a:xfrm rot="5400000">
            <a:off x="473" y="624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3" name="Freeform 119">
            <a:extLst>
              <a:ext uri="{FF2B5EF4-FFF2-40B4-BE49-F238E27FC236}">
                <a16:creationId xmlns:a16="http://schemas.microsoft.com/office/drawing/2014/main" id="{F0AE9CEA-E5BB-4E7D-A77B-950D3A2C36EC}"/>
              </a:ext>
            </a:extLst>
          </xdr:cNvPr>
          <xdr:cNvSpPr>
            <a:spLocks/>
          </xdr:cNvSpPr>
        </xdr:nvSpPr>
        <xdr:spPr bwMode="auto">
          <a:xfrm rot="-5400000">
            <a:off x="481" y="631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285750</xdr:colOff>
      <xdr:row>15</xdr:row>
      <xdr:rowOff>266700</xdr:rowOff>
    </xdr:from>
    <xdr:to>
      <xdr:col>15</xdr:col>
      <xdr:colOff>295275</xdr:colOff>
      <xdr:row>15</xdr:row>
      <xdr:rowOff>1247775</xdr:rowOff>
    </xdr:to>
    <xdr:grpSp>
      <xdr:nvGrpSpPr>
        <xdr:cNvPr id="1144" name="Group 120">
          <a:extLst>
            <a:ext uri="{FF2B5EF4-FFF2-40B4-BE49-F238E27FC236}">
              <a16:creationId xmlns:a16="http://schemas.microsoft.com/office/drawing/2014/main" id="{574D3AB5-C4D3-44A4-BA7D-EF685361DC1C}"/>
            </a:ext>
          </a:extLst>
        </xdr:cNvPr>
        <xdr:cNvGrpSpPr>
          <a:grpSpLocks/>
        </xdr:cNvGrpSpPr>
      </xdr:nvGrpSpPr>
      <xdr:grpSpPr bwMode="auto">
        <a:xfrm>
          <a:off x="4305300" y="5381625"/>
          <a:ext cx="323850" cy="981075"/>
          <a:chOff x="518" y="565"/>
          <a:chExt cx="34" cy="103"/>
        </a:xfrm>
      </xdr:grpSpPr>
      <xdr:sp macro="" textlink="">
        <xdr:nvSpPr>
          <xdr:cNvPr id="1145" name="Line 121">
            <a:extLst>
              <a:ext uri="{FF2B5EF4-FFF2-40B4-BE49-F238E27FC236}">
                <a16:creationId xmlns:a16="http://schemas.microsoft.com/office/drawing/2014/main" id="{8D302E92-0E0C-42E6-954B-2B3E37F6ED99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507" y="638"/>
            <a:ext cx="6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6" name="Freeform 122">
            <a:extLst>
              <a:ext uri="{FF2B5EF4-FFF2-40B4-BE49-F238E27FC236}">
                <a16:creationId xmlns:a16="http://schemas.microsoft.com/office/drawing/2014/main" id="{0A47C0EC-7956-4AE4-869D-740CFC7270EE}"/>
              </a:ext>
            </a:extLst>
          </xdr:cNvPr>
          <xdr:cNvSpPr>
            <a:spLocks/>
          </xdr:cNvSpPr>
        </xdr:nvSpPr>
        <xdr:spPr bwMode="auto">
          <a:xfrm rot="5400000" flipH="1" flipV="1">
            <a:off x="517" y="566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7" name="Freeform 123">
            <a:extLst>
              <a:ext uri="{FF2B5EF4-FFF2-40B4-BE49-F238E27FC236}">
                <a16:creationId xmlns:a16="http://schemas.microsoft.com/office/drawing/2014/main" id="{D46D41FA-CA75-4664-AADE-80F72AED0F5C}"/>
              </a:ext>
            </a:extLst>
          </xdr:cNvPr>
          <xdr:cNvSpPr>
            <a:spLocks/>
          </xdr:cNvSpPr>
        </xdr:nvSpPr>
        <xdr:spPr bwMode="auto">
          <a:xfrm rot="5400000" flipH="1" flipV="1">
            <a:off x="529" y="637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8" name="Line 124">
            <a:extLst>
              <a:ext uri="{FF2B5EF4-FFF2-40B4-BE49-F238E27FC236}">
                <a16:creationId xmlns:a16="http://schemas.microsoft.com/office/drawing/2014/main" id="{216BE9BC-68A7-4AC2-ADC1-1E2AEA08E89C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525" y="63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9" name="Freeform 125">
            <a:extLst>
              <a:ext uri="{FF2B5EF4-FFF2-40B4-BE49-F238E27FC236}">
                <a16:creationId xmlns:a16="http://schemas.microsoft.com/office/drawing/2014/main" id="{76F722EB-ADF2-4E5B-A2D1-94DC31EC8832}"/>
              </a:ext>
            </a:extLst>
          </xdr:cNvPr>
          <xdr:cNvSpPr>
            <a:spLocks/>
          </xdr:cNvSpPr>
        </xdr:nvSpPr>
        <xdr:spPr bwMode="auto">
          <a:xfrm rot="5400000" flipH="1" flipV="1">
            <a:off x="521" y="633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50" name="Freeform 126">
            <a:extLst>
              <a:ext uri="{FF2B5EF4-FFF2-40B4-BE49-F238E27FC236}">
                <a16:creationId xmlns:a16="http://schemas.microsoft.com/office/drawing/2014/main" id="{EF4F6FF6-8427-49B6-8892-EF822B5C792A}"/>
              </a:ext>
            </a:extLst>
          </xdr:cNvPr>
          <xdr:cNvSpPr>
            <a:spLocks/>
          </xdr:cNvSpPr>
        </xdr:nvSpPr>
        <xdr:spPr bwMode="auto">
          <a:xfrm rot="5400000" flipH="1" flipV="1">
            <a:off x="537" y="625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51" name="Line 127">
            <a:extLst>
              <a:ext uri="{FF2B5EF4-FFF2-40B4-BE49-F238E27FC236}">
                <a16:creationId xmlns:a16="http://schemas.microsoft.com/office/drawing/2014/main" id="{DF65E853-18FF-4969-A602-86DA71CCC40C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547" y="62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2" name="Freeform 128">
            <a:extLst>
              <a:ext uri="{FF2B5EF4-FFF2-40B4-BE49-F238E27FC236}">
                <a16:creationId xmlns:a16="http://schemas.microsoft.com/office/drawing/2014/main" id="{577CC37A-9C08-44CD-9767-5472E1E359E7}"/>
              </a:ext>
            </a:extLst>
          </xdr:cNvPr>
          <xdr:cNvSpPr>
            <a:spLocks/>
          </xdr:cNvSpPr>
        </xdr:nvSpPr>
        <xdr:spPr bwMode="auto">
          <a:xfrm rot="5400000" flipH="1" flipV="1">
            <a:off x="545" y="621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53" name="Line 129">
            <a:extLst>
              <a:ext uri="{FF2B5EF4-FFF2-40B4-BE49-F238E27FC236}">
                <a16:creationId xmlns:a16="http://schemas.microsoft.com/office/drawing/2014/main" id="{7312A27E-597C-48B0-BB83-BE566599EC7A}"/>
              </a:ext>
            </a:extLst>
          </xdr:cNvPr>
          <xdr:cNvSpPr>
            <a:spLocks noChangeShapeType="1"/>
          </xdr:cNvSpPr>
        </xdr:nvSpPr>
        <xdr:spPr bwMode="auto">
          <a:xfrm rot="10800000" flipH="1" flipV="1">
            <a:off x="521" y="566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4" name="Freeform 130">
            <a:extLst>
              <a:ext uri="{FF2B5EF4-FFF2-40B4-BE49-F238E27FC236}">
                <a16:creationId xmlns:a16="http://schemas.microsoft.com/office/drawing/2014/main" id="{5E82E7CB-498D-4851-931E-3AD6ADA3168E}"/>
              </a:ext>
            </a:extLst>
          </xdr:cNvPr>
          <xdr:cNvSpPr>
            <a:spLocks/>
          </xdr:cNvSpPr>
        </xdr:nvSpPr>
        <xdr:spPr bwMode="auto">
          <a:xfrm rot="5400000" flipH="1" flipV="1">
            <a:off x="529" y="602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55" name="Freeform 131">
            <a:extLst>
              <a:ext uri="{FF2B5EF4-FFF2-40B4-BE49-F238E27FC236}">
                <a16:creationId xmlns:a16="http://schemas.microsoft.com/office/drawing/2014/main" id="{DB5414EB-A71F-41D6-86FA-70B332D85120}"/>
              </a:ext>
            </a:extLst>
          </xdr:cNvPr>
          <xdr:cNvSpPr>
            <a:spLocks/>
          </xdr:cNvSpPr>
        </xdr:nvSpPr>
        <xdr:spPr bwMode="auto">
          <a:xfrm rot="-5400000" flipH="1" flipV="1">
            <a:off x="521" y="59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56" name="Freeform 132">
            <a:extLst>
              <a:ext uri="{FF2B5EF4-FFF2-40B4-BE49-F238E27FC236}">
                <a16:creationId xmlns:a16="http://schemas.microsoft.com/office/drawing/2014/main" id="{0CDE98F2-3DA0-4895-B17C-E78B70E2C6AA}"/>
              </a:ext>
            </a:extLst>
          </xdr:cNvPr>
          <xdr:cNvSpPr>
            <a:spLocks/>
          </xdr:cNvSpPr>
        </xdr:nvSpPr>
        <xdr:spPr bwMode="auto">
          <a:xfrm rot="5400000" flipH="1" flipV="1">
            <a:off x="537" y="602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57" name="Line 133">
            <a:extLst>
              <a:ext uri="{FF2B5EF4-FFF2-40B4-BE49-F238E27FC236}">
                <a16:creationId xmlns:a16="http://schemas.microsoft.com/office/drawing/2014/main" id="{7E712290-1E7F-4AAF-AE4F-4F18472A833E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547" y="59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8" name="Freeform 134">
            <a:extLst>
              <a:ext uri="{FF2B5EF4-FFF2-40B4-BE49-F238E27FC236}">
                <a16:creationId xmlns:a16="http://schemas.microsoft.com/office/drawing/2014/main" id="{E9D9FF2B-3611-4311-AD15-A41FCBAE8A37}"/>
              </a:ext>
            </a:extLst>
          </xdr:cNvPr>
          <xdr:cNvSpPr>
            <a:spLocks/>
          </xdr:cNvSpPr>
        </xdr:nvSpPr>
        <xdr:spPr bwMode="auto">
          <a:xfrm rot="5400000" flipH="1" flipV="1">
            <a:off x="545" y="598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18</xdr:col>
      <xdr:colOff>28575</xdr:colOff>
      <xdr:row>15</xdr:row>
      <xdr:rowOff>323850</xdr:rowOff>
    </xdr:from>
    <xdr:to>
      <xdr:col>18</xdr:col>
      <xdr:colOff>85725</xdr:colOff>
      <xdr:row>15</xdr:row>
      <xdr:rowOff>742950</xdr:rowOff>
    </xdr:to>
    <xdr:grpSp>
      <xdr:nvGrpSpPr>
        <xdr:cNvPr id="1159" name="Group 135">
          <a:extLst>
            <a:ext uri="{FF2B5EF4-FFF2-40B4-BE49-F238E27FC236}">
              <a16:creationId xmlns:a16="http://schemas.microsoft.com/office/drawing/2014/main" id="{B9C8062A-C0E6-4785-8C54-DAC8F35CF958}"/>
            </a:ext>
          </a:extLst>
        </xdr:cNvPr>
        <xdr:cNvGrpSpPr>
          <a:grpSpLocks/>
        </xdr:cNvGrpSpPr>
      </xdr:nvGrpSpPr>
      <xdr:grpSpPr bwMode="auto">
        <a:xfrm rot="-1555494">
          <a:off x="5305425" y="5438775"/>
          <a:ext cx="57150" cy="419100"/>
          <a:chOff x="122" y="579"/>
          <a:chExt cx="6" cy="44"/>
        </a:xfrm>
      </xdr:grpSpPr>
      <xdr:sp macro="" textlink="">
        <xdr:nvSpPr>
          <xdr:cNvPr id="1160" name="Line 136">
            <a:extLst>
              <a:ext uri="{FF2B5EF4-FFF2-40B4-BE49-F238E27FC236}">
                <a16:creationId xmlns:a16="http://schemas.microsoft.com/office/drawing/2014/main" id="{7E91F656-1368-4DDD-B32F-8C4A70863EB8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6" y="602"/>
            <a:ext cx="3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1" name="Freeform 137">
            <a:extLst>
              <a:ext uri="{FF2B5EF4-FFF2-40B4-BE49-F238E27FC236}">
                <a16:creationId xmlns:a16="http://schemas.microsoft.com/office/drawing/2014/main" id="{CF77F0D6-470C-45B8-9776-113E74873676}"/>
              </a:ext>
            </a:extLst>
          </xdr:cNvPr>
          <xdr:cNvSpPr>
            <a:spLocks/>
          </xdr:cNvSpPr>
        </xdr:nvSpPr>
        <xdr:spPr bwMode="auto">
          <a:xfrm rot="5400000">
            <a:off x="121" y="617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2" name="Freeform 138">
            <a:extLst>
              <a:ext uri="{FF2B5EF4-FFF2-40B4-BE49-F238E27FC236}">
                <a16:creationId xmlns:a16="http://schemas.microsoft.com/office/drawing/2014/main" id="{16C8751C-7C1E-4DF2-A20E-B3758F2A01BB}"/>
              </a:ext>
            </a:extLst>
          </xdr:cNvPr>
          <xdr:cNvSpPr>
            <a:spLocks/>
          </xdr:cNvSpPr>
        </xdr:nvSpPr>
        <xdr:spPr bwMode="auto">
          <a:xfrm rot="-5400000">
            <a:off x="121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76200</xdr:colOff>
      <xdr:row>9</xdr:row>
      <xdr:rowOff>76200</xdr:rowOff>
    </xdr:from>
    <xdr:to>
      <xdr:col>5</xdr:col>
      <xdr:colOff>95250</xdr:colOff>
      <xdr:row>13</xdr:row>
      <xdr:rowOff>85725</xdr:rowOff>
    </xdr:to>
    <xdr:sp macro="" textlink="">
      <xdr:nvSpPr>
        <xdr:cNvPr id="1163" name="Text Box 139">
          <a:extLst>
            <a:ext uri="{FF2B5EF4-FFF2-40B4-BE49-F238E27FC236}">
              <a16:creationId xmlns:a16="http://schemas.microsoft.com/office/drawing/2014/main" id="{AFD3A5A6-A142-4666-9B99-9FDA1B8C3F56}"/>
            </a:ext>
          </a:extLst>
        </xdr:cNvPr>
        <xdr:cNvSpPr txBox="1">
          <a:spLocks noChangeArrowheads="1"/>
        </xdr:cNvSpPr>
      </xdr:nvSpPr>
      <xdr:spPr bwMode="auto">
        <a:xfrm>
          <a:off x="76200" y="3819525"/>
          <a:ext cx="1209675" cy="923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付加機能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連動出力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</xdr:txBody>
    </xdr:sp>
    <xdr:clientData/>
  </xdr:twoCellAnchor>
  <xdr:twoCellAnchor>
    <xdr:from>
      <xdr:col>12</xdr:col>
      <xdr:colOff>161925</xdr:colOff>
      <xdr:row>15</xdr:row>
      <xdr:rowOff>1381125</xdr:rowOff>
    </xdr:from>
    <xdr:to>
      <xdr:col>13</xdr:col>
      <xdr:colOff>200025</xdr:colOff>
      <xdr:row>15</xdr:row>
      <xdr:rowOff>1543050</xdr:rowOff>
    </xdr:to>
    <xdr:sp macro="" textlink="">
      <xdr:nvSpPr>
        <xdr:cNvPr id="1164" name="Text Box 140">
          <a:extLst>
            <a:ext uri="{FF2B5EF4-FFF2-40B4-BE49-F238E27FC236}">
              <a16:creationId xmlns:a16="http://schemas.microsoft.com/office/drawing/2014/main" id="{06C873C5-C6AA-4507-8A01-E3804BE5DD4C}"/>
            </a:ext>
          </a:extLst>
        </xdr:cNvPr>
        <xdr:cNvSpPr txBox="1">
          <a:spLocks noChangeArrowheads="1"/>
        </xdr:cNvSpPr>
      </xdr:nvSpPr>
      <xdr:spPr bwMode="auto">
        <a:xfrm>
          <a:off x="3552825" y="64960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12.8m</a:t>
          </a:r>
        </a:p>
      </xdr:txBody>
    </xdr:sp>
    <xdr:clientData/>
  </xdr:twoCellAnchor>
  <xdr:twoCellAnchor>
    <xdr:from>
      <xdr:col>17</xdr:col>
      <xdr:colOff>123825</xdr:colOff>
      <xdr:row>15</xdr:row>
      <xdr:rowOff>161925</xdr:rowOff>
    </xdr:from>
    <xdr:to>
      <xdr:col>18</xdr:col>
      <xdr:colOff>161925</xdr:colOff>
      <xdr:row>15</xdr:row>
      <xdr:rowOff>323850</xdr:rowOff>
    </xdr:to>
    <xdr:sp macro="" textlink="">
      <xdr:nvSpPr>
        <xdr:cNvPr id="1165" name="Text Box 141">
          <a:extLst>
            <a:ext uri="{FF2B5EF4-FFF2-40B4-BE49-F238E27FC236}">
              <a16:creationId xmlns:a16="http://schemas.microsoft.com/office/drawing/2014/main" id="{F3F8193B-D6A5-491A-84B5-C752F9A8669B}"/>
            </a:ext>
          </a:extLst>
        </xdr:cNvPr>
        <xdr:cNvSpPr txBox="1">
          <a:spLocks noChangeArrowheads="1"/>
        </xdr:cNvSpPr>
      </xdr:nvSpPr>
      <xdr:spPr bwMode="auto">
        <a:xfrm>
          <a:off x="5086350" y="52768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19.1m</a:t>
          </a:r>
        </a:p>
      </xdr:txBody>
    </xdr:sp>
    <xdr:clientData/>
  </xdr:twoCellAnchor>
  <xdr:twoCellAnchor>
    <xdr:from>
      <xdr:col>20</xdr:col>
      <xdr:colOff>276225</xdr:colOff>
      <xdr:row>7</xdr:row>
      <xdr:rowOff>447675</xdr:rowOff>
    </xdr:from>
    <xdr:to>
      <xdr:col>21</xdr:col>
      <xdr:colOff>209550</xdr:colOff>
      <xdr:row>8</xdr:row>
      <xdr:rowOff>161925</xdr:rowOff>
    </xdr:to>
    <xdr:sp macro="" textlink="">
      <xdr:nvSpPr>
        <xdr:cNvPr id="1166" name="Text Box 142">
          <a:extLst>
            <a:ext uri="{FF2B5EF4-FFF2-40B4-BE49-F238E27FC236}">
              <a16:creationId xmlns:a16="http://schemas.microsoft.com/office/drawing/2014/main" id="{83FE6DE7-9966-47C3-9C6E-6099B1DBA035}"/>
            </a:ext>
          </a:extLst>
        </xdr:cNvPr>
        <xdr:cNvSpPr txBox="1">
          <a:spLocks noChangeArrowheads="1"/>
        </xdr:cNvSpPr>
      </xdr:nvSpPr>
      <xdr:spPr bwMode="auto">
        <a:xfrm>
          <a:off x="6181725" y="208597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清水１丁目</a:t>
          </a:r>
        </a:p>
      </xdr:txBody>
    </xdr:sp>
    <xdr:clientData/>
  </xdr:twoCellAnchor>
  <xdr:twoCellAnchor>
    <xdr:from>
      <xdr:col>4</xdr:col>
      <xdr:colOff>76200</xdr:colOff>
      <xdr:row>7</xdr:row>
      <xdr:rowOff>0</xdr:rowOff>
    </xdr:from>
    <xdr:to>
      <xdr:col>5</xdr:col>
      <xdr:colOff>9525</xdr:colOff>
      <xdr:row>7</xdr:row>
      <xdr:rowOff>1590675</xdr:rowOff>
    </xdr:to>
    <xdr:sp macro="" textlink="">
      <xdr:nvSpPr>
        <xdr:cNvPr id="1167" name="Text Box 143">
          <a:extLst>
            <a:ext uri="{FF2B5EF4-FFF2-40B4-BE49-F238E27FC236}">
              <a16:creationId xmlns:a16="http://schemas.microsoft.com/office/drawing/2014/main" id="{ECDDCA86-A7E6-4D90-9050-C5C252044DB4}"/>
            </a:ext>
          </a:extLst>
        </xdr:cNvPr>
        <xdr:cNvSpPr txBox="1">
          <a:spLocks noChangeArrowheads="1"/>
        </xdr:cNvSpPr>
      </xdr:nvSpPr>
      <xdr:spPr bwMode="auto">
        <a:xfrm>
          <a:off x="952500" y="1638300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警固屋</a:t>
          </a:r>
        </a:p>
      </xdr:txBody>
    </xdr:sp>
    <xdr:clientData/>
  </xdr:twoCellAnchor>
  <xdr:twoCellAnchor editAs="oneCell">
    <xdr:from>
      <xdr:col>20</xdr:col>
      <xdr:colOff>247650</xdr:colOff>
      <xdr:row>2</xdr:row>
      <xdr:rowOff>114300</xdr:rowOff>
    </xdr:from>
    <xdr:to>
      <xdr:col>23</xdr:col>
      <xdr:colOff>0</xdr:colOff>
      <xdr:row>5</xdr:row>
      <xdr:rowOff>123825</xdr:rowOff>
    </xdr:to>
    <xdr:pic>
      <xdr:nvPicPr>
        <xdr:cNvPr id="1168" name="Picture 144">
          <a:extLst>
            <a:ext uri="{FF2B5EF4-FFF2-40B4-BE49-F238E27FC236}">
              <a16:creationId xmlns:a16="http://schemas.microsoft.com/office/drawing/2014/main" id="{903BC94B-FABB-4CB4-AC93-BB99E441E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609600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161925</xdr:colOff>
      <xdr:row>7</xdr:row>
      <xdr:rowOff>1152525</xdr:rowOff>
    </xdr:from>
    <xdr:to>
      <xdr:col>20</xdr:col>
      <xdr:colOff>238125</xdr:colOff>
      <xdr:row>7</xdr:row>
      <xdr:rowOff>1295400</xdr:rowOff>
    </xdr:to>
    <xdr:sp macro="" textlink="">
      <xdr:nvSpPr>
        <xdr:cNvPr id="1169" name="Text Box 145">
          <a:extLst>
            <a:ext uri="{FF2B5EF4-FFF2-40B4-BE49-F238E27FC236}">
              <a16:creationId xmlns:a16="http://schemas.microsoft.com/office/drawing/2014/main" id="{01E4CFE3-C125-43FD-8412-7B3C224037E3}"/>
            </a:ext>
          </a:extLst>
        </xdr:cNvPr>
        <xdr:cNvSpPr txBox="1">
          <a:spLocks noChangeArrowheads="1"/>
        </xdr:cNvSpPr>
      </xdr:nvSpPr>
      <xdr:spPr bwMode="auto">
        <a:xfrm>
          <a:off x="5753100" y="2790825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30km/h</a:t>
          </a:r>
        </a:p>
      </xdr:txBody>
    </xdr:sp>
    <xdr:clientData/>
  </xdr:twoCellAnchor>
  <xdr:twoCellAnchor>
    <xdr:from>
      <xdr:col>5</xdr:col>
      <xdr:colOff>47625</xdr:colOff>
      <xdr:row>7</xdr:row>
      <xdr:rowOff>790575</xdr:rowOff>
    </xdr:from>
    <xdr:to>
      <xdr:col>6</xdr:col>
      <xdr:colOff>123825</xdr:colOff>
      <xdr:row>7</xdr:row>
      <xdr:rowOff>933450</xdr:rowOff>
    </xdr:to>
    <xdr:sp macro="" textlink="">
      <xdr:nvSpPr>
        <xdr:cNvPr id="1170" name="Text Box 146">
          <a:extLst>
            <a:ext uri="{FF2B5EF4-FFF2-40B4-BE49-F238E27FC236}">
              <a16:creationId xmlns:a16="http://schemas.microsoft.com/office/drawing/2014/main" id="{06CC7A96-0ABA-4C5B-A032-825A1D0EFEAC}"/>
            </a:ext>
          </a:extLst>
        </xdr:cNvPr>
        <xdr:cNvSpPr txBox="1">
          <a:spLocks noChangeArrowheads="1"/>
        </xdr:cNvSpPr>
      </xdr:nvSpPr>
      <xdr:spPr bwMode="auto">
        <a:xfrm>
          <a:off x="1238250" y="2428875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50km/h</a:t>
          </a:r>
        </a:p>
      </xdr:txBody>
    </xdr:sp>
    <xdr:clientData/>
  </xdr:twoCellAnchor>
  <xdr:twoCellAnchor>
    <xdr:from>
      <xdr:col>16</xdr:col>
      <xdr:colOff>171450</xdr:colOff>
      <xdr:row>3</xdr:row>
      <xdr:rowOff>9525</xdr:rowOff>
    </xdr:from>
    <xdr:to>
      <xdr:col>17</xdr:col>
      <xdr:colOff>247650</xdr:colOff>
      <xdr:row>3</xdr:row>
      <xdr:rowOff>152400</xdr:rowOff>
    </xdr:to>
    <xdr:sp macro="" textlink="">
      <xdr:nvSpPr>
        <xdr:cNvPr id="1171" name="Text Box 147">
          <a:extLst>
            <a:ext uri="{FF2B5EF4-FFF2-40B4-BE49-F238E27FC236}">
              <a16:creationId xmlns:a16="http://schemas.microsoft.com/office/drawing/2014/main" id="{23612854-E91A-4FAD-BE99-78DC46194F52}"/>
            </a:ext>
          </a:extLst>
        </xdr:cNvPr>
        <xdr:cNvSpPr txBox="1">
          <a:spLocks noChangeArrowheads="1"/>
        </xdr:cNvSpPr>
      </xdr:nvSpPr>
      <xdr:spPr bwMode="auto">
        <a:xfrm>
          <a:off x="4819650" y="733425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50km/h</a:t>
          </a:r>
        </a:p>
      </xdr:txBody>
    </xdr:sp>
    <xdr:clientData/>
  </xdr:twoCellAnchor>
  <xdr:twoCellAnchor>
    <xdr:from>
      <xdr:col>14</xdr:col>
      <xdr:colOff>209550</xdr:colOff>
      <xdr:row>7</xdr:row>
      <xdr:rowOff>1857375</xdr:rowOff>
    </xdr:from>
    <xdr:to>
      <xdr:col>16</xdr:col>
      <xdr:colOff>285750</xdr:colOff>
      <xdr:row>8</xdr:row>
      <xdr:rowOff>114300</xdr:rowOff>
    </xdr:to>
    <xdr:sp macro="" textlink="">
      <xdr:nvSpPr>
        <xdr:cNvPr id="1172" name="Text Box 148">
          <a:extLst>
            <a:ext uri="{FF2B5EF4-FFF2-40B4-BE49-F238E27FC236}">
              <a16:creationId xmlns:a16="http://schemas.microsoft.com/office/drawing/2014/main" id="{60FF8DE5-E1A9-42DF-85FC-ED795EE0E676}"/>
            </a:ext>
          </a:extLst>
        </xdr:cNvPr>
        <xdr:cNvSpPr txBox="1">
          <a:spLocks noChangeArrowheads="1"/>
        </xdr:cNvSpPr>
      </xdr:nvSpPr>
      <xdr:spPr bwMode="auto">
        <a:xfrm>
          <a:off x="4229100" y="3495675"/>
          <a:ext cx="70485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速度表示無し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0"/>
  <sheetViews>
    <sheetView tabSelected="1" view="pageBreakPreview" zoomScaleNormal="100" zoomScaleSheetLayoutView="100" workbookViewId="0">
      <selection activeCell="W13" sqref="W13"/>
    </sheetView>
  </sheetViews>
  <sheetFormatPr defaultRowHeight="12" x14ac:dyDescent="0.15"/>
  <cols>
    <col min="1" max="1" width="7.5" style="45" bestFit="1" customWidth="1"/>
    <col min="2" max="2" width="2.25" style="62" bestFit="1" customWidth="1"/>
    <col min="3" max="3" width="5.25" style="45" bestFit="1" customWidth="1"/>
    <col min="4" max="4" width="2.25" style="59" bestFit="1" customWidth="1"/>
    <col min="5" max="24" width="4.125" style="31" customWidth="1"/>
    <col min="25" max="16384" width="9" style="31"/>
  </cols>
  <sheetData>
    <row r="1" spans="1:30" ht="15" customHeight="1" x14ac:dyDescent="0.15">
      <c r="A1" s="78" t="s">
        <v>0</v>
      </c>
      <c r="B1" s="79"/>
      <c r="C1" s="79"/>
      <c r="D1" s="79"/>
      <c r="E1" s="80"/>
      <c r="F1" s="84" t="s">
        <v>66</v>
      </c>
      <c r="G1" s="79"/>
      <c r="H1" s="113" t="s">
        <v>65</v>
      </c>
      <c r="I1" s="113"/>
      <c r="J1" s="113"/>
      <c r="K1" s="113"/>
      <c r="L1" s="79" t="s">
        <v>60</v>
      </c>
      <c r="M1" s="80"/>
      <c r="N1" s="115" t="s">
        <v>61</v>
      </c>
      <c r="O1" s="80"/>
      <c r="P1" s="117">
        <v>46073</v>
      </c>
      <c r="Q1" s="118"/>
      <c r="R1" s="118"/>
      <c r="S1" s="119"/>
      <c r="T1" s="116" t="s">
        <v>5</v>
      </c>
      <c r="U1" s="116"/>
      <c r="V1" s="116" t="s">
        <v>76</v>
      </c>
      <c r="W1" s="116"/>
      <c r="X1" s="116"/>
    </row>
    <row r="2" spans="1:30" ht="7.5" customHeight="1" x14ac:dyDescent="0.15">
      <c r="A2" s="81"/>
      <c r="B2" s="82"/>
      <c r="C2" s="82"/>
      <c r="D2" s="82"/>
      <c r="E2" s="83"/>
      <c r="F2" s="81"/>
      <c r="G2" s="82"/>
      <c r="H2" s="114"/>
      <c r="I2" s="114"/>
      <c r="J2" s="114"/>
      <c r="K2" s="114"/>
      <c r="L2" s="82"/>
      <c r="M2" s="83"/>
      <c r="N2" s="96"/>
      <c r="O2" s="98"/>
      <c r="P2" s="120"/>
      <c r="Q2" s="121"/>
      <c r="R2" s="121"/>
      <c r="S2" s="122"/>
      <c r="T2" s="78" t="s">
        <v>12</v>
      </c>
      <c r="U2" s="80"/>
      <c r="V2" s="90">
        <v>46023</v>
      </c>
      <c r="W2" s="91"/>
      <c r="X2" s="92"/>
    </row>
    <row r="3" spans="1:30" ht="7.5" customHeight="1" x14ac:dyDescent="0.15">
      <c r="A3" s="96" t="s">
        <v>7</v>
      </c>
      <c r="B3" s="97"/>
      <c r="C3" s="97"/>
      <c r="D3" s="97"/>
      <c r="E3" s="98"/>
      <c r="F3" s="100" t="s">
        <v>67</v>
      </c>
      <c r="G3" s="101"/>
      <c r="H3" s="102" t="s">
        <v>65</v>
      </c>
      <c r="I3" s="102"/>
      <c r="J3" s="102"/>
      <c r="K3" s="102"/>
      <c r="L3" s="104" t="s">
        <v>62</v>
      </c>
      <c r="M3" s="105"/>
      <c r="N3" s="96"/>
      <c r="O3" s="98"/>
      <c r="P3" s="108">
        <v>2.4305555555555556E-2</v>
      </c>
      <c r="Q3" s="109"/>
      <c r="R3" s="109"/>
      <c r="S3" s="112" t="s">
        <v>11</v>
      </c>
      <c r="T3" s="88"/>
      <c r="U3" s="89"/>
      <c r="V3" s="93"/>
      <c r="W3" s="94"/>
      <c r="X3" s="95"/>
    </row>
    <row r="4" spans="1:30" ht="15" customHeight="1" x14ac:dyDescent="0.15">
      <c r="A4" s="88"/>
      <c r="B4" s="99"/>
      <c r="C4" s="99"/>
      <c r="D4" s="99"/>
      <c r="E4" s="89"/>
      <c r="F4" s="88"/>
      <c r="G4" s="99"/>
      <c r="H4" s="103"/>
      <c r="I4" s="103"/>
      <c r="J4" s="103"/>
      <c r="K4" s="103"/>
      <c r="L4" s="106"/>
      <c r="M4" s="107"/>
      <c r="N4" s="88"/>
      <c r="O4" s="89"/>
      <c r="P4" s="110"/>
      <c r="Q4" s="111"/>
      <c r="R4" s="111"/>
      <c r="S4" s="89"/>
      <c r="T4" s="116" t="s">
        <v>63</v>
      </c>
      <c r="U4" s="116"/>
      <c r="V4" s="116" t="s">
        <v>75</v>
      </c>
      <c r="W4" s="116"/>
      <c r="X4" s="116"/>
      <c r="Z4" s="32" t="s">
        <v>64</v>
      </c>
      <c r="AA4" s="33">
        <v>845</v>
      </c>
    </row>
    <row r="5" spans="1:30" ht="18" customHeight="1" x14ac:dyDescent="0.15">
      <c r="A5" s="64"/>
      <c r="B5" s="65"/>
      <c r="C5" s="65"/>
      <c r="D5" s="65"/>
      <c r="E5" s="40"/>
      <c r="F5" s="40"/>
      <c r="G5" s="40"/>
      <c r="H5" s="40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2"/>
      <c r="Z5" s="43"/>
      <c r="AA5" s="43"/>
      <c r="AB5" s="43"/>
    </row>
    <row r="6" spans="1:30" ht="18" customHeight="1" x14ac:dyDescent="0.15">
      <c r="A6" s="66"/>
      <c r="B6" s="67"/>
      <c r="C6" s="67"/>
      <c r="D6" s="67"/>
      <c r="X6" s="44"/>
    </row>
    <row r="7" spans="1:30" ht="18" customHeight="1" x14ac:dyDescent="0.15">
      <c r="A7" s="66"/>
      <c r="B7" s="67"/>
      <c r="C7" s="67"/>
      <c r="D7" s="67"/>
      <c r="X7" s="44"/>
    </row>
    <row r="8" spans="1:30" ht="18" customHeight="1" x14ac:dyDescent="0.15">
      <c r="A8" s="66"/>
      <c r="B8" s="67"/>
      <c r="C8" s="67"/>
      <c r="D8" s="67"/>
      <c r="X8" s="44"/>
    </row>
    <row r="9" spans="1:30" ht="18" customHeight="1" x14ac:dyDescent="0.15">
      <c r="A9" s="66"/>
      <c r="B9" s="67"/>
      <c r="C9" s="67"/>
      <c r="D9" s="67"/>
      <c r="X9" s="44"/>
    </row>
    <row r="10" spans="1:30" ht="147.75" customHeight="1" x14ac:dyDescent="0.15">
      <c r="A10" s="66"/>
      <c r="B10" s="67"/>
      <c r="C10" s="67"/>
      <c r="D10" s="67"/>
      <c r="X10" s="44"/>
    </row>
    <row r="11" spans="1:30" ht="18" customHeight="1" x14ac:dyDescent="0.15">
      <c r="A11" s="66"/>
      <c r="B11" s="67"/>
      <c r="C11" s="67"/>
      <c r="D11" s="67"/>
      <c r="X11" s="44"/>
    </row>
    <row r="12" spans="1:30" ht="18" customHeight="1" x14ac:dyDescent="0.15">
      <c r="A12" s="68"/>
      <c r="B12" s="69"/>
      <c r="C12" s="67"/>
      <c r="D12" s="67"/>
      <c r="X12" s="44"/>
    </row>
    <row r="13" spans="1:30" ht="18" customHeight="1" x14ac:dyDescent="0.15">
      <c r="A13" s="68"/>
      <c r="B13" s="69"/>
      <c r="C13" s="67"/>
      <c r="D13" s="67"/>
      <c r="X13" s="44"/>
      <c r="Z13" s="31">
        <v>50</v>
      </c>
      <c r="AA13" s="31">
        <f>Z13/3.6</f>
        <v>13.888888888888889</v>
      </c>
      <c r="AC13" s="63">
        <v>46.8</v>
      </c>
      <c r="AD13" s="63">
        <f>AC13/AA13</f>
        <v>3.3695999999999997</v>
      </c>
    </row>
    <row r="14" spans="1:30" ht="18" customHeight="1" x14ac:dyDescent="0.15">
      <c r="A14" s="68"/>
      <c r="B14" s="69"/>
      <c r="C14" s="73"/>
      <c r="D14" s="73"/>
      <c r="E14" s="45"/>
      <c r="F14" s="45"/>
      <c r="G14" s="45"/>
      <c r="H14" s="45"/>
      <c r="X14" s="44"/>
      <c r="Z14" s="31">
        <v>50</v>
      </c>
      <c r="AA14" s="31">
        <f>Z14/3.6</f>
        <v>13.888888888888889</v>
      </c>
      <c r="AC14" s="63">
        <v>62.5</v>
      </c>
      <c r="AD14" s="63">
        <f>AC14/AA14</f>
        <v>4.5</v>
      </c>
    </row>
    <row r="15" spans="1:30" ht="18" customHeight="1" x14ac:dyDescent="0.15">
      <c r="A15" s="74"/>
      <c r="B15" s="75"/>
      <c r="C15" s="76"/>
      <c r="D15" s="76"/>
      <c r="E15" s="46"/>
      <c r="F15" s="46"/>
      <c r="G15" s="46"/>
      <c r="H15" s="46"/>
      <c r="I15" s="46"/>
      <c r="J15" s="46"/>
      <c r="K15" s="46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8"/>
      <c r="Z15" s="31">
        <v>30</v>
      </c>
      <c r="AA15" s="31">
        <f>Z15/3.6</f>
        <v>8.3333333333333339</v>
      </c>
      <c r="AC15" s="63">
        <v>42.2</v>
      </c>
      <c r="AD15" s="63">
        <f>AC15/AA15</f>
        <v>5.0640000000000001</v>
      </c>
    </row>
    <row r="16" spans="1:30" s="43" customFormat="1" ht="18" customHeight="1" x14ac:dyDescent="0.15">
      <c r="A16" s="77" t="s">
        <v>14</v>
      </c>
      <c r="B16" s="77"/>
      <c r="C16" s="77"/>
      <c r="D16" s="77"/>
      <c r="E16" s="38">
        <v>1</v>
      </c>
      <c r="F16" s="38">
        <v>2</v>
      </c>
      <c r="G16" s="38">
        <v>3</v>
      </c>
      <c r="H16" s="38">
        <v>4</v>
      </c>
      <c r="I16" s="38">
        <v>5</v>
      </c>
      <c r="J16" s="38">
        <v>6</v>
      </c>
      <c r="K16" s="38">
        <v>7</v>
      </c>
      <c r="L16" s="38">
        <v>8</v>
      </c>
      <c r="M16" s="38">
        <v>9</v>
      </c>
      <c r="N16" s="38">
        <v>10</v>
      </c>
      <c r="O16" s="38">
        <v>11</v>
      </c>
      <c r="P16" s="38">
        <v>12</v>
      </c>
      <c r="Q16" s="38">
        <v>13</v>
      </c>
      <c r="R16" s="49">
        <v>14</v>
      </c>
      <c r="S16" s="38">
        <v>15</v>
      </c>
      <c r="T16" s="38">
        <v>16</v>
      </c>
      <c r="U16" s="38">
        <v>17</v>
      </c>
      <c r="V16" s="38">
        <v>18</v>
      </c>
      <c r="W16" s="38">
        <v>19</v>
      </c>
      <c r="X16" s="38">
        <v>20</v>
      </c>
    </row>
    <row r="17" spans="1:25" s="45" customFormat="1" ht="18" customHeight="1" x14ac:dyDescent="0.15">
      <c r="A17" s="77" t="s">
        <v>15</v>
      </c>
      <c r="B17" s="77"/>
      <c r="C17" s="77"/>
      <c r="D17" s="77"/>
      <c r="E17" s="50" t="s">
        <v>16</v>
      </c>
      <c r="F17" s="50" t="s">
        <v>17</v>
      </c>
      <c r="G17" s="50" t="s">
        <v>18</v>
      </c>
      <c r="H17" s="50" t="s">
        <v>19</v>
      </c>
      <c r="I17" s="50" t="s">
        <v>20</v>
      </c>
      <c r="J17" s="50" t="s">
        <v>21</v>
      </c>
      <c r="K17" s="50" t="s">
        <v>22</v>
      </c>
      <c r="L17" s="50" t="s">
        <v>23</v>
      </c>
      <c r="M17" s="50" t="s">
        <v>24</v>
      </c>
      <c r="N17" s="51" t="s">
        <v>25</v>
      </c>
      <c r="O17" s="50" t="s">
        <v>26</v>
      </c>
      <c r="P17" s="50" t="s">
        <v>27</v>
      </c>
      <c r="Q17" s="50" t="s">
        <v>28</v>
      </c>
      <c r="R17" s="50" t="s">
        <v>29</v>
      </c>
      <c r="S17" s="51" t="s">
        <v>30</v>
      </c>
      <c r="T17" s="50"/>
      <c r="U17" s="50"/>
      <c r="V17" s="50"/>
      <c r="W17" s="50"/>
      <c r="X17" s="50"/>
    </row>
    <row r="18" spans="1:25" s="45" customFormat="1" ht="125.1" customHeight="1" x14ac:dyDescent="0.15">
      <c r="A18" s="70"/>
      <c r="B18" s="71"/>
      <c r="C18" s="71"/>
      <c r="D18" s="72"/>
      <c r="E18" s="52"/>
      <c r="F18" s="53"/>
      <c r="G18" s="53"/>
      <c r="H18" s="53"/>
      <c r="I18" s="51"/>
      <c r="J18" s="53"/>
      <c r="K18" s="53"/>
      <c r="L18" s="53"/>
      <c r="M18" s="53"/>
      <c r="N18" s="51"/>
      <c r="O18" s="53"/>
      <c r="P18" s="53"/>
      <c r="Q18" s="53"/>
      <c r="R18" s="53"/>
      <c r="S18" s="51"/>
      <c r="T18" s="53"/>
      <c r="U18" s="53"/>
      <c r="V18" s="53"/>
      <c r="W18" s="53"/>
      <c r="X18" s="51"/>
      <c r="Y18" s="54"/>
    </row>
    <row r="19" spans="1:25" ht="18" customHeight="1" x14ac:dyDescent="0.15">
      <c r="A19" s="70" t="s">
        <v>73</v>
      </c>
      <c r="B19" s="71"/>
      <c r="C19" s="71" t="s">
        <v>74</v>
      </c>
      <c r="D19" s="72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5"/>
      <c r="U19" s="55"/>
      <c r="V19" s="55"/>
      <c r="W19" s="55"/>
      <c r="X19" s="55"/>
    </row>
    <row r="20" spans="1:25" ht="18" customHeight="1" x14ac:dyDescent="0.15">
      <c r="A20" s="70" t="s">
        <v>31</v>
      </c>
      <c r="B20" s="71"/>
      <c r="C20" s="71" t="s">
        <v>32</v>
      </c>
      <c r="D20" s="72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</row>
    <row r="21" spans="1:25" ht="18" customHeight="1" x14ac:dyDescent="0.15">
      <c r="A21" s="70" t="s">
        <v>71</v>
      </c>
      <c r="B21" s="71"/>
      <c r="C21" s="71" t="s">
        <v>72</v>
      </c>
      <c r="D21" s="72"/>
      <c r="E21" s="56"/>
      <c r="F21" s="57"/>
      <c r="G21" s="57"/>
      <c r="H21" s="57"/>
      <c r="I21" s="57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</row>
    <row r="22" spans="1:25" ht="18" customHeight="1" x14ac:dyDescent="0.15">
      <c r="A22" s="70" t="s">
        <v>39</v>
      </c>
      <c r="B22" s="71"/>
      <c r="C22" s="71" t="s">
        <v>40</v>
      </c>
      <c r="D22" s="72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</row>
    <row r="23" spans="1:25" ht="18" customHeight="1" x14ac:dyDescent="0.15">
      <c r="A23" s="70" t="s">
        <v>70</v>
      </c>
      <c r="B23" s="71"/>
      <c r="C23" s="71" t="s">
        <v>42</v>
      </c>
      <c r="D23" s="72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</row>
    <row r="24" spans="1:25" ht="18" customHeight="1" x14ac:dyDescent="0.15">
      <c r="A24" s="70" t="s">
        <v>43</v>
      </c>
      <c r="B24" s="71"/>
      <c r="C24" s="71" t="s">
        <v>44</v>
      </c>
      <c r="D24" s="72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</row>
    <row r="25" spans="1:25" ht="18" customHeight="1" x14ac:dyDescent="0.15">
      <c r="A25" s="70"/>
      <c r="B25" s="71"/>
      <c r="C25" s="71"/>
      <c r="D25" s="72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</row>
    <row r="26" spans="1:25" ht="18" customHeight="1" x14ac:dyDescent="0.15">
      <c r="A26" s="70"/>
      <c r="B26" s="71"/>
      <c r="C26" s="71"/>
      <c r="D26" s="72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</row>
    <row r="27" spans="1:25" ht="18" customHeight="1" x14ac:dyDescent="0.15">
      <c r="A27" s="70"/>
      <c r="B27" s="71"/>
      <c r="C27" s="71"/>
      <c r="D27" s="72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</row>
    <row r="28" spans="1:25" ht="18" customHeight="1" x14ac:dyDescent="0.15">
      <c r="A28" s="70"/>
      <c r="B28" s="71"/>
      <c r="C28" s="71"/>
      <c r="D28" s="72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</row>
    <row r="29" spans="1:25" ht="18" customHeight="1" x14ac:dyDescent="0.15">
      <c r="A29" s="70"/>
      <c r="B29" s="71"/>
      <c r="C29" s="71"/>
      <c r="D29" s="72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</row>
    <row r="30" spans="1:25" ht="18" customHeight="1" x14ac:dyDescent="0.15">
      <c r="A30" s="70"/>
      <c r="B30" s="71"/>
      <c r="C30" s="71"/>
      <c r="D30" s="72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</row>
    <row r="31" spans="1:25" ht="18" customHeight="1" x14ac:dyDescent="0.15">
      <c r="A31" s="85"/>
      <c r="B31" s="86"/>
      <c r="C31" s="86"/>
      <c r="D31" s="87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</row>
    <row r="32" spans="1:25" ht="18" customHeight="1" x14ac:dyDescent="0.15">
      <c r="A32" s="85"/>
      <c r="B32" s="86"/>
      <c r="C32" s="86"/>
      <c r="D32" s="87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</row>
    <row r="33" spans="1:27" ht="18" customHeight="1" x14ac:dyDescent="0.15">
      <c r="A33" s="85"/>
      <c r="B33" s="86"/>
      <c r="C33" s="86"/>
      <c r="D33" s="87"/>
      <c r="E33" s="38"/>
      <c r="F33" s="38"/>
      <c r="G33" s="38"/>
      <c r="H33" s="38"/>
      <c r="I33" s="38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</row>
    <row r="34" spans="1:27" ht="18" customHeight="1" x14ac:dyDescent="0.15">
      <c r="A34" s="85"/>
      <c r="B34" s="86"/>
      <c r="C34" s="86"/>
      <c r="D34" s="87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</row>
    <row r="35" spans="1:27" ht="18" customHeight="1" x14ac:dyDescent="0.15">
      <c r="A35" s="35" t="s">
        <v>68</v>
      </c>
      <c r="B35" s="36"/>
      <c r="C35" s="37"/>
      <c r="D35" s="60"/>
      <c r="E35" s="38">
        <v>109</v>
      </c>
      <c r="F35" s="38"/>
      <c r="G35" s="38"/>
      <c r="H35" s="38"/>
      <c r="I35" s="38"/>
      <c r="J35" s="38">
        <v>109</v>
      </c>
      <c r="K35" s="38"/>
      <c r="L35" s="38"/>
      <c r="M35" s="38"/>
      <c r="N35" s="38"/>
      <c r="O35" s="38">
        <v>109</v>
      </c>
      <c r="P35" s="38"/>
      <c r="Q35" s="38"/>
      <c r="R35" s="38"/>
      <c r="S35" s="38"/>
      <c r="T35" s="55"/>
      <c r="U35" s="55"/>
      <c r="V35" s="55"/>
      <c r="W35" s="55"/>
      <c r="X35" s="55"/>
    </row>
    <row r="36" spans="1:27" ht="18" customHeight="1" x14ac:dyDescent="0.15">
      <c r="A36" s="35" t="s">
        <v>69</v>
      </c>
      <c r="B36" s="36" t="s">
        <v>51</v>
      </c>
      <c r="C36" s="39">
        <f>SUM(E36:X36)</f>
        <v>82</v>
      </c>
      <c r="D36" s="61" t="s">
        <v>52</v>
      </c>
      <c r="E36" s="38">
        <v>13</v>
      </c>
      <c r="F36" s="38">
        <v>5</v>
      </c>
      <c r="G36" s="38">
        <v>2</v>
      </c>
      <c r="H36" s="38">
        <v>3</v>
      </c>
      <c r="I36" s="38">
        <v>4</v>
      </c>
      <c r="J36" s="38">
        <v>8</v>
      </c>
      <c r="K36" s="38">
        <v>2</v>
      </c>
      <c r="L36" s="38">
        <v>2</v>
      </c>
      <c r="M36" s="38">
        <v>3</v>
      </c>
      <c r="N36" s="38">
        <v>4</v>
      </c>
      <c r="O36" s="38">
        <v>20</v>
      </c>
      <c r="P36" s="38">
        <v>7</v>
      </c>
      <c r="Q36" s="38">
        <v>2</v>
      </c>
      <c r="R36" s="38">
        <v>3</v>
      </c>
      <c r="S36" s="38">
        <v>4</v>
      </c>
      <c r="T36" s="55"/>
      <c r="U36" s="55"/>
      <c r="V36" s="55"/>
      <c r="W36" s="55"/>
      <c r="X36" s="55"/>
      <c r="Y36" s="34"/>
      <c r="Z36" s="31">
        <v>100</v>
      </c>
      <c r="AA36" s="31">
        <f>Z36-INT(Z36/8)-3</f>
        <v>85</v>
      </c>
    </row>
    <row r="37" spans="1:27" ht="18" customHeight="1" x14ac:dyDescent="0.15">
      <c r="A37" s="35" t="s">
        <v>50</v>
      </c>
      <c r="B37" s="36" t="s">
        <v>51</v>
      </c>
      <c r="C37" s="39">
        <f>SUM(E37:X37)</f>
        <v>120</v>
      </c>
      <c r="D37" s="61" t="s">
        <v>52</v>
      </c>
      <c r="E37" s="38">
        <v>37</v>
      </c>
      <c r="F37" s="38">
        <v>5</v>
      </c>
      <c r="G37" s="38">
        <v>2</v>
      </c>
      <c r="H37" s="38">
        <v>3</v>
      </c>
      <c r="I37" s="38">
        <v>4</v>
      </c>
      <c r="J37" s="38">
        <v>17</v>
      </c>
      <c r="K37" s="38">
        <v>2</v>
      </c>
      <c r="L37" s="38">
        <v>2</v>
      </c>
      <c r="M37" s="38">
        <v>3</v>
      </c>
      <c r="N37" s="38">
        <v>4</v>
      </c>
      <c r="O37" s="38">
        <v>25</v>
      </c>
      <c r="P37" s="38">
        <v>7</v>
      </c>
      <c r="Q37" s="38">
        <v>2</v>
      </c>
      <c r="R37" s="38">
        <v>3</v>
      </c>
      <c r="S37" s="38">
        <v>4</v>
      </c>
      <c r="T37" s="38"/>
      <c r="U37" s="38"/>
      <c r="V37" s="38"/>
      <c r="W37" s="38"/>
      <c r="X37" s="38"/>
      <c r="Y37" s="34"/>
      <c r="Z37" s="31">
        <v>120</v>
      </c>
      <c r="AA37" s="31">
        <f>Z37-INT(Z37/8)-3</f>
        <v>102</v>
      </c>
    </row>
    <row r="38" spans="1:27" ht="18" customHeight="1" x14ac:dyDescent="0.15">
      <c r="A38" s="70" t="s">
        <v>53</v>
      </c>
      <c r="B38" s="71"/>
      <c r="C38" s="71"/>
      <c r="D38" s="72"/>
      <c r="E38" s="38">
        <v>110</v>
      </c>
      <c r="F38" s="38">
        <v>110</v>
      </c>
      <c r="G38" s="38">
        <v>110</v>
      </c>
      <c r="H38" s="38">
        <v>10</v>
      </c>
      <c r="I38" s="38">
        <v>10</v>
      </c>
      <c r="J38" s="38">
        <v>110</v>
      </c>
      <c r="K38" s="38">
        <v>110</v>
      </c>
      <c r="L38" s="38">
        <v>110</v>
      </c>
      <c r="M38" s="38">
        <v>10</v>
      </c>
      <c r="N38" s="38">
        <v>10</v>
      </c>
      <c r="O38" s="38">
        <v>110</v>
      </c>
      <c r="P38" s="38">
        <v>110</v>
      </c>
      <c r="Q38" s="38">
        <v>110</v>
      </c>
      <c r="R38" s="38">
        <v>10</v>
      </c>
      <c r="S38" s="38">
        <v>10</v>
      </c>
      <c r="T38" s="38"/>
      <c r="U38" s="38"/>
      <c r="V38" s="38"/>
      <c r="W38" s="38"/>
      <c r="X38" s="38"/>
    </row>
    <row r="39" spans="1:27" ht="18" customHeight="1" x14ac:dyDescent="0.15">
      <c r="A39" s="70" t="s">
        <v>54</v>
      </c>
      <c r="B39" s="71"/>
      <c r="C39" s="71"/>
      <c r="D39" s="72"/>
      <c r="E39" s="38">
        <v>6</v>
      </c>
      <c r="F39" s="38">
        <v>0.95</v>
      </c>
      <c r="G39" s="38">
        <v>0.95</v>
      </c>
      <c r="H39" s="38">
        <v>0.95</v>
      </c>
      <c r="I39" s="38">
        <v>0.95</v>
      </c>
      <c r="J39" s="38">
        <v>6</v>
      </c>
      <c r="K39" s="38">
        <v>0.95</v>
      </c>
      <c r="L39" s="38">
        <v>0.95</v>
      </c>
      <c r="M39" s="38">
        <v>0.95</v>
      </c>
      <c r="N39" s="38">
        <v>0.95</v>
      </c>
      <c r="O39" s="38">
        <v>6</v>
      </c>
      <c r="P39" s="38">
        <v>0.95</v>
      </c>
      <c r="Q39" s="38">
        <v>0.95</v>
      </c>
      <c r="R39" s="38">
        <v>0.95</v>
      </c>
      <c r="S39" s="38">
        <v>0.95</v>
      </c>
      <c r="T39" s="38"/>
      <c r="U39" s="38"/>
      <c r="V39" s="38"/>
      <c r="W39" s="38"/>
      <c r="X39" s="38"/>
    </row>
    <row r="40" spans="1:27" ht="18" customHeight="1" x14ac:dyDescent="0.15">
      <c r="A40" s="70" t="s">
        <v>55</v>
      </c>
      <c r="B40" s="71"/>
      <c r="C40" s="71"/>
      <c r="D40" s="72"/>
      <c r="E40" s="38" t="s">
        <v>56</v>
      </c>
      <c r="F40" s="38" t="s">
        <v>57</v>
      </c>
      <c r="G40" s="38" t="s">
        <v>57</v>
      </c>
      <c r="H40" s="38" t="s">
        <v>57</v>
      </c>
      <c r="I40" s="38" t="s">
        <v>57</v>
      </c>
      <c r="J40" s="38" t="s">
        <v>57</v>
      </c>
      <c r="K40" s="38" t="s">
        <v>57</v>
      </c>
      <c r="L40" s="38" t="s">
        <v>57</v>
      </c>
      <c r="M40" s="38" t="s">
        <v>57</v>
      </c>
      <c r="N40" s="38" t="s">
        <v>57</v>
      </c>
      <c r="O40" s="38" t="s">
        <v>57</v>
      </c>
      <c r="P40" s="38" t="s">
        <v>56</v>
      </c>
      <c r="Q40" s="38" t="s">
        <v>56</v>
      </c>
      <c r="R40" s="38" t="s">
        <v>56</v>
      </c>
      <c r="S40" s="38" t="s">
        <v>56</v>
      </c>
      <c r="T40" s="38"/>
      <c r="U40" s="38"/>
      <c r="V40" s="38"/>
      <c r="W40" s="38"/>
      <c r="X40" s="38"/>
    </row>
  </sheetData>
  <mergeCells count="78">
    <mergeCell ref="T2:U3"/>
    <mergeCell ref="V2:X3"/>
    <mergeCell ref="A3:E4"/>
    <mergeCell ref="F3:G4"/>
    <mergeCell ref="H3:K4"/>
    <mergeCell ref="L3:M4"/>
    <mergeCell ref="P3:R4"/>
    <mergeCell ref="S3:S4"/>
    <mergeCell ref="H1:K2"/>
    <mergeCell ref="L1:M2"/>
    <mergeCell ref="N1:O4"/>
    <mergeCell ref="V1:X1"/>
    <mergeCell ref="T4:U4"/>
    <mergeCell ref="V4:X4"/>
    <mergeCell ref="P1:S2"/>
    <mergeCell ref="T1:U1"/>
    <mergeCell ref="A38:D38"/>
    <mergeCell ref="A39:D39"/>
    <mergeCell ref="A40:D40"/>
    <mergeCell ref="A1:E2"/>
    <mergeCell ref="F1:G2"/>
    <mergeCell ref="A33:B33"/>
    <mergeCell ref="C33:D33"/>
    <mergeCell ref="A34:B34"/>
    <mergeCell ref="C34:D34"/>
    <mergeCell ref="A30:B30"/>
    <mergeCell ref="C30:D30"/>
    <mergeCell ref="A31:B31"/>
    <mergeCell ref="C31:D31"/>
    <mergeCell ref="A32:B32"/>
    <mergeCell ref="C32:D32"/>
    <mergeCell ref="A24:B24"/>
    <mergeCell ref="A28:B28"/>
    <mergeCell ref="C28:D28"/>
    <mergeCell ref="A29:B29"/>
    <mergeCell ref="C29:D29"/>
    <mergeCell ref="A25:B25"/>
    <mergeCell ref="C25:D25"/>
    <mergeCell ref="A26:B26"/>
    <mergeCell ref="C26:D26"/>
    <mergeCell ref="A27:B27"/>
    <mergeCell ref="C27:D27"/>
    <mergeCell ref="A23:B23"/>
    <mergeCell ref="C23:D23"/>
    <mergeCell ref="A22:B22"/>
    <mergeCell ref="C22:D22"/>
    <mergeCell ref="C24:D24"/>
    <mergeCell ref="A21:B21"/>
    <mergeCell ref="C21:D21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0:B20"/>
    <mergeCell ref="C20:D20"/>
    <mergeCell ref="A11:B11"/>
    <mergeCell ref="C11:D11"/>
    <mergeCell ref="A12:B12"/>
    <mergeCell ref="C12:D12"/>
    <mergeCell ref="A13:B13"/>
    <mergeCell ref="C13:D13"/>
    <mergeCell ref="A8:B8"/>
    <mergeCell ref="C8:D8"/>
    <mergeCell ref="A9:B9"/>
    <mergeCell ref="C9:D9"/>
    <mergeCell ref="A10:B10"/>
    <mergeCell ref="C10:D10"/>
    <mergeCell ref="A5:B5"/>
    <mergeCell ref="C5:D5"/>
    <mergeCell ref="A6:B6"/>
    <mergeCell ref="C6:D6"/>
    <mergeCell ref="A7:B7"/>
    <mergeCell ref="C7:D7"/>
  </mergeCells>
  <phoneticPr fontId="1"/>
  <pageMargins left="0.78740157480314965" right="0" top="0.39370078740157483" bottom="0" header="0.23622047244094491" footer="0.31496062992125984"/>
  <pageSetup paperSize="9" scale="94" firstPageNumber="45" orientation="portrait" useFirstPageNumber="1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6"/>
  <sheetViews>
    <sheetView zoomScaleNormal="100" workbookViewId="0">
      <selection sqref="A1:E1"/>
    </sheetView>
  </sheetViews>
  <sheetFormatPr defaultRowHeight="11.25" x14ac:dyDescent="0.15"/>
  <cols>
    <col min="1" max="1" width="5.125" style="30" customWidth="1"/>
    <col min="2" max="2" width="0.875" style="30" customWidth="1"/>
    <col min="3" max="3" width="4.625" style="30" customWidth="1"/>
    <col min="4" max="4" width="0.875" style="30" customWidth="1"/>
    <col min="5" max="24" width="4.125" style="2" customWidth="1"/>
    <col min="25" max="16384" width="9" style="2"/>
  </cols>
  <sheetData>
    <row r="1" spans="1:28" ht="20.100000000000001" customHeight="1" x14ac:dyDescent="0.15">
      <c r="A1" s="127" t="s">
        <v>0</v>
      </c>
      <c r="B1" s="127"/>
      <c r="C1" s="127"/>
      <c r="D1" s="127"/>
      <c r="E1" s="127"/>
      <c r="F1" s="131" t="s">
        <v>1</v>
      </c>
      <c r="G1" s="132"/>
      <c r="H1" s="134" t="s">
        <v>2</v>
      </c>
      <c r="I1" s="135"/>
      <c r="J1" s="135"/>
      <c r="K1" s="135"/>
      <c r="L1" s="135"/>
      <c r="M1" s="135"/>
      <c r="N1" s="125" t="s">
        <v>3</v>
      </c>
      <c r="O1" s="125"/>
      <c r="P1" s="127" t="s">
        <v>4</v>
      </c>
      <c r="Q1" s="127"/>
      <c r="R1" s="127"/>
      <c r="S1" s="127"/>
      <c r="T1" s="133" t="s">
        <v>5</v>
      </c>
      <c r="U1" s="133"/>
      <c r="V1" s="123" t="s">
        <v>6</v>
      </c>
      <c r="W1" s="123"/>
      <c r="X1" s="123"/>
    </row>
    <row r="2" spans="1:28" ht="20.100000000000001" customHeight="1" x14ac:dyDescent="0.15">
      <c r="A2" s="126" t="s">
        <v>7</v>
      </c>
      <c r="B2" s="126"/>
      <c r="C2" s="126"/>
      <c r="D2" s="126"/>
      <c r="E2" s="126"/>
      <c r="F2" s="147" t="s">
        <v>58</v>
      </c>
      <c r="G2" s="148"/>
      <c r="H2" s="143" t="s">
        <v>2</v>
      </c>
      <c r="I2" s="143"/>
      <c r="J2" s="143"/>
      <c r="K2" s="143"/>
      <c r="L2" s="141" t="s">
        <v>9</v>
      </c>
      <c r="M2" s="142"/>
      <c r="N2" s="126" t="s">
        <v>10</v>
      </c>
      <c r="O2" s="126"/>
      <c r="P2" s="128">
        <v>0.51249999999999996</v>
      </c>
      <c r="Q2" s="129"/>
      <c r="R2" s="130"/>
      <c r="S2" s="3" t="s">
        <v>11</v>
      </c>
      <c r="T2" s="133" t="s">
        <v>12</v>
      </c>
      <c r="U2" s="133"/>
      <c r="V2" s="124" t="s">
        <v>13</v>
      </c>
      <c r="W2" s="124"/>
      <c r="X2" s="124"/>
      <c r="Z2" s="5"/>
      <c r="AA2" s="5"/>
      <c r="AB2" s="5"/>
    </row>
    <row r="3" spans="1:28" ht="18" customHeight="1" x14ac:dyDescent="0.15">
      <c r="A3" s="162"/>
      <c r="B3" s="163"/>
      <c r="C3" s="163"/>
      <c r="D3" s="163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Z3" s="9"/>
      <c r="AA3" s="9"/>
      <c r="AB3" s="9"/>
    </row>
    <row r="4" spans="1:28" ht="18" customHeight="1" x14ac:dyDescent="0.15">
      <c r="A4" s="136"/>
      <c r="B4" s="137"/>
      <c r="C4" s="137"/>
      <c r="D4" s="137"/>
      <c r="X4" s="10"/>
    </row>
    <row r="5" spans="1:28" ht="18" customHeight="1" x14ac:dyDescent="0.15">
      <c r="A5" s="136"/>
      <c r="B5" s="137"/>
      <c r="C5" s="137"/>
      <c r="D5" s="137"/>
      <c r="X5" s="10"/>
    </row>
    <row r="6" spans="1:28" ht="18" customHeight="1" x14ac:dyDescent="0.15">
      <c r="A6" s="136"/>
      <c r="B6" s="137"/>
      <c r="C6" s="137"/>
      <c r="D6" s="137"/>
      <c r="X6" s="10"/>
    </row>
    <row r="7" spans="1:28" ht="18" customHeight="1" x14ac:dyDescent="0.15">
      <c r="A7" s="136"/>
      <c r="B7" s="137"/>
      <c r="C7" s="137"/>
      <c r="D7" s="137"/>
      <c r="X7" s="10"/>
    </row>
    <row r="8" spans="1:28" ht="147.75" customHeight="1" x14ac:dyDescent="0.15">
      <c r="A8" s="136"/>
      <c r="B8" s="137"/>
      <c r="C8" s="137"/>
      <c r="D8" s="137"/>
      <c r="X8" s="10"/>
    </row>
    <row r="9" spans="1:28" ht="18" customHeight="1" x14ac:dyDescent="0.15">
      <c r="A9" s="136"/>
      <c r="B9" s="137"/>
      <c r="C9" s="137"/>
      <c r="D9" s="137"/>
      <c r="X9" s="10"/>
    </row>
    <row r="10" spans="1:28" ht="18" customHeight="1" x14ac:dyDescent="0.15">
      <c r="A10" s="145"/>
      <c r="B10" s="146"/>
      <c r="C10" s="137"/>
      <c r="D10" s="137"/>
      <c r="X10" s="10"/>
    </row>
    <row r="11" spans="1:28" ht="18" customHeight="1" x14ac:dyDescent="0.15">
      <c r="A11" s="145"/>
      <c r="B11" s="146"/>
      <c r="C11" s="137"/>
      <c r="D11" s="137"/>
      <c r="V11" s="2" t="s">
        <v>59</v>
      </c>
      <c r="X11" s="10"/>
    </row>
    <row r="12" spans="1:28" ht="18" customHeight="1" x14ac:dyDescent="0.15">
      <c r="A12" s="145"/>
      <c r="B12" s="146"/>
      <c r="C12" s="164"/>
      <c r="D12" s="164"/>
      <c r="E12" s="11"/>
      <c r="F12" s="11"/>
      <c r="G12" s="11"/>
      <c r="H12" s="11"/>
      <c r="X12" s="10"/>
    </row>
    <row r="13" spans="1:28" ht="18" customHeight="1" x14ac:dyDescent="0.15">
      <c r="A13" s="148"/>
      <c r="B13" s="165"/>
      <c r="C13" s="161"/>
      <c r="D13" s="161"/>
      <c r="E13" s="12"/>
      <c r="F13" s="12"/>
      <c r="G13" s="12"/>
      <c r="H13" s="12"/>
      <c r="I13" s="12"/>
      <c r="J13" s="12"/>
      <c r="K13" s="12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3"/>
    </row>
    <row r="14" spans="1:28" s="15" customFormat="1" ht="18" customHeight="1" x14ac:dyDescent="0.15">
      <c r="A14" s="144" t="s">
        <v>14</v>
      </c>
      <c r="B14" s="144"/>
      <c r="C14" s="144"/>
      <c r="D14" s="144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4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8" s="11" customFormat="1" ht="18" customHeight="1" x14ac:dyDescent="0.15">
      <c r="A15" s="144" t="s">
        <v>15</v>
      </c>
      <c r="B15" s="144"/>
      <c r="C15" s="144"/>
      <c r="D15" s="144"/>
      <c r="E15" s="16" t="s">
        <v>16</v>
      </c>
      <c r="F15" s="16" t="s">
        <v>17</v>
      </c>
      <c r="G15" s="16" t="s">
        <v>18</v>
      </c>
      <c r="H15" s="16" t="s">
        <v>19</v>
      </c>
      <c r="I15" s="16" t="s">
        <v>20</v>
      </c>
      <c r="J15" s="16" t="s">
        <v>21</v>
      </c>
      <c r="K15" s="16" t="s">
        <v>22</v>
      </c>
      <c r="L15" s="16" t="s">
        <v>23</v>
      </c>
      <c r="M15" s="16" t="s">
        <v>24</v>
      </c>
      <c r="N15" s="17" t="s">
        <v>25</v>
      </c>
      <c r="O15" s="16" t="s">
        <v>26</v>
      </c>
      <c r="P15" s="16" t="s">
        <v>27</v>
      </c>
      <c r="Q15" s="16" t="s">
        <v>28</v>
      </c>
      <c r="R15" s="16" t="s">
        <v>29</v>
      </c>
      <c r="S15" s="17" t="s">
        <v>30</v>
      </c>
      <c r="T15" s="16"/>
      <c r="U15" s="16"/>
      <c r="V15" s="16"/>
      <c r="W15" s="16"/>
      <c r="X15" s="16"/>
    </row>
    <row r="16" spans="1:28" s="11" customFormat="1" ht="125.1" customHeight="1" x14ac:dyDescent="0.15">
      <c r="A16" s="151"/>
      <c r="B16" s="149"/>
      <c r="C16" s="149"/>
      <c r="D16" s="150"/>
      <c r="E16" s="18"/>
      <c r="F16" s="19"/>
      <c r="G16" s="19"/>
      <c r="H16" s="19"/>
      <c r="I16" s="17"/>
      <c r="J16" s="19"/>
      <c r="K16" s="19"/>
      <c r="L16" s="19"/>
      <c r="M16" s="19"/>
      <c r="N16" s="17"/>
      <c r="O16" s="19"/>
      <c r="P16" s="19"/>
      <c r="Q16" s="19"/>
      <c r="R16" s="19"/>
      <c r="S16" s="17"/>
      <c r="T16" s="19"/>
      <c r="U16" s="19"/>
      <c r="V16" s="19"/>
      <c r="W16" s="19"/>
      <c r="X16" s="17"/>
      <c r="Y16" s="20"/>
    </row>
    <row r="17" spans="1:24" ht="18" customHeight="1" x14ac:dyDescent="0.15">
      <c r="A17" s="151" t="s">
        <v>31</v>
      </c>
      <c r="B17" s="149"/>
      <c r="C17" s="149" t="s">
        <v>32</v>
      </c>
      <c r="D17" s="150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4" ht="18" customHeight="1" x14ac:dyDescent="0.15">
      <c r="A18" s="151" t="s">
        <v>33</v>
      </c>
      <c r="B18" s="149"/>
      <c r="C18" s="149" t="s">
        <v>34</v>
      </c>
      <c r="D18" s="150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4" ht="18" customHeight="1" x14ac:dyDescent="0.15">
      <c r="A19" s="151" t="s">
        <v>35</v>
      </c>
      <c r="B19" s="149"/>
      <c r="C19" s="149" t="s">
        <v>36</v>
      </c>
      <c r="D19" s="150"/>
      <c r="E19" s="22"/>
      <c r="F19" s="23"/>
      <c r="G19" s="23"/>
      <c r="H19" s="23"/>
      <c r="I19" s="23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 ht="18" customHeight="1" x14ac:dyDescent="0.15">
      <c r="A20" s="151" t="s">
        <v>37</v>
      </c>
      <c r="B20" s="149"/>
      <c r="C20" s="149" t="s">
        <v>38</v>
      </c>
      <c r="D20" s="150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1"/>
      <c r="U20" s="21"/>
      <c r="V20" s="21"/>
      <c r="W20" s="21"/>
      <c r="X20" s="21"/>
    </row>
    <row r="21" spans="1:24" ht="18" customHeight="1" x14ac:dyDescent="0.15">
      <c r="A21" s="151" t="s">
        <v>39</v>
      </c>
      <c r="B21" s="149"/>
      <c r="C21" s="149" t="s">
        <v>40</v>
      </c>
      <c r="D21" s="150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spans="1:24" ht="18" customHeight="1" x14ac:dyDescent="0.15">
      <c r="A22" s="151" t="s">
        <v>41</v>
      </c>
      <c r="B22" s="149"/>
      <c r="C22" s="149" t="s">
        <v>42</v>
      </c>
      <c r="D22" s="150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ht="18" customHeight="1" x14ac:dyDescent="0.15">
      <c r="A23" s="151" t="s">
        <v>43</v>
      </c>
      <c r="B23" s="149"/>
      <c r="C23" s="149" t="s">
        <v>44</v>
      </c>
      <c r="D23" s="150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4" ht="18" customHeight="1" x14ac:dyDescent="0.15">
      <c r="A24" s="151"/>
      <c r="B24" s="149"/>
      <c r="C24" s="149"/>
      <c r="D24" s="150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 ht="18" customHeight="1" x14ac:dyDescent="0.15">
      <c r="A25" s="151"/>
      <c r="B25" s="149"/>
      <c r="C25" s="149"/>
      <c r="D25" s="150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4" ht="18" customHeight="1" x14ac:dyDescent="0.15">
      <c r="A26" s="151"/>
      <c r="B26" s="149"/>
      <c r="C26" s="149"/>
      <c r="D26" s="150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4" ht="18" customHeight="1" x14ac:dyDescent="0.15">
      <c r="A27" s="138"/>
      <c r="B27" s="139"/>
      <c r="C27" s="139"/>
      <c r="D27" s="140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 ht="18" customHeight="1" x14ac:dyDescent="0.15">
      <c r="A28" s="138"/>
      <c r="B28" s="139"/>
      <c r="C28" s="139"/>
      <c r="D28" s="140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 ht="18" customHeight="1" x14ac:dyDescent="0.15">
      <c r="A29" s="138"/>
      <c r="B29" s="139"/>
      <c r="C29" s="139"/>
      <c r="D29" s="140"/>
      <c r="E29" s="1"/>
      <c r="F29" s="1"/>
      <c r="G29" s="1"/>
      <c r="H29" s="1"/>
      <c r="I29" s="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 ht="18" customHeight="1" x14ac:dyDescent="0.15">
      <c r="A30" s="138"/>
      <c r="B30" s="139"/>
      <c r="C30" s="139"/>
      <c r="D30" s="140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spans="1:24" ht="18" customHeight="1" x14ac:dyDescent="0.15">
      <c r="A31" s="152" t="s">
        <v>45</v>
      </c>
      <c r="B31" s="153"/>
      <c r="C31" s="153"/>
      <c r="D31" s="154"/>
      <c r="E31" s="21"/>
      <c r="F31" s="21"/>
      <c r="G31" s="21"/>
      <c r="H31" s="21"/>
      <c r="I31" s="1" t="s">
        <v>46</v>
      </c>
      <c r="J31" s="21"/>
      <c r="K31" s="21"/>
      <c r="L31" s="21"/>
      <c r="M31" s="21"/>
      <c r="N31" s="1" t="s">
        <v>46</v>
      </c>
      <c r="O31" s="21"/>
      <c r="P31" s="21"/>
      <c r="Q31" s="21"/>
      <c r="R31" s="21"/>
      <c r="S31" s="1" t="s">
        <v>46</v>
      </c>
      <c r="T31" s="155" t="s">
        <v>47</v>
      </c>
      <c r="U31" s="156"/>
      <c r="V31" s="159">
        <v>3</v>
      </c>
      <c r="W31" s="21"/>
      <c r="X31" s="21"/>
    </row>
    <row r="32" spans="1:24" ht="18" customHeight="1" x14ac:dyDescent="0.15">
      <c r="A32" s="152" t="s">
        <v>48</v>
      </c>
      <c r="B32" s="153"/>
      <c r="C32" s="153"/>
      <c r="D32" s="154"/>
      <c r="E32" s="1" t="s">
        <v>49</v>
      </c>
      <c r="F32" s="21"/>
      <c r="G32" s="21"/>
      <c r="H32" s="21"/>
      <c r="I32" s="21"/>
      <c r="J32" s="1" t="s">
        <v>49</v>
      </c>
      <c r="K32" s="21"/>
      <c r="L32" s="21"/>
      <c r="M32" s="21"/>
      <c r="N32" s="21"/>
      <c r="O32" s="1" t="s">
        <v>49</v>
      </c>
      <c r="P32" s="21"/>
      <c r="Q32" s="21"/>
      <c r="R32" s="21"/>
      <c r="S32" s="21"/>
      <c r="T32" s="157"/>
      <c r="U32" s="158"/>
      <c r="V32" s="160"/>
      <c r="W32" s="21"/>
      <c r="X32" s="21"/>
    </row>
    <row r="33" spans="1:24" ht="18" customHeight="1" x14ac:dyDescent="0.15">
      <c r="A33" s="26" t="s">
        <v>50</v>
      </c>
      <c r="B33" s="27" t="s">
        <v>51</v>
      </c>
      <c r="C33" s="28">
        <f>SUM(E33:X33)</f>
        <v>110</v>
      </c>
      <c r="D33" s="29" t="s">
        <v>52</v>
      </c>
      <c r="E33" s="1">
        <v>38</v>
      </c>
      <c r="F33" s="1">
        <v>5</v>
      </c>
      <c r="G33" s="1">
        <v>2</v>
      </c>
      <c r="H33" s="1">
        <v>3</v>
      </c>
      <c r="I33" s="1">
        <v>4</v>
      </c>
      <c r="J33" s="1">
        <v>11</v>
      </c>
      <c r="K33" s="1">
        <v>2</v>
      </c>
      <c r="L33" s="1">
        <v>2</v>
      </c>
      <c r="M33" s="1">
        <v>3</v>
      </c>
      <c r="N33" s="1">
        <v>4</v>
      </c>
      <c r="O33" s="1">
        <v>20</v>
      </c>
      <c r="P33" s="1">
        <v>7</v>
      </c>
      <c r="Q33" s="1">
        <v>2</v>
      </c>
      <c r="R33" s="1">
        <v>3</v>
      </c>
      <c r="S33" s="1">
        <v>4</v>
      </c>
      <c r="T33" s="1"/>
      <c r="U33" s="1"/>
      <c r="V33" s="1"/>
      <c r="W33" s="1"/>
      <c r="X33" s="1"/>
    </row>
    <row r="34" spans="1:24" ht="18" customHeight="1" x14ac:dyDescent="0.15">
      <c r="A34" s="152" t="s">
        <v>53</v>
      </c>
      <c r="B34" s="153"/>
      <c r="C34" s="153"/>
      <c r="D34" s="154"/>
      <c r="E34" s="4">
        <v>110</v>
      </c>
      <c r="F34" s="4">
        <v>110</v>
      </c>
      <c r="G34" s="4">
        <v>110</v>
      </c>
      <c r="H34" s="4">
        <v>10</v>
      </c>
      <c r="I34" s="4">
        <v>10</v>
      </c>
      <c r="J34" s="4">
        <v>110</v>
      </c>
      <c r="K34" s="4">
        <v>110</v>
      </c>
      <c r="L34" s="4">
        <v>110</v>
      </c>
      <c r="M34" s="4">
        <v>10</v>
      </c>
      <c r="N34" s="4">
        <v>10</v>
      </c>
      <c r="O34" s="4">
        <v>110</v>
      </c>
      <c r="P34" s="4">
        <v>110</v>
      </c>
      <c r="Q34" s="4">
        <v>110</v>
      </c>
      <c r="R34" s="4">
        <v>10</v>
      </c>
      <c r="S34" s="4">
        <v>10</v>
      </c>
      <c r="T34" s="4"/>
      <c r="U34" s="4"/>
      <c r="V34" s="4"/>
      <c r="W34" s="4"/>
      <c r="X34" s="4"/>
    </row>
    <row r="35" spans="1:24" ht="18" customHeight="1" x14ac:dyDescent="0.15">
      <c r="A35" s="152" t="s">
        <v>54</v>
      </c>
      <c r="B35" s="153"/>
      <c r="C35" s="153"/>
      <c r="D35" s="154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6</v>
      </c>
      <c r="K35" s="4">
        <v>0.95</v>
      </c>
      <c r="L35" s="4">
        <v>0.95</v>
      </c>
      <c r="M35" s="4">
        <v>0.95</v>
      </c>
      <c r="N35" s="4">
        <v>0.95</v>
      </c>
      <c r="O35" s="4">
        <v>6</v>
      </c>
      <c r="P35" s="4">
        <v>0.95</v>
      </c>
      <c r="Q35" s="4">
        <v>0.95</v>
      </c>
      <c r="R35" s="4">
        <v>0.95</v>
      </c>
      <c r="S35" s="4">
        <v>0.95</v>
      </c>
      <c r="T35" s="4"/>
      <c r="U35" s="4"/>
      <c r="V35" s="4"/>
      <c r="W35" s="4"/>
      <c r="X35" s="4"/>
    </row>
    <row r="36" spans="1:24" ht="18" customHeight="1" x14ac:dyDescent="0.15">
      <c r="A36" s="152" t="s">
        <v>55</v>
      </c>
      <c r="B36" s="153"/>
      <c r="C36" s="153"/>
      <c r="D36" s="154"/>
      <c r="E36" s="4" t="s">
        <v>56</v>
      </c>
      <c r="F36" s="4" t="s">
        <v>57</v>
      </c>
      <c r="G36" s="4" t="s">
        <v>57</v>
      </c>
      <c r="H36" s="4" t="s">
        <v>57</v>
      </c>
      <c r="I36" s="4" t="s">
        <v>57</v>
      </c>
      <c r="J36" s="4" t="s">
        <v>57</v>
      </c>
      <c r="K36" s="4" t="s">
        <v>57</v>
      </c>
      <c r="L36" s="4" t="s">
        <v>57</v>
      </c>
      <c r="M36" s="4" t="s">
        <v>57</v>
      </c>
      <c r="N36" s="4" t="s">
        <v>57</v>
      </c>
      <c r="O36" s="4" t="s">
        <v>57</v>
      </c>
      <c r="P36" s="4" t="s">
        <v>56</v>
      </c>
      <c r="Q36" s="4" t="s">
        <v>56</v>
      </c>
      <c r="R36" s="4" t="s">
        <v>56</v>
      </c>
      <c r="S36" s="4" t="s">
        <v>56</v>
      </c>
      <c r="T36" s="4"/>
      <c r="U36" s="4"/>
      <c r="V36" s="4"/>
      <c r="W36" s="4"/>
      <c r="X36" s="4"/>
    </row>
  </sheetData>
  <mergeCells count="75">
    <mergeCell ref="T31:U32"/>
    <mergeCell ref="V31:V32"/>
    <mergeCell ref="C13:D13"/>
    <mergeCell ref="A3:B3"/>
    <mergeCell ref="C3:D3"/>
    <mergeCell ref="C12:D12"/>
    <mergeCell ref="A7:B7"/>
    <mergeCell ref="C7:D7"/>
    <mergeCell ref="A5:B5"/>
    <mergeCell ref="C5:D5"/>
    <mergeCell ref="A11:B11"/>
    <mergeCell ref="C11:D11"/>
    <mergeCell ref="A27:B27"/>
    <mergeCell ref="C27:D27"/>
    <mergeCell ref="A12:B12"/>
    <mergeCell ref="A13:B13"/>
    <mergeCell ref="A25:B25"/>
    <mergeCell ref="C25:D25"/>
    <mergeCell ref="A26:B26"/>
    <mergeCell ref="A21:B21"/>
    <mergeCell ref="C21:D21"/>
    <mergeCell ref="A22:B22"/>
    <mergeCell ref="C22:D22"/>
    <mergeCell ref="C26:D26"/>
    <mergeCell ref="A23:B23"/>
    <mergeCell ref="C23:D23"/>
    <mergeCell ref="A24:B24"/>
    <mergeCell ref="C24:D24"/>
    <mergeCell ref="A36:D36"/>
    <mergeCell ref="A34:D34"/>
    <mergeCell ref="A35:D35"/>
    <mergeCell ref="A31:D31"/>
    <mergeCell ref="A32:D32"/>
    <mergeCell ref="A19:B19"/>
    <mergeCell ref="C10:D10"/>
    <mergeCell ref="A4:B4"/>
    <mergeCell ref="C4:D4"/>
    <mergeCell ref="C6:D6"/>
    <mergeCell ref="A8:B8"/>
    <mergeCell ref="C8:D8"/>
    <mergeCell ref="A16:D16"/>
    <mergeCell ref="A17:B17"/>
    <mergeCell ref="C17:D17"/>
    <mergeCell ref="A18:B18"/>
    <mergeCell ref="A30:B30"/>
    <mergeCell ref="C30:D30"/>
    <mergeCell ref="L2:M2"/>
    <mergeCell ref="H2:K2"/>
    <mergeCell ref="A14:D14"/>
    <mergeCell ref="A15:D15"/>
    <mergeCell ref="A10:B10"/>
    <mergeCell ref="F2:G2"/>
    <mergeCell ref="A29:B29"/>
    <mergeCell ref="C29:D29"/>
    <mergeCell ref="A28:B28"/>
    <mergeCell ref="C28:D28"/>
    <mergeCell ref="C19:D19"/>
    <mergeCell ref="A20:B20"/>
    <mergeCell ref="C20:D20"/>
    <mergeCell ref="C18:D18"/>
    <mergeCell ref="F1:G1"/>
    <mergeCell ref="T1:U1"/>
    <mergeCell ref="T2:U2"/>
    <mergeCell ref="H1:M1"/>
    <mergeCell ref="A9:B9"/>
    <mergeCell ref="C9:D9"/>
    <mergeCell ref="A1:E1"/>
    <mergeCell ref="A2:E2"/>
    <mergeCell ref="A6:B6"/>
    <mergeCell ref="V1:X1"/>
    <mergeCell ref="V2:X2"/>
    <mergeCell ref="N1:O1"/>
    <mergeCell ref="N2:O2"/>
    <mergeCell ref="P1:S1"/>
    <mergeCell ref="P2:R2"/>
  </mergeCells>
  <phoneticPr fontId="1"/>
  <pageMargins left="0.98425196850393704" right="0.11811023622047245" top="0.43307086614173229" bottom="0.59055118110236227" header="0.23622047244094491" footer="0.31496062992125984"/>
  <pageSetup paperSize="9" scale="94" firstPageNumber="45" orientation="portrait" useFirstPageNumber="1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6"/>
  <sheetViews>
    <sheetView topLeftCell="A4" zoomScaleNormal="100" workbookViewId="0">
      <selection activeCell="C21" sqref="C21:D21"/>
    </sheetView>
  </sheetViews>
  <sheetFormatPr defaultRowHeight="11.25" x14ac:dyDescent="0.15"/>
  <cols>
    <col min="1" max="1" width="5.125" style="30" customWidth="1"/>
    <col min="2" max="2" width="0.875" style="30" customWidth="1"/>
    <col min="3" max="3" width="4.625" style="30" customWidth="1"/>
    <col min="4" max="4" width="0.875" style="30" customWidth="1"/>
    <col min="5" max="24" width="4.125" style="2" customWidth="1"/>
    <col min="25" max="16384" width="9" style="2"/>
  </cols>
  <sheetData>
    <row r="1" spans="1:28" ht="20.100000000000001" customHeight="1" x14ac:dyDescent="0.15">
      <c r="A1" s="127" t="s">
        <v>0</v>
      </c>
      <c r="B1" s="127"/>
      <c r="C1" s="127"/>
      <c r="D1" s="127"/>
      <c r="E1" s="127"/>
      <c r="F1" s="131" t="s">
        <v>1</v>
      </c>
      <c r="G1" s="132"/>
      <c r="H1" s="134" t="s">
        <v>2</v>
      </c>
      <c r="I1" s="135"/>
      <c r="J1" s="135"/>
      <c r="K1" s="135"/>
      <c r="L1" s="135"/>
      <c r="M1" s="135"/>
      <c r="N1" s="125" t="s">
        <v>3</v>
      </c>
      <c r="O1" s="125"/>
      <c r="P1" s="127" t="s">
        <v>4</v>
      </c>
      <c r="Q1" s="127"/>
      <c r="R1" s="127"/>
      <c r="S1" s="127"/>
      <c r="T1" s="133" t="s">
        <v>5</v>
      </c>
      <c r="U1" s="133"/>
      <c r="V1" s="123" t="s">
        <v>6</v>
      </c>
      <c r="W1" s="123"/>
      <c r="X1" s="123"/>
    </row>
    <row r="2" spans="1:28" ht="20.100000000000001" customHeight="1" x14ac:dyDescent="0.15">
      <c r="A2" s="126" t="s">
        <v>7</v>
      </c>
      <c r="B2" s="126"/>
      <c r="C2" s="126"/>
      <c r="D2" s="126"/>
      <c r="E2" s="126"/>
      <c r="F2" s="147" t="s">
        <v>8</v>
      </c>
      <c r="G2" s="148"/>
      <c r="H2" s="143" t="s">
        <v>2</v>
      </c>
      <c r="I2" s="143"/>
      <c r="J2" s="143"/>
      <c r="K2" s="143"/>
      <c r="L2" s="141" t="s">
        <v>9</v>
      </c>
      <c r="M2" s="142"/>
      <c r="N2" s="126" t="s">
        <v>10</v>
      </c>
      <c r="O2" s="126"/>
      <c r="P2" s="128">
        <v>0.51249999999999996</v>
      </c>
      <c r="Q2" s="129"/>
      <c r="R2" s="130"/>
      <c r="S2" s="3" t="s">
        <v>11</v>
      </c>
      <c r="T2" s="133" t="s">
        <v>12</v>
      </c>
      <c r="U2" s="133"/>
      <c r="V2" s="124" t="s">
        <v>13</v>
      </c>
      <c r="W2" s="124"/>
      <c r="X2" s="124"/>
      <c r="Z2" s="5"/>
      <c r="AA2" s="5"/>
      <c r="AB2" s="5"/>
    </row>
    <row r="3" spans="1:28" ht="18" customHeight="1" x14ac:dyDescent="0.15">
      <c r="A3" s="162"/>
      <c r="B3" s="163"/>
      <c r="C3" s="163"/>
      <c r="D3" s="163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Z3" s="9"/>
      <c r="AA3" s="9"/>
      <c r="AB3" s="9"/>
    </row>
    <row r="4" spans="1:28" ht="18" customHeight="1" x14ac:dyDescent="0.15">
      <c r="A4" s="136"/>
      <c r="B4" s="137"/>
      <c r="C4" s="137"/>
      <c r="D4" s="137"/>
      <c r="X4" s="10"/>
    </row>
    <row r="5" spans="1:28" ht="18" customHeight="1" x14ac:dyDescent="0.15">
      <c r="A5" s="136"/>
      <c r="B5" s="137"/>
      <c r="C5" s="137"/>
      <c r="D5" s="137"/>
      <c r="X5" s="10"/>
    </row>
    <row r="6" spans="1:28" ht="18" customHeight="1" x14ac:dyDescent="0.15">
      <c r="A6" s="136"/>
      <c r="B6" s="137"/>
      <c r="C6" s="137"/>
      <c r="D6" s="137"/>
      <c r="X6" s="10"/>
    </row>
    <row r="7" spans="1:28" ht="18" customHeight="1" x14ac:dyDescent="0.15">
      <c r="A7" s="136"/>
      <c r="B7" s="137"/>
      <c r="C7" s="137"/>
      <c r="D7" s="137"/>
      <c r="X7" s="10"/>
    </row>
    <row r="8" spans="1:28" ht="147.75" customHeight="1" x14ac:dyDescent="0.15">
      <c r="A8" s="136"/>
      <c r="B8" s="137"/>
      <c r="C8" s="137"/>
      <c r="D8" s="137"/>
      <c r="X8" s="10"/>
    </row>
    <row r="9" spans="1:28" ht="18" customHeight="1" x14ac:dyDescent="0.15">
      <c r="A9" s="136"/>
      <c r="B9" s="137"/>
      <c r="C9" s="137"/>
      <c r="D9" s="137"/>
      <c r="X9" s="10"/>
    </row>
    <row r="10" spans="1:28" ht="18" customHeight="1" x14ac:dyDescent="0.15">
      <c r="A10" s="145"/>
      <c r="B10" s="146"/>
      <c r="C10" s="137"/>
      <c r="D10" s="137"/>
      <c r="X10" s="10"/>
    </row>
    <row r="11" spans="1:28" ht="18" customHeight="1" x14ac:dyDescent="0.15">
      <c r="A11" s="145"/>
      <c r="B11" s="146"/>
      <c r="C11" s="137"/>
      <c r="D11" s="137"/>
      <c r="X11" s="10"/>
    </row>
    <row r="12" spans="1:28" ht="18" customHeight="1" x14ac:dyDescent="0.15">
      <c r="A12" s="145"/>
      <c r="B12" s="146"/>
      <c r="C12" s="164"/>
      <c r="D12" s="164"/>
      <c r="E12" s="11"/>
      <c r="F12" s="11"/>
      <c r="G12" s="11"/>
      <c r="H12" s="11"/>
      <c r="X12" s="10"/>
    </row>
    <row r="13" spans="1:28" ht="18" customHeight="1" x14ac:dyDescent="0.15">
      <c r="A13" s="148"/>
      <c r="B13" s="165"/>
      <c r="C13" s="161"/>
      <c r="D13" s="161"/>
      <c r="E13" s="12"/>
      <c r="F13" s="12"/>
      <c r="G13" s="12"/>
      <c r="H13" s="12"/>
      <c r="I13" s="12"/>
      <c r="J13" s="12"/>
      <c r="K13" s="12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3"/>
    </row>
    <row r="14" spans="1:28" s="15" customFormat="1" ht="18" customHeight="1" x14ac:dyDescent="0.15">
      <c r="A14" s="144" t="s">
        <v>14</v>
      </c>
      <c r="B14" s="144"/>
      <c r="C14" s="144"/>
      <c r="D14" s="144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4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8" s="11" customFormat="1" ht="18" customHeight="1" x14ac:dyDescent="0.15">
      <c r="A15" s="144" t="s">
        <v>15</v>
      </c>
      <c r="B15" s="144"/>
      <c r="C15" s="144"/>
      <c r="D15" s="144"/>
      <c r="E15" s="16" t="s">
        <v>16</v>
      </c>
      <c r="F15" s="16" t="s">
        <v>17</v>
      </c>
      <c r="G15" s="16" t="s">
        <v>18</v>
      </c>
      <c r="H15" s="16" t="s">
        <v>19</v>
      </c>
      <c r="I15" s="16" t="s">
        <v>20</v>
      </c>
      <c r="J15" s="16" t="s">
        <v>21</v>
      </c>
      <c r="K15" s="16" t="s">
        <v>22</v>
      </c>
      <c r="L15" s="16" t="s">
        <v>23</v>
      </c>
      <c r="M15" s="16" t="s">
        <v>24</v>
      </c>
      <c r="N15" s="17" t="s">
        <v>25</v>
      </c>
      <c r="O15" s="16" t="s">
        <v>26</v>
      </c>
      <c r="P15" s="16" t="s">
        <v>27</v>
      </c>
      <c r="Q15" s="16" t="s">
        <v>28</v>
      </c>
      <c r="R15" s="16" t="s">
        <v>29</v>
      </c>
      <c r="S15" s="17" t="s">
        <v>30</v>
      </c>
      <c r="T15" s="16"/>
      <c r="U15" s="16"/>
      <c r="V15" s="16"/>
      <c r="W15" s="16"/>
      <c r="X15" s="16"/>
    </row>
    <row r="16" spans="1:28" s="11" customFormat="1" ht="125.1" customHeight="1" x14ac:dyDescent="0.15">
      <c r="A16" s="151"/>
      <c r="B16" s="149"/>
      <c r="C16" s="149"/>
      <c r="D16" s="150"/>
      <c r="E16" s="18"/>
      <c r="F16" s="19"/>
      <c r="G16" s="19"/>
      <c r="H16" s="19"/>
      <c r="I16" s="17"/>
      <c r="J16" s="19"/>
      <c r="K16" s="19"/>
      <c r="L16" s="19"/>
      <c r="M16" s="19"/>
      <c r="N16" s="17"/>
      <c r="O16" s="19"/>
      <c r="P16" s="19"/>
      <c r="Q16" s="19"/>
      <c r="R16" s="19"/>
      <c r="S16" s="17"/>
      <c r="T16" s="19"/>
      <c r="U16" s="19"/>
      <c r="V16" s="19"/>
      <c r="W16" s="19"/>
      <c r="X16" s="17"/>
      <c r="Y16" s="20"/>
    </row>
    <row r="17" spans="1:24" ht="18" customHeight="1" x14ac:dyDescent="0.15">
      <c r="A17" s="151" t="s">
        <v>31</v>
      </c>
      <c r="B17" s="149"/>
      <c r="C17" s="149" t="s">
        <v>32</v>
      </c>
      <c r="D17" s="150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4" ht="18" customHeight="1" x14ac:dyDescent="0.15">
      <c r="A18" s="151" t="s">
        <v>33</v>
      </c>
      <c r="B18" s="149"/>
      <c r="C18" s="149" t="s">
        <v>34</v>
      </c>
      <c r="D18" s="150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4" ht="18" customHeight="1" x14ac:dyDescent="0.15">
      <c r="A19" s="151" t="s">
        <v>35</v>
      </c>
      <c r="B19" s="149"/>
      <c r="C19" s="149" t="s">
        <v>36</v>
      </c>
      <c r="D19" s="150"/>
      <c r="E19" s="21"/>
      <c r="F19" s="21"/>
      <c r="G19" s="21"/>
      <c r="H19" s="22"/>
      <c r="I19" s="23"/>
      <c r="J19" s="23"/>
      <c r="K19" s="23"/>
      <c r="L19" s="24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 ht="18" customHeight="1" x14ac:dyDescent="0.15">
      <c r="A20" s="151" t="s">
        <v>37</v>
      </c>
      <c r="B20" s="149"/>
      <c r="C20" s="149" t="s">
        <v>38</v>
      </c>
      <c r="D20" s="150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1"/>
      <c r="U20" s="21"/>
      <c r="V20" s="21"/>
      <c r="W20" s="21"/>
      <c r="X20" s="21"/>
    </row>
    <row r="21" spans="1:24" ht="18" customHeight="1" x14ac:dyDescent="0.15">
      <c r="A21" s="151" t="s">
        <v>39</v>
      </c>
      <c r="B21" s="149"/>
      <c r="C21" s="149" t="s">
        <v>40</v>
      </c>
      <c r="D21" s="150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spans="1:24" ht="18" customHeight="1" x14ac:dyDescent="0.15">
      <c r="A22" s="151" t="s">
        <v>41</v>
      </c>
      <c r="B22" s="149"/>
      <c r="C22" s="149" t="s">
        <v>42</v>
      </c>
      <c r="D22" s="150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ht="18" customHeight="1" x14ac:dyDescent="0.15">
      <c r="A23" s="151" t="s">
        <v>43</v>
      </c>
      <c r="B23" s="149"/>
      <c r="C23" s="149" t="s">
        <v>44</v>
      </c>
      <c r="D23" s="150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4" ht="18" customHeight="1" x14ac:dyDescent="0.15">
      <c r="A24" s="151"/>
      <c r="B24" s="149"/>
      <c r="C24" s="149"/>
      <c r="D24" s="150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 ht="18" customHeight="1" x14ac:dyDescent="0.15">
      <c r="A25" s="151"/>
      <c r="B25" s="149"/>
      <c r="C25" s="149"/>
      <c r="D25" s="150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4" ht="18" customHeight="1" x14ac:dyDescent="0.15">
      <c r="A26" s="151"/>
      <c r="B26" s="149"/>
      <c r="C26" s="149"/>
      <c r="D26" s="150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4" ht="18" customHeight="1" x14ac:dyDescent="0.15">
      <c r="A27" s="138"/>
      <c r="B27" s="139"/>
      <c r="C27" s="139"/>
      <c r="D27" s="140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 ht="18" customHeight="1" x14ac:dyDescent="0.15">
      <c r="A28" s="138"/>
      <c r="B28" s="139"/>
      <c r="C28" s="139"/>
      <c r="D28" s="140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 ht="18" customHeight="1" x14ac:dyDescent="0.15">
      <c r="A29" s="138"/>
      <c r="B29" s="139"/>
      <c r="C29" s="139"/>
      <c r="D29" s="140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 ht="18" customHeight="1" x14ac:dyDescent="0.15">
      <c r="A30" s="138"/>
      <c r="B30" s="139"/>
      <c r="C30" s="139"/>
      <c r="D30" s="140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spans="1:24" ht="18" customHeight="1" x14ac:dyDescent="0.15">
      <c r="A31" s="152" t="s">
        <v>45</v>
      </c>
      <c r="B31" s="153"/>
      <c r="C31" s="153"/>
      <c r="D31" s="154"/>
      <c r="E31" s="21"/>
      <c r="F31" s="21"/>
      <c r="G31" s="21"/>
      <c r="H31" s="21"/>
      <c r="I31" s="1" t="s">
        <v>46</v>
      </c>
      <c r="J31" s="21"/>
      <c r="K31" s="21"/>
      <c r="L31" s="21"/>
      <c r="M31" s="21"/>
      <c r="N31" s="1" t="s">
        <v>46</v>
      </c>
      <c r="O31" s="21"/>
      <c r="P31" s="21"/>
      <c r="Q31" s="21"/>
      <c r="R31" s="21"/>
      <c r="S31" s="1" t="s">
        <v>46</v>
      </c>
      <c r="T31" s="155" t="s">
        <v>47</v>
      </c>
      <c r="U31" s="156"/>
      <c r="V31" s="159">
        <v>3</v>
      </c>
      <c r="W31" s="21"/>
      <c r="X31" s="21"/>
    </row>
    <row r="32" spans="1:24" ht="18" customHeight="1" x14ac:dyDescent="0.15">
      <c r="A32" s="152" t="s">
        <v>48</v>
      </c>
      <c r="B32" s="153"/>
      <c r="C32" s="153"/>
      <c r="D32" s="154"/>
      <c r="E32" s="1" t="s">
        <v>49</v>
      </c>
      <c r="F32" s="21"/>
      <c r="G32" s="21"/>
      <c r="H32" s="21"/>
      <c r="I32" s="21"/>
      <c r="J32" s="1" t="s">
        <v>49</v>
      </c>
      <c r="K32" s="21"/>
      <c r="L32" s="21"/>
      <c r="M32" s="21"/>
      <c r="N32" s="21"/>
      <c r="O32" s="1" t="s">
        <v>49</v>
      </c>
      <c r="P32" s="21"/>
      <c r="Q32" s="21"/>
      <c r="R32" s="21"/>
      <c r="S32" s="21"/>
      <c r="T32" s="157"/>
      <c r="U32" s="158"/>
      <c r="V32" s="160"/>
      <c r="W32" s="21"/>
      <c r="X32" s="21"/>
    </row>
    <row r="33" spans="1:24" ht="18" customHeight="1" x14ac:dyDescent="0.15">
      <c r="A33" s="26" t="s">
        <v>50</v>
      </c>
      <c r="B33" s="27" t="s">
        <v>51</v>
      </c>
      <c r="C33" s="28">
        <f>SUM(E33:X33)</f>
        <v>100</v>
      </c>
      <c r="D33" s="29" t="s">
        <v>52</v>
      </c>
      <c r="E33" s="1">
        <v>11</v>
      </c>
      <c r="F33" s="1">
        <v>2</v>
      </c>
      <c r="G33" s="1">
        <v>2</v>
      </c>
      <c r="H33" s="1">
        <v>3</v>
      </c>
      <c r="I33" s="1">
        <v>4</v>
      </c>
      <c r="J33" s="1">
        <v>28</v>
      </c>
      <c r="K33" s="1">
        <v>5</v>
      </c>
      <c r="L33" s="1">
        <v>2</v>
      </c>
      <c r="M33" s="1">
        <v>3</v>
      </c>
      <c r="N33" s="1">
        <v>4</v>
      </c>
      <c r="O33" s="1">
        <v>20</v>
      </c>
      <c r="P33" s="1">
        <v>7</v>
      </c>
      <c r="Q33" s="1">
        <v>2</v>
      </c>
      <c r="R33" s="1">
        <v>3</v>
      </c>
      <c r="S33" s="1">
        <v>4</v>
      </c>
      <c r="T33" s="1"/>
      <c r="U33" s="1"/>
      <c r="V33" s="1"/>
      <c r="W33" s="1"/>
      <c r="X33" s="1"/>
    </row>
    <row r="34" spans="1:24" ht="18" customHeight="1" x14ac:dyDescent="0.15">
      <c r="A34" s="152" t="s">
        <v>53</v>
      </c>
      <c r="B34" s="153"/>
      <c r="C34" s="153"/>
      <c r="D34" s="154"/>
      <c r="E34" s="4">
        <v>110</v>
      </c>
      <c r="F34" s="4">
        <v>110</v>
      </c>
      <c r="G34" s="4">
        <v>110</v>
      </c>
      <c r="H34" s="4">
        <v>10</v>
      </c>
      <c r="I34" s="4">
        <v>10</v>
      </c>
      <c r="J34" s="4">
        <v>110</v>
      </c>
      <c r="K34" s="4">
        <v>110</v>
      </c>
      <c r="L34" s="4">
        <v>110</v>
      </c>
      <c r="M34" s="4">
        <v>10</v>
      </c>
      <c r="N34" s="4">
        <v>10</v>
      </c>
      <c r="O34" s="4">
        <v>110</v>
      </c>
      <c r="P34" s="4">
        <v>110</v>
      </c>
      <c r="Q34" s="4">
        <v>110</v>
      </c>
      <c r="R34" s="4">
        <v>10</v>
      </c>
      <c r="S34" s="4">
        <v>10</v>
      </c>
      <c r="T34" s="4"/>
      <c r="U34" s="4"/>
      <c r="V34" s="4"/>
      <c r="W34" s="4"/>
      <c r="X34" s="4"/>
    </row>
    <row r="35" spans="1:24" ht="18" customHeight="1" x14ac:dyDescent="0.15">
      <c r="A35" s="152" t="s">
        <v>54</v>
      </c>
      <c r="B35" s="153"/>
      <c r="C35" s="153"/>
      <c r="D35" s="154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6</v>
      </c>
      <c r="K35" s="4">
        <v>0.95</v>
      </c>
      <c r="L35" s="4">
        <v>0.95</v>
      </c>
      <c r="M35" s="4">
        <v>0.95</v>
      </c>
      <c r="N35" s="4">
        <v>0.95</v>
      </c>
      <c r="O35" s="4">
        <v>6</v>
      </c>
      <c r="P35" s="4">
        <v>0.95</v>
      </c>
      <c r="Q35" s="4">
        <v>0.95</v>
      </c>
      <c r="R35" s="4">
        <v>0.95</v>
      </c>
      <c r="S35" s="4">
        <v>0.95</v>
      </c>
      <c r="T35" s="4"/>
      <c r="U35" s="4"/>
      <c r="V35" s="4"/>
      <c r="W35" s="4"/>
      <c r="X35" s="4"/>
    </row>
    <row r="36" spans="1:24" ht="18" customHeight="1" x14ac:dyDescent="0.15">
      <c r="A36" s="152" t="s">
        <v>55</v>
      </c>
      <c r="B36" s="153"/>
      <c r="C36" s="153"/>
      <c r="D36" s="154"/>
      <c r="E36" s="4" t="s">
        <v>56</v>
      </c>
      <c r="F36" s="4" t="s">
        <v>57</v>
      </c>
      <c r="G36" s="4" t="s">
        <v>57</v>
      </c>
      <c r="H36" s="4" t="s">
        <v>57</v>
      </c>
      <c r="I36" s="4" t="s">
        <v>57</v>
      </c>
      <c r="J36" s="4" t="s">
        <v>57</v>
      </c>
      <c r="K36" s="4" t="s">
        <v>57</v>
      </c>
      <c r="L36" s="4" t="s">
        <v>57</v>
      </c>
      <c r="M36" s="4" t="s">
        <v>57</v>
      </c>
      <c r="N36" s="4" t="s">
        <v>57</v>
      </c>
      <c r="O36" s="4" t="s">
        <v>57</v>
      </c>
      <c r="P36" s="4" t="s">
        <v>56</v>
      </c>
      <c r="Q36" s="4" t="s">
        <v>56</v>
      </c>
      <c r="R36" s="4" t="s">
        <v>56</v>
      </c>
      <c r="S36" s="4" t="s">
        <v>56</v>
      </c>
      <c r="T36" s="4"/>
      <c r="U36" s="4"/>
      <c r="V36" s="4"/>
      <c r="W36" s="4"/>
      <c r="X36" s="4"/>
    </row>
  </sheetData>
  <mergeCells count="75">
    <mergeCell ref="F1:G1"/>
    <mergeCell ref="T1:U1"/>
    <mergeCell ref="T2:U2"/>
    <mergeCell ref="H1:M1"/>
    <mergeCell ref="V1:X1"/>
    <mergeCell ref="V2:X2"/>
    <mergeCell ref="N1:O1"/>
    <mergeCell ref="N2:O2"/>
    <mergeCell ref="P1:S1"/>
    <mergeCell ref="P2:R2"/>
    <mergeCell ref="L2:M2"/>
    <mergeCell ref="H2:K2"/>
    <mergeCell ref="F2:G2"/>
    <mergeCell ref="A1:E1"/>
    <mergeCell ref="A2:E2"/>
    <mergeCell ref="A6:B6"/>
    <mergeCell ref="C6:D6"/>
    <mergeCell ref="A8:B8"/>
    <mergeCell ref="C8:D8"/>
    <mergeCell ref="A3:B3"/>
    <mergeCell ref="C3:D3"/>
    <mergeCell ref="C20:D20"/>
    <mergeCell ref="A4:B4"/>
    <mergeCell ref="C4:D4"/>
    <mergeCell ref="A9:B9"/>
    <mergeCell ref="C9:D9"/>
    <mergeCell ref="A14:D14"/>
    <mergeCell ref="A15:D15"/>
    <mergeCell ref="A10:B10"/>
    <mergeCell ref="C10:D10"/>
    <mergeCell ref="A16:D16"/>
    <mergeCell ref="A17:B17"/>
    <mergeCell ref="C17:D17"/>
    <mergeCell ref="A18:B18"/>
    <mergeCell ref="C18:D18"/>
    <mergeCell ref="A19:B19"/>
    <mergeCell ref="C19:D19"/>
    <mergeCell ref="A24:B24"/>
    <mergeCell ref="C24:D24"/>
    <mergeCell ref="A26:B26"/>
    <mergeCell ref="A36:D36"/>
    <mergeCell ref="A34:D34"/>
    <mergeCell ref="A35:D35"/>
    <mergeCell ref="A31:D31"/>
    <mergeCell ref="A32:D32"/>
    <mergeCell ref="A28:B28"/>
    <mergeCell ref="C28:D28"/>
    <mergeCell ref="A30:B30"/>
    <mergeCell ref="C30:D30"/>
    <mergeCell ref="A29:B29"/>
    <mergeCell ref="C29:D29"/>
    <mergeCell ref="C12:D12"/>
    <mergeCell ref="A7:B7"/>
    <mergeCell ref="C7:D7"/>
    <mergeCell ref="A5:B5"/>
    <mergeCell ref="C5:D5"/>
    <mergeCell ref="A11:B11"/>
    <mergeCell ref="C11:D11"/>
    <mergeCell ref="A12:B12"/>
    <mergeCell ref="A13:B13"/>
    <mergeCell ref="A20:B20"/>
    <mergeCell ref="T31:U32"/>
    <mergeCell ref="V31:V32"/>
    <mergeCell ref="C13:D13"/>
    <mergeCell ref="A27:B27"/>
    <mergeCell ref="C27:D27"/>
    <mergeCell ref="A21:B21"/>
    <mergeCell ref="C21:D21"/>
    <mergeCell ref="A22:B22"/>
    <mergeCell ref="C22:D22"/>
    <mergeCell ref="A25:B25"/>
    <mergeCell ref="C25:D25"/>
    <mergeCell ref="C26:D26"/>
    <mergeCell ref="A23:B23"/>
    <mergeCell ref="C23:D23"/>
  </mergeCells>
  <phoneticPr fontId="1"/>
  <pageMargins left="0.98425196850393704" right="0.11811023622047245" top="0.43307086614173229" bottom="0.59055118110236227" header="0.23622047244094491" footer="0.31496062992125984"/>
  <pageSetup paperSize="9" scale="94" firstPageNumber="45" orientation="portrait" useFirstPageNumber="1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2026-02-20</vt:lpstr>
      <vt:lpstr>100807</vt:lpstr>
      <vt:lpstr>250081</vt:lpstr>
      <vt:lpstr>'2026-02-20'!Print_Area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amisaki</dc:creator>
  <cp:lastModifiedBy>繁内 修二</cp:lastModifiedBy>
  <cp:lastPrinted>2025-10-02T04:21:24Z</cp:lastPrinted>
  <dcterms:created xsi:type="dcterms:W3CDTF">2003-01-27T00:56:51Z</dcterms:created>
  <dcterms:modified xsi:type="dcterms:W3CDTF">2026-02-26T09:39:53Z</dcterms:modified>
</cp:coreProperties>
</file>