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11035012\Desktop\_2025工事\①端末対応装置Ⅰ型（TCCU増設）\現示階梯図\端末更新\2-25 福山（千田蓮池南ほか）\"/>
    </mc:Choice>
  </mc:AlternateContent>
  <xr:revisionPtr revIDLastSave="0" documentId="13_ncr:1_{6D3419C6-E910-4413-9F2C-4AF4CF94F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7" sheetId="2" r:id="rId1"/>
    <sheet name="420055" sheetId="1" r:id="rId2"/>
  </sheets>
  <definedNames>
    <definedName name="_xlnm.Print_Area" localSheetId="0">'2026-02-07'!$A$1:$X$38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" i="2" l="1"/>
  <c r="AD15" i="2" s="1"/>
  <c r="AD14" i="2"/>
  <c r="AA14" i="2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<sst xmlns="http://schemas.openxmlformats.org/spreadsheetml/2006/main" count="105" uniqueCount="55">
  <si>
    <t>規制番号　名称</t>
    <rPh sb="0" eb="2">
      <t>キセイ</t>
    </rPh>
    <rPh sb="2" eb="4">
      <t>バンゴウ</t>
    </rPh>
    <rPh sb="5" eb="7">
      <t>メイショウ</t>
    </rPh>
    <phoneticPr fontId="2"/>
  </si>
  <si>
    <t>千間土手西</t>
    <rPh sb="0" eb="1">
      <t>セン</t>
    </rPh>
    <rPh sb="1" eb="2">
      <t>マ</t>
    </rPh>
    <rPh sb="2" eb="4">
      <t>ドテ</t>
    </rPh>
    <rPh sb="4" eb="5">
      <t>ニシ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</si>
  <si>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</si>
  <si>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</si>
  <si>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</si>
  <si>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</si>
  <si>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</si>
  <si>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</si>
  <si>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</si>
  <si>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</si>
  <si>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</si>
  <si>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</si>
  <si>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</si>
  <si>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</si>
  <si>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</si>
  <si>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</si>
  <si>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</si>
  <si>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</si>
  <si>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R</t>
    <phoneticPr fontId="2"/>
  </si>
  <si>
    <t>[ 1P ]</t>
    <phoneticPr fontId="2"/>
  </si>
  <si>
    <t>１</t>
    <phoneticPr fontId="2"/>
  </si>
  <si>
    <t>[ 1V ]</t>
    <phoneticPr fontId="2"/>
  </si>
  <si>
    <t xml:space="preserve">  ２Ｐ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</si>
  <si>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</si>
  <si>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</si>
  <si>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</si>
  <si>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</si>
  <si>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</si>
  <si>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</si>
  <si>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</si>
  <si>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</si>
  <si>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</si>
  <si>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</si>
  <si>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</si>
  <si>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7-0055 </t>
    <phoneticPr fontId="2"/>
  </si>
  <si>
    <t xml:space="preserve">  ( １Ｐ )</t>
    <phoneticPr fontId="2"/>
  </si>
  <si>
    <t>070055</t>
    <phoneticPr fontId="2"/>
  </si>
  <si>
    <t xml:space="preserve"> </t>
    <phoneticPr fontId="2"/>
  </si>
  <si>
    <t>ＵＣ－ＵＤ（ＴＣＵ）</t>
    <phoneticPr fontId="2"/>
  </si>
  <si>
    <t>3N1845</t>
    <phoneticPr fontId="2"/>
  </si>
  <si>
    <t>11:42～</t>
    <phoneticPr fontId="2"/>
  </si>
  <si>
    <t>(S9-TCU)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</si>
  <si>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</si>
  <si>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</si>
  <si>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～</t>
    <phoneticPr fontId="2"/>
  </si>
  <si>
    <t>メーカー</t>
    <phoneticPr fontId="2"/>
  </si>
  <si>
    <t>Int№：</t>
    <phoneticPr fontId="2"/>
  </si>
  <si>
    <t>ＰＵ</t>
    <phoneticPr fontId="2"/>
  </si>
  <si>
    <t>ＰＬ</t>
    <phoneticPr fontId="2"/>
  </si>
  <si>
    <t>千間土手西</t>
    <phoneticPr fontId="2"/>
  </si>
  <si>
    <t>07-0055</t>
    <phoneticPr fontId="2"/>
  </si>
  <si>
    <t>70055</t>
    <phoneticPr fontId="2"/>
  </si>
  <si>
    <t>２Ｐ</t>
    <phoneticPr fontId="2"/>
  </si>
  <si>
    <t>１Ｐ</t>
    <phoneticPr fontId="2"/>
  </si>
  <si>
    <t>住友電工</t>
    <rPh sb="0" eb="4">
      <t>スミトモデンコウ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</si>
</sst>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right" vertical="center"/>
    </xf>
    <xf numFmtId="177" fontId="3" fillId="0" borderId="8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49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right" vertical="center"/>
    </xf>
    <xf numFmtId="177" fontId="10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9" fontId="9" fillId="0" borderId="0" xfId="0" applyNumberFormat="1" applyFont="1" applyAlignment="1">
      <alignment vertical="center"/>
    </xf>
    <xf numFmtId="49" fontId="10" fillId="0" borderId="7" xfId="0" applyNumberFormat="1" applyFont="1" applyBorder="1" applyAlignment="1">
      <alignment vertical="center"/>
    </xf>
    <xf numFmtId="176" fontId="10" fillId="0" borderId="7" xfId="0" applyNumberFormat="1" applyFont="1" applyBorder="1" applyAlignment="1">
      <alignment vertical="center"/>
    </xf>
    <xf numFmtId="0" fontId="9" fillId="0" borderId="0" xfId="0" applyFont="1" applyFill="1" applyAlignment="1">
      <alignment vertical="center"/>
    </xf>
    <xf numFmtId="181" fontId="9" fillId="0" borderId="0" xfId="0" applyNumberFormat="1" applyFont="1" applyFill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25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left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3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10" fillId="0" borderId="9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horizontal="right" vertical="center"/>
    </xf>
    <xf numFmtId="49" fontId="9" fillId="0" borderId="0" xfId="0" applyNumberFormat="1" applyFont="1" applyBorder="1" applyAlignment="1">
      <alignment horizontal="right"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20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49" fontId="9" fillId="0" borderId="20" xfId="0" quotePrefix="1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 shrinkToFit="1"/>
    </xf>
    <xf numFmtId="0" fontId="9" fillId="0" borderId="22" xfId="0" applyFont="1" applyBorder="1" applyAlignment="1">
      <alignment horizontal="left" vertical="center" shrinkToFit="1"/>
    </xf>
    <xf numFmtId="0" fontId="9" fillId="0" borderId="20" xfId="0" applyFont="1" applyBorder="1" applyAlignment="1">
      <alignment horizontal="center" vertical="center" wrapText="1"/>
    </xf>
    <xf numFmtId="178" fontId="9" fillId="0" borderId="20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178" fontId="9" fillId="0" borderId="23" xfId="0" applyNumberFormat="1" applyFont="1" applyBorder="1" applyAlignment="1">
      <alignment horizontal="center" vertical="center"/>
    </xf>
    <xf numFmtId="179" fontId="9" fillId="0" borderId="20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3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57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209549</xdr:colOff>
      <xdr:row>4</xdr:row>
      <xdr:rowOff>142875</xdr:rowOff>
    </xdr:from>
    <xdr:to>
      <xdr:col>23</xdr:col>
      <xdr:colOff>101807</xdr:colOff>
      <xdr:row>14</xdr:row>
      <xdr:rowOff>76200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CBBDDDB7-082F-48D7-BB1A-6C3935C243ED}"/>
            </a:ext>
          </a:extLst>
        </xdr:cNvPr>
        <xdr:cNvGrpSpPr>
          <a:grpSpLocks noChangeAspect="1"/>
        </xdr:cNvGrpSpPr>
      </xdr:nvGrpSpPr>
      <xdr:grpSpPr>
        <a:xfrm>
          <a:off x="209549" y="714375"/>
          <a:ext cx="7178883" cy="3867150"/>
          <a:chOff x="8286750" y="4962524"/>
          <a:chExt cx="13171428" cy="7095239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891D02DC-22D7-4F25-8612-5AA6C383B4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4962525"/>
            <a:ext cx="13171428" cy="7095238"/>
          </a:xfrm>
          <a:prstGeom prst="rect">
            <a:avLst/>
          </a:prstGeom>
        </xdr:spPr>
      </xdr:pic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43E4F7A1-0144-4852-8F4B-D0BF14BFC4D8}"/>
              </a:ext>
            </a:extLst>
          </xdr:cNvPr>
          <xdr:cNvSpPr/>
        </xdr:nvSpPr>
        <xdr:spPr bwMode="auto">
          <a:xfrm>
            <a:off x="8296275" y="4962524"/>
            <a:ext cx="4476750" cy="9810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C49825C4-F04F-4F91-B2B4-741B719233A4}"/>
              </a:ext>
            </a:extLst>
          </xdr:cNvPr>
          <xdr:cNvSpPr/>
        </xdr:nvSpPr>
        <xdr:spPr bwMode="auto">
          <a:xfrm>
            <a:off x="16973550" y="10839450"/>
            <a:ext cx="4476750" cy="12096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3327618-C19C-450C-8EA2-7DF712AFFE90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96D8C34-5ABD-4FF9-952C-E119F94709A4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7F701768-C815-4F98-BD09-A2C917F87AC0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C99CCCF-C67C-479E-94D4-946449466349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5D4FB930-9801-4681-9E82-CFD6A6ED5C3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1CAFC941-E935-4694-8A36-4823A906048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1B39B1F4-44B3-4F65-9AB3-387E1BC9BDE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03A6736D-2FED-48CC-9245-6BCE2D44F404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6C0AA17-A59D-4A18-956C-5EF5C327FE9F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1A712933-8897-4EE2-A07F-6B286061DDD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3AF73589-5DD6-4C98-ABF8-5A9A0F7091B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2A376C56-D639-45FF-8F2D-9F957D498E61}"/>
            </a:ext>
          </a:extLst>
        </xdr:cNvPr>
        <xdr:cNvSpPr>
          <a:spLocks noChangeShapeType="1"/>
        </xdr:cNvSpPr>
      </xdr:nvSpPr>
      <xdr:spPr bwMode="auto">
        <a:xfrm>
          <a:off x="904875" y="7048500"/>
          <a:ext cx="9144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14</xdr:col>
      <xdr:colOff>0</xdr:colOff>
      <xdr:row>19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6A3372D-C327-4650-B508-47352411A469}"/>
            </a:ext>
          </a:extLst>
        </xdr:cNvPr>
        <xdr:cNvGrpSpPr>
          <a:grpSpLocks/>
        </xdr:cNvGrpSpPr>
      </xdr:nvGrpSpPr>
      <xdr:grpSpPr bwMode="auto">
        <a:xfrm>
          <a:off x="2571750" y="7105650"/>
          <a:ext cx="1885950" cy="47625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4D202875-665B-46B9-9427-FDDA6C2433E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81F62C1C-7B17-4FC0-91DC-09DF0AEBBA1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E333B4B2-CD9F-486A-BC5E-E8C4A4983541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266700</xdr:colOff>
      <xdr:row>20</xdr:row>
      <xdr:rowOff>200025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EA03E138-2D18-4482-9405-6A29062497C6}"/>
            </a:ext>
          </a:extLst>
        </xdr:cNvPr>
        <xdr:cNvGrpSpPr>
          <a:grpSpLocks/>
        </xdr:cNvGrpSpPr>
      </xdr:nvGrpSpPr>
      <xdr:grpSpPr bwMode="auto">
        <a:xfrm>
          <a:off x="3248025" y="7277100"/>
          <a:ext cx="219075" cy="152400"/>
          <a:chOff x="132" y="708"/>
          <a:chExt cx="20" cy="14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C9434E6B-0382-4B99-BCF1-9AA02F78086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FE9497FD-64C4-4A41-AC34-C8B1C234DF2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353001DC-0AA0-4928-87B7-EE6A89C0E08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744D6566-4232-4ED1-B7A8-5B8D135C87B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81DC3AF0-A610-4779-8CDA-7FEEF3E109BC}"/>
            </a:ext>
          </a:extLst>
        </xdr:cNvPr>
        <xdr:cNvGrpSpPr>
          <a:grpSpLocks/>
        </xdr:cNvGrpSpPr>
      </xdr:nvGrpSpPr>
      <xdr:grpSpPr bwMode="auto">
        <a:xfrm>
          <a:off x="3514725" y="7324725"/>
          <a:ext cx="942975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979BFF8B-A78D-4273-8503-5111E3C9C12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E3E1AFD9-F870-40F5-97F8-DF58E7852F6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4ADE46FF-E558-4D69-AF6D-D510F363844E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314325" cy="47625"/>
          <a:chOff x="158" y="715"/>
          <a:chExt cx="33" cy="5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F47E824E-386D-49BE-880E-F6C16EB4866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062ACD73-C0FC-4862-A158-CE646256C76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117D0FE2-B028-4400-AA25-B628588F118D}"/>
            </a:ext>
          </a:extLst>
        </xdr:cNvPr>
        <xdr:cNvGrpSpPr>
          <a:grpSpLocks/>
        </xdr:cNvGrpSpPr>
      </xdr:nvGrpSpPr>
      <xdr:grpSpPr bwMode="auto">
        <a:xfrm>
          <a:off x="1323975" y="7324725"/>
          <a:ext cx="1562100" cy="47625"/>
          <a:chOff x="158" y="715"/>
          <a:chExt cx="33" cy="5"/>
        </a:xfrm>
      </xdr:grpSpPr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048D7BF3-C8C3-4CFD-B1F4-E4A6D47BD91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5F6C743E-0F92-41E7-9091-28353BA46D2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D0CB0D55-F40F-4EA9-B090-B43C499CD0F3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0280A581-FF03-4207-B740-A2E8A5A506BF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C0C6500C-DBB2-4E14-B270-1F6F027290F4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1571625" cy="47625"/>
          <a:chOff x="158" y="715"/>
          <a:chExt cx="33" cy="5"/>
        </a:xfrm>
      </xdr:grpSpPr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C80DA206-B96F-4B35-AF86-751F7D50132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0A28392D-AE33-4896-BF05-746353C2BFC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161925</xdr:colOff>
      <xdr:row>17</xdr:row>
      <xdr:rowOff>495300</xdr:rowOff>
    </xdr:from>
    <xdr:to>
      <xdr:col>7</xdr:col>
      <xdr:colOff>219075</xdr:colOff>
      <xdr:row>17</xdr:row>
      <xdr:rowOff>800100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59BBA1D8-8A72-4FAE-BB4A-5874E005BF27}"/>
            </a:ext>
          </a:extLst>
        </xdr:cNvPr>
        <xdr:cNvGrpSpPr>
          <a:grpSpLocks/>
        </xdr:cNvGrpSpPr>
      </xdr:nvGrpSpPr>
      <xdr:grpSpPr bwMode="auto">
        <a:xfrm>
          <a:off x="1476375" y="5686425"/>
          <a:ext cx="1000125" cy="304800"/>
          <a:chOff x="110" y="567"/>
          <a:chExt cx="105" cy="32"/>
        </a:xfrm>
      </xdr:grpSpPr>
      <xdr:sp macro="" textlink="">
        <xdr:nvSpPr>
          <xdr:cNvPr id="38" name="Line 37">
            <a:extLst>
              <a:ext uri="{FF2B5EF4-FFF2-40B4-BE49-F238E27FC236}">
                <a16:creationId xmlns:a16="http://schemas.microsoft.com/office/drawing/2014/main" id="{9329F449-BD56-45AC-976A-A58587BD28DD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1C673489-B6E1-466D-99B9-5CCDDA7BBC8D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6637F71C-E5BE-444C-A346-1C9112425581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1" name="Line 40">
            <a:extLst>
              <a:ext uri="{FF2B5EF4-FFF2-40B4-BE49-F238E27FC236}">
                <a16:creationId xmlns:a16="http://schemas.microsoft.com/office/drawing/2014/main" id="{A886D3C3-6C64-4303-B3A9-B354278B6F7D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80647B49-49C6-4AC4-B7BE-0F958E6D5E4E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A3BCE338-7AFA-4FE5-8376-D2F97BDEB660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4" name="Line 43">
            <a:extLst>
              <a:ext uri="{FF2B5EF4-FFF2-40B4-BE49-F238E27FC236}">
                <a16:creationId xmlns:a16="http://schemas.microsoft.com/office/drawing/2014/main" id="{E759FBE1-E931-4CDE-933B-FB3DC4777386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834FEE20-6C01-42A8-96D3-CB9F7C1393E6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17</xdr:row>
      <xdr:rowOff>857250</xdr:rowOff>
    </xdr:from>
    <xdr:to>
      <xdr:col>7</xdr:col>
      <xdr:colOff>219075</xdr:colOff>
      <xdr:row>17</xdr:row>
      <xdr:rowOff>1162050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C3630C58-266F-4FEC-96B1-D112775AABA2}"/>
            </a:ext>
          </a:extLst>
        </xdr:cNvPr>
        <xdr:cNvGrpSpPr>
          <a:grpSpLocks/>
        </xdr:cNvGrpSpPr>
      </xdr:nvGrpSpPr>
      <xdr:grpSpPr bwMode="auto">
        <a:xfrm>
          <a:off x="1466850" y="6048375"/>
          <a:ext cx="1009650" cy="304800"/>
          <a:chOff x="105" y="627"/>
          <a:chExt cx="106" cy="32"/>
        </a:xfrm>
      </xdr:grpSpPr>
      <xdr:sp macro="" textlink="">
        <xdr:nvSpPr>
          <xdr:cNvPr id="47" name="Line 46">
            <a:extLst>
              <a:ext uri="{FF2B5EF4-FFF2-40B4-BE49-F238E27FC236}">
                <a16:creationId xmlns:a16="http://schemas.microsoft.com/office/drawing/2014/main" id="{F07A1C5E-B194-4D02-9A00-1326EBA91E8D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ABFB746E-EDAE-4A08-9EB5-DC66C16E9AE7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8B9E76C1-2F3B-43B5-A0D5-1EB1F1447E5A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Line 49">
            <a:extLst>
              <a:ext uri="{FF2B5EF4-FFF2-40B4-BE49-F238E27FC236}">
                <a16:creationId xmlns:a16="http://schemas.microsoft.com/office/drawing/2014/main" id="{1D062A34-FD7C-446B-873C-51BFF72C3402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8F130435-E41C-4FB9-89B0-C81CCA14A0BA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1E73ACDD-C865-405D-B3F1-2E4AA046841A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Line 52">
            <a:extLst>
              <a:ext uri="{FF2B5EF4-FFF2-40B4-BE49-F238E27FC236}">
                <a16:creationId xmlns:a16="http://schemas.microsoft.com/office/drawing/2014/main" id="{CDE3AE4A-7A2D-42CE-8680-520E620DCBC5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0CBE1565-AC03-48E9-806C-87ABB2E9A84D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390525</xdr:rowOff>
    </xdr:from>
    <xdr:to>
      <xdr:col>13</xdr:col>
      <xdr:colOff>38100</xdr:colOff>
      <xdr:row>17</xdr:row>
      <xdr:rowOff>1123950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79A118F0-96E6-46E6-A0B8-1BB67FFB8C4F}"/>
            </a:ext>
          </a:extLst>
        </xdr:cNvPr>
        <xdr:cNvGrpSpPr>
          <a:grpSpLocks/>
        </xdr:cNvGrpSpPr>
      </xdr:nvGrpSpPr>
      <xdr:grpSpPr bwMode="auto">
        <a:xfrm rot="5400000">
          <a:off x="3786187" y="5919788"/>
          <a:ext cx="733425" cy="57150"/>
          <a:chOff x="123" y="549"/>
          <a:chExt cx="77" cy="6"/>
        </a:xfrm>
      </xdr:grpSpPr>
      <xdr:sp macro="" textlink="">
        <xdr:nvSpPr>
          <xdr:cNvPr id="56" name="Line 55">
            <a:extLst>
              <a:ext uri="{FF2B5EF4-FFF2-40B4-BE49-F238E27FC236}">
                <a16:creationId xmlns:a16="http://schemas.microsoft.com/office/drawing/2014/main" id="{1AF22AEF-F29F-4C86-8F91-48AE628A3A2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Freeform 56">
            <a:extLst>
              <a:ext uri="{FF2B5EF4-FFF2-40B4-BE49-F238E27FC236}">
                <a16:creationId xmlns:a16="http://schemas.microsoft.com/office/drawing/2014/main" id="{62DEBFF0-3FB6-4734-923D-D9D95AC0A14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A9700C34-C1C0-4844-94B4-E660C47CE04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390525</xdr:rowOff>
    </xdr:from>
    <xdr:to>
      <xdr:col>10</xdr:col>
      <xdr:colOff>38100</xdr:colOff>
      <xdr:row>17</xdr:row>
      <xdr:rowOff>1123950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8C1520B-AD6B-4FEB-86CB-90EECE9150AF}"/>
            </a:ext>
          </a:extLst>
        </xdr:cNvPr>
        <xdr:cNvGrpSpPr>
          <a:grpSpLocks/>
        </xdr:cNvGrpSpPr>
      </xdr:nvGrpSpPr>
      <xdr:grpSpPr bwMode="auto">
        <a:xfrm rot="5400000">
          <a:off x="2843212" y="5919788"/>
          <a:ext cx="733425" cy="57150"/>
          <a:chOff x="123" y="549"/>
          <a:chExt cx="77" cy="6"/>
        </a:xfrm>
      </xdr:grpSpPr>
      <xdr:sp macro="" textlink="">
        <xdr:nvSpPr>
          <xdr:cNvPr id="60" name="Line 59">
            <a:extLst>
              <a:ext uri="{FF2B5EF4-FFF2-40B4-BE49-F238E27FC236}">
                <a16:creationId xmlns:a16="http://schemas.microsoft.com/office/drawing/2014/main" id="{A1E4AB6C-BC30-4E83-92CB-E6753AC6BDB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B5A9856D-6AE3-4EDB-BCEB-9BDEC818F05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A7E8BE51-0008-4699-B079-52A186F4381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180975</xdr:colOff>
      <xdr:row>17</xdr:row>
      <xdr:rowOff>323850</xdr:rowOff>
    </xdr:from>
    <xdr:to>
      <xdr:col>12</xdr:col>
      <xdr:colOff>171450</xdr:colOff>
      <xdr:row>17</xdr:row>
      <xdr:rowOff>1200150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DE9F7922-4139-48FF-9D44-15B11BF0AB9F}"/>
            </a:ext>
          </a:extLst>
        </xdr:cNvPr>
        <xdr:cNvGrpSpPr/>
      </xdr:nvGrpSpPr>
      <xdr:grpSpPr>
        <a:xfrm rot="10800000">
          <a:off x="3381375" y="5514975"/>
          <a:ext cx="619125" cy="876300"/>
          <a:chOff x="3381375" y="5514975"/>
          <a:chExt cx="619125" cy="876300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A587C6D6-2BC1-44EA-BA24-CE32A8EB95C1}"/>
              </a:ext>
            </a:extLst>
          </xdr:cNvPr>
          <xdr:cNvGrpSpPr>
            <a:grpSpLocks/>
          </xdr:cNvGrpSpPr>
        </xdr:nvGrpSpPr>
        <xdr:grpSpPr bwMode="auto">
          <a:xfrm>
            <a:off x="3381375" y="5686425"/>
            <a:ext cx="333375" cy="704850"/>
            <a:chOff x="340" y="578"/>
            <a:chExt cx="35" cy="74"/>
          </a:xfrm>
        </xdr:grpSpPr>
        <xdr:grpSp>
          <xdr:nvGrpSpPr>
            <xdr:cNvPr id="66" name="Group 65">
              <a:extLst>
                <a:ext uri="{FF2B5EF4-FFF2-40B4-BE49-F238E27FC236}">
                  <a16:creationId xmlns:a16="http://schemas.microsoft.com/office/drawing/2014/main" id="{4E70239D-B6C4-4AB1-93D3-EA7FAB16FE3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41" y="618"/>
              <a:ext cx="16" cy="11"/>
              <a:chOff x="637" y="653"/>
              <a:chExt cx="16" cy="11"/>
            </a:xfrm>
          </xdr:grpSpPr>
          <xdr:sp macro="" textlink="">
            <xdr:nvSpPr>
              <xdr:cNvPr id="73" name="Freeform 66">
                <a:extLst>
                  <a:ext uri="{FF2B5EF4-FFF2-40B4-BE49-F238E27FC236}">
                    <a16:creationId xmlns:a16="http://schemas.microsoft.com/office/drawing/2014/main" id="{07916DDE-C5F0-4B37-82B2-48B4220124F1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45" y="657"/>
                <a:ext cx="7" cy="8"/>
              </a:xfrm>
              <a:custGeom>
                <a:avLst/>
                <a:gdLst>
                  <a:gd name="T0" fmla="*/ 203 w 203"/>
                  <a:gd name="T1" fmla="*/ 2 h 199"/>
                  <a:gd name="T2" fmla="*/ 203 w 203"/>
                  <a:gd name="T3" fmla="*/ 7 h 199"/>
                  <a:gd name="T4" fmla="*/ 202 w 203"/>
                  <a:gd name="T5" fmla="*/ 12 h 199"/>
                  <a:gd name="T6" fmla="*/ 202 w 203"/>
                  <a:gd name="T7" fmla="*/ 17 h 199"/>
                  <a:gd name="T8" fmla="*/ 200 w 203"/>
                  <a:gd name="T9" fmla="*/ 22 h 199"/>
                  <a:gd name="T10" fmla="*/ 199 w 203"/>
                  <a:gd name="T11" fmla="*/ 27 h 199"/>
                  <a:gd name="T12" fmla="*/ 199 w 203"/>
                  <a:gd name="T13" fmla="*/ 33 h 199"/>
                  <a:gd name="T14" fmla="*/ 198 w 203"/>
                  <a:gd name="T15" fmla="*/ 38 h 199"/>
                  <a:gd name="T16" fmla="*/ 197 w 203"/>
                  <a:gd name="T17" fmla="*/ 42 h 199"/>
                  <a:gd name="T18" fmla="*/ 195 w 203"/>
                  <a:gd name="T19" fmla="*/ 47 h 199"/>
                  <a:gd name="T20" fmla="*/ 194 w 203"/>
                  <a:gd name="T21" fmla="*/ 52 h 199"/>
                  <a:gd name="T22" fmla="*/ 193 w 203"/>
                  <a:gd name="T23" fmla="*/ 57 h 199"/>
                  <a:gd name="T24" fmla="*/ 191 w 203"/>
                  <a:gd name="T25" fmla="*/ 61 h 199"/>
                  <a:gd name="T26" fmla="*/ 189 w 203"/>
                  <a:gd name="T27" fmla="*/ 66 h 199"/>
                  <a:gd name="T28" fmla="*/ 188 w 203"/>
                  <a:gd name="T29" fmla="*/ 70 h 199"/>
                  <a:gd name="T30" fmla="*/ 186 w 203"/>
                  <a:gd name="T31" fmla="*/ 75 h 199"/>
                  <a:gd name="T32" fmla="*/ 184 w 203"/>
                  <a:gd name="T33" fmla="*/ 79 h 199"/>
                  <a:gd name="T34" fmla="*/ 182 w 203"/>
                  <a:gd name="T35" fmla="*/ 85 h 199"/>
                  <a:gd name="T36" fmla="*/ 179 w 203"/>
                  <a:gd name="T37" fmla="*/ 89 h 199"/>
                  <a:gd name="T38" fmla="*/ 177 w 203"/>
                  <a:gd name="T39" fmla="*/ 94 h 199"/>
                  <a:gd name="T40" fmla="*/ 175 w 203"/>
                  <a:gd name="T41" fmla="*/ 98 h 199"/>
                  <a:gd name="T42" fmla="*/ 171 w 203"/>
                  <a:gd name="T43" fmla="*/ 102 h 199"/>
                  <a:gd name="T44" fmla="*/ 169 w 203"/>
                  <a:gd name="T45" fmla="*/ 106 h 199"/>
                  <a:gd name="T46" fmla="*/ 166 w 203"/>
                  <a:gd name="T47" fmla="*/ 110 h 199"/>
                  <a:gd name="T48" fmla="*/ 163 w 203"/>
                  <a:gd name="T49" fmla="*/ 114 h 199"/>
                  <a:gd name="T50" fmla="*/ 160 w 203"/>
                  <a:gd name="T51" fmla="*/ 118 h 199"/>
                  <a:gd name="T52" fmla="*/ 157 w 203"/>
                  <a:gd name="T53" fmla="*/ 122 h 199"/>
                  <a:gd name="T54" fmla="*/ 154 w 203"/>
                  <a:gd name="T55" fmla="*/ 126 h 199"/>
                  <a:gd name="T56" fmla="*/ 151 w 203"/>
                  <a:gd name="T57" fmla="*/ 131 h 199"/>
                  <a:gd name="T58" fmla="*/ 147 w 203"/>
                  <a:gd name="T59" fmla="*/ 134 h 199"/>
                  <a:gd name="T60" fmla="*/ 143 w 203"/>
                  <a:gd name="T61" fmla="*/ 138 h 199"/>
                  <a:gd name="T62" fmla="*/ 140 w 203"/>
                  <a:gd name="T63" fmla="*/ 141 h 199"/>
                  <a:gd name="T64" fmla="*/ 136 w 203"/>
                  <a:gd name="T65" fmla="*/ 145 h 199"/>
                  <a:gd name="T66" fmla="*/ 132 w 203"/>
                  <a:gd name="T67" fmla="*/ 148 h 199"/>
                  <a:gd name="T68" fmla="*/ 129 w 203"/>
                  <a:gd name="T69" fmla="*/ 151 h 199"/>
                  <a:gd name="T70" fmla="*/ 125 w 203"/>
                  <a:gd name="T71" fmla="*/ 154 h 199"/>
                  <a:gd name="T72" fmla="*/ 121 w 203"/>
                  <a:gd name="T73" fmla="*/ 157 h 199"/>
                  <a:gd name="T74" fmla="*/ 116 w 203"/>
                  <a:gd name="T75" fmla="*/ 160 h 199"/>
                  <a:gd name="T76" fmla="*/ 112 w 203"/>
                  <a:gd name="T77" fmla="*/ 163 h 199"/>
                  <a:gd name="T78" fmla="*/ 108 w 203"/>
                  <a:gd name="T79" fmla="*/ 166 h 199"/>
                  <a:gd name="T80" fmla="*/ 104 w 203"/>
                  <a:gd name="T81" fmla="*/ 168 h 199"/>
                  <a:gd name="T82" fmla="*/ 100 w 203"/>
                  <a:gd name="T83" fmla="*/ 171 h 199"/>
                  <a:gd name="T84" fmla="*/ 95 w 203"/>
                  <a:gd name="T85" fmla="*/ 173 h 199"/>
                  <a:gd name="T86" fmla="*/ 90 w 203"/>
                  <a:gd name="T87" fmla="*/ 177 h 199"/>
                  <a:gd name="T88" fmla="*/ 86 w 203"/>
                  <a:gd name="T89" fmla="*/ 179 h 199"/>
                  <a:gd name="T90" fmla="*/ 81 w 203"/>
                  <a:gd name="T91" fmla="*/ 181 h 199"/>
                  <a:gd name="T92" fmla="*/ 77 w 203"/>
                  <a:gd name="T93" fmla="*/ 183 h 199"/>
                  <a:gd name="T94" fmla="*/ 72 w 203"/>
                  <a:gd name="T95" fmla="*/ 185 h 199"/>
                  <a:gd name="T96" fmla="*/ 68 w 203"/>
                  <a:gd name="T97" fmla="*/ 187 h 199"/>
                  <a:gd name="T98" fmla="*/ 62 w 203"/>
                  <a:gd name="T99" fmla="*/ 188 h 199"/>
                  <a:gd name="T100" fmla="*/ 57 w 203"/>
                  <a:gd name="T101" fmla="*/ 190 h 199"/>
                  <a:gd name="T102" fmla="*/ 53 w 203"/>
                  <a:gd name="T103" fmla="*/ 191 h 199"/>
                  <a:gd name="T104" fmla="*/ 48 w 203"/>
                  <a:gd name="T105" fmla="*/ 192 h 199"/>
                  <a:gd name="T106" fmla="*/ 43 w 203"/>
                  <a:gd name="T107" fmla="*/ 194 h 199"/>
                  <a:gd name="T108" fmla="*/ 38 w 203"/>
                  <a:gd name="T109" fmla="*/ 195 h 199"/>
                  <a:gd name="T110" fmla="*/ 33 w 203"/>
                  <a:gd name="T111" fmla="*/ 196 h 199"/>
                  <a:gd name="T112" fmla="*/ 28 w 203"/>
                  <a:gd name="T113" fmla="*/ 196 h 199"/>
                  <a:gd name="T114" fmla="*/ 23 w 203"/>
                  <a:gd name="T115" fmla="*/ 197 h 199"/>
                  <a:gd name="T116" fmla="*/ 18 w 203"/>
                  <a:gd name="T117" fmla="*/ 198 h 199"/>
                  <a:gd name="T118" fmla="*/ 13 w 203"/>
                  <a:gd name="T119" fmla="*/ 198 h 199"/>
                  <a:gd name="T120" fmla="*/ 7 w 203"/>
                  <a:gd name="T121" fmla="*/ 199 h 199"/>
                  <a:gd name="T122" fmla="*/ 2 w 203"/>
                  <a:gd name="T123" fmla="*/ 199 h 19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203" h="199">
                    <a:moveTo>
                      <a:pt x="203" y="0"/>
                    </a:moveTo>
                    <a:lnTo>
                      <a:pt x="203" y="2"/>
                    </a:lnTo>
                    <a:lnTo>
                      <a:pt x="203" y="5"/>
                    </a:lnTo>
                    <a:lnTo>
                      <a:pt x="203" y="7"/>
                    </a:lnTo>
                    <a:lnTo>
                      <a:pt x="202" y="10"/>
                    </a:lnTo>
                    <a:lnTo>
                      <a:pt x="202" y="12"/>
                    </a:lnTo>
                    <a:lnTo>
                      <a:pt x="202" y="15"/>
                    </a:lnTo>
                    <a:lnTo>
                      <a:pt x="202" y="17"/>
                    </a:lnTo>
                    <a:lnTo>
                      <a:pt x="200" y="20"/>
                    </a:lnTo>
                    <a:lnTo>
                      <a:pt x="200" y="22"/>
                    </a:lnTo>
                    <a:lnTo>
                      <a:pt x="200" y="24"/>
                    </a:lnTo>
                    <a:lnTo>
                      <a:pt x="199" y="27"/>
                    </a:lnTo>
                    <a:lnTo>
                      <a:pt x="199" y="29"/>
                    </a:lnTo>
                    <a:lnTo>
                      <a:pt x="199" y="33"/>
                    </a:lnTo>
                    <a:lnTo>
                      <a:pt x="198" y="35"/>
                    </a:lnTo>
                    <a:lnTo>
                      <a:pt x="198" y="38"/>
                    </a:lnTo>
                    <a:lnTo>
                      <a:pt x="197" y="40"/>
                    </a:lnTo>
                    <a:lnTo>
                      <a:pt x="197" y="42"/>
                    </a:lnTo>
                    <a:lnTo>
                      <a:pt x="196" y="45"/>
                    </a:lnTo>
                    <a:lnTo>
                      <a:pt x="195" y="47"/>
                    </a:lnTo>
                    <a:lnTo>
                      <a:pt x="195" y="49"/>
                    </a:lnTo>
                    <a:lnTo>
                      <a:pt x="194" y="52"/>
                    </a:lnTo>
                    <a:lnTo>
                      <a:pt x="193" y="54"/>
                    </a:lnTo>
                    <a:lnTo>
                      <a:pt x="193" y="57"/>
                    </a:lnTo>
                    <a:lnTo>
                      <a:pt x="192" y="59"/>
                    </a:lnTo>
                    <a:lnTo>
                      <a:pt x="191" y="61"/>
                    </a:lnTo>
                    <a:lnTo>
                      <a:pt x="190" y="63"/>
                    </a:lnTo>
                    <a:lnTo>
                      <a:pt x="189" y="66"/>
                    </a:lnTo>
                    <a:lnTo>
                      <a:pt x="189" y="68"/>
                    </a:lnTo>
                    <a:lnTo>
                      <a:pt x="188" y="70"/>
                    </a:lnTo>
                    <a:lnTo>
                      <a:pt x="187" y="73"/>
                    </a:lnTo>
                    <a:lnTo>
                      <a:pt x="186" y="75"/>
                    </a:lnTo>
                    <a:lnTo>
                      <a:pt x="185" y="77"/>
                    </a:lnTo>
                    <a:lnTo>
                      <a:pt x="184" y="79"/>
                    </a:lnTo>
                    <a:lnTo>
                      <a:pt x="183" y="83"/>
                    </a:lnTo>
                    <a:lnTo>
                      <a:pt x="182" y="85"/>
                    </a:lnTo>
                    <a:lnTo>
                      <a:pt x="181" y="87"/>
                    </a:lnTo>
                    <a:lnTo>
                      <a:pt x="179" y="89"/>
                    </a:lnTo>
                    <a:lnTo>
                      <a:pt x="178" y="91"/>
                    </a:lnTo>
                    <a:lnTo>
                      <a:pt x="177" y="94"/>
                    </a:lnTo>
                    <a:lnTo>
                      <a:pt x="176" y="96"/>
                    </a:lnTo>
                    <a:lnTo>
                      <a:pt x="175" y="98"/>
                    </a:lnTo>
                    <a:lnTo>
                      <a:pt x="172" y="100"/>
                    </a:lnTo>
                    <a:lnTo>
                      <a:pt x="171" y="102"/>
                    </a:lnTo>
                    <a:lnTo>
                      <a:pt x="170" y="104"/>
                    </a:lnTo>
                    <a:lnTo>
                      <a:pt x="169" y="106"/>
                    </a:lnTo>
                    <a:lnTo>
                      <a:pt x="167" y="108"/>
                    </a:lnTo>
                    <a:lnTo>
                      <a:pt x="166" y="110"/>
                    </a:lnTo>
                    <a:lnTo>
                      <a:pt x="164" y="112"/>
                    </a:lnTo>
                    <a:lnTo>
                      <a:pt x="163" y="114"/>
                    </a:lnTo>
                    <a:lnTo>
                      <a:pt x="162" y="116"/>
                    </a:lnTo>
                    <a:lnTo>
                      <a:pt x="160" y="118"/>
                    </a:lnTo>
                    <a:lnTo>
                      <a:pt x="159" y="120"/>
                    </a:lnTo>
                    <a:lnTo>
                      <a:pt x="157" y="122"/>
                    </a:lnTo>
                    <a:lnTo>
                      <a:pt x="156" y="124"/>
                    </a:lnTo>
                    <a:lnTo>
                      <a:pt x="154" y="126"/>
                    </a:lnTo>
                    <a:lnTo>
                      <a:pt x="152" y="129"/>
                    </a:lnTo>
                    <a:lnTo>
                      <a:pt x="151" y="131"/>
                    </a:lnTo>
                    <a:lnTo>
                      <a:pt x="149" y="132"/>
                    </a:lnTo>
                    <a:lnTo>
                      <a:pt x="147" y="134"/>
                    </a:lnTo>
                    <a:lnTo>
                      <a:pt x="145" y="136"/>
                    </a:lnTo>
                    <a:lnTo>
                      <a:pt x="143" y="138"/>
                    </a:lnTo>
                    <a:lnTo>
                      <a:pt x="141" y="139"/>
                    </a:lnTo>
                    <a:lnTo>
                      <a:pt x="140" y="141"/>
                    </a:lnTo>
                    <a:lnTo>
                      <a:pt x="138" y="143"/>
                    </a:lnTo>
                    <a:lnTo>
                      <a:pt x="136" y="145"/>
                    </a:lnTo>
                    <a:lnTo>
                      <a:pt x="134" y="146"/>
                    </a:lnTo>
                    <a:lnTo>
                      <a:pt x="132" y="148"/>
                    </a:lnTo>
                    <a:lnTo>
                      <a:pt x="131" y="150"/>
                    </a:lnTo>
                    <a:lnTo>
                      <a:pt x="129" y="151"/>
                    </a:lnTo>
                    <a:lnTo>
                      <a:pt x="127" y="153"/>
                    </a:lnTo>
                    <a:lnTo>
                      <a:pt x="125" y="154"/>
                    </a:lnTo>
                    <a:lnTo>
                      <a:pt x="123" y="156"/>
                    </a:lnTo>
                    <a:lnTo>
                      <a:pt x="121" y="157"/>
                    </a:lnTo>
                    <a:lnTo>
                      <a:pt x="118" y="159"/>
                    </a:lnTo>
                    <a:lnTo>
                      <a:pt x="116" y="160"/>
                    </a:lnTo>
                    <a:lnTo>
                      <a:pt x="114" y="162"/>
                    </a:lnTo>
                    <a:lnTo>
                      <a:pt x="112" y="163"/>
                    </a:lnTo>
                    <a:lnTo>
                      <a:pt x="110" y="164"/>
                    </a:lnTo>
                    <a:lnTo>
                      <a:pt x="108" y="166"/>
                    </a:lnTo>
                    <a:lnTo>
                      <a:pt x="106" y="167"/>
                    </a:lnTo>
                    <a:lnTo>
                      <a:pt x="104" y="168"/>
                    </a:lnTo>
                    <a:lnTo>
                      <a:pt x="102" y="170"/>
                    </a:lnTo>
                    <a:lnTo>
                      <a:pt x="100" y="171"/>
                    </a:lnTo>
                    <a:lnTo>
                      <a:pt x="97" y="172"/>
                    </a:lnTo>
                    <a:lnTo>
                      <a:pt x="95" y="173"/>
                    </a:lnTo>
                    <a:lnTo>
                      <a:pt x="93" y="174"/>
                    </a:lnTo>
                    <a:lnTo>
                      <a:pt x="90" y="177"/>
                    </a:lnTo>
                    <a:lnTo>
                      <a:pt x="88" y="178"/>
                    </a:lnTo>
                    <a:lnTo>
                      <a:pt x="86" y="179"/>
                    </a:lnTo>
                    <a:lnTo>
                      <a:pt x="83" y="180"/>
                    </a:lnTo>
                    <a:lnTo>
                      <a:pt x="81" y="181"/>
                    </a:lnTo>
                    <a:lnTo>
                      <a:pt x="79" y="182"/>
                    </a:lnTo>
                    <a:lnTo>
                      <a:pt x="77" y="183"/>
                    </a:lnTo>
                    <a:lnTo>
                      <a:pt x="74" y="184"/>
                    </a:lnTo>
                    <a:lnTo>
                      <a:pt x="72" y="185"/>
                    </a:lnTo>
                    <a:lnTo>
                      <a:pt x="70" y="186"/>
                    </a:lnTo>
                    <a:lnTo>
                      <a:pt x="68" y="187"/>
                    </a:lnTo>
                    <a:lnTo>
                      <a:pt x="65" y="187"/>
                    </a:lnTo>
                    <a:lnTo>
                      <a:pt x="62" y="188"/>
                    </a:lnTo>
                    <a:lnTo>
                      <a:pt x="60" y="189"/>
                    </a:lnTo>
                    <a:lnTo>
                      <a:pt x="57" y="190"/>
                    </a:lnTo>
                    <a:lnTo>
                      <a:pt x="55" y="190"/>
                    </a:lnTo>
                    <a:lnTo>
                      <a:pt x="53" y="191"/>
                    </a:lnTo>
                    <a:lnTo>
                      <a:pt x="50" y="192"/>
                    </a:lnTo>
                    <a:lnTo>
                      <a:pt x="48" y="192"/>
                    </a:lnTo>
                    <a:lnTo>
                      <a:pt x="45" y="193"/>
                    </a:lnTo>
                    <a:lnTo>
                      <a:pt x="43" y="194"/>
                    </a:lnTo>
                    <a:lnTo>
                      <a:pt x="41" y="194"/>
                    </a:lnTo>
                    <a:lnTo>
                      <a:pt x="38" y="195"/>
                    </a:lnTo>
                    <a:lnTo>
                      <a:pt x="35" y="195"/>
                    </a:lnTo>
                    <a:lnTo>
                      <a:pt x="33" y="196"/>
                    </a:lnTo>
                    <a:lnTo>
                      <a:pt x="30" y="196"/>
                    </a:lnTo>
                    <a:lnTo>
                      <a:pt x="28" y="196"/>
                    </a:lnTo>
                    <a:lnTo>
                      <a:pt x="25" y="197"/>
                    </a:lnTo>
                    <a:lnTo>
                      <a:pt x="23" y="197"/>
                    </a:lnTo>
                    <a:lnTo>
                      <a:pt x="20" y="198"/>
                    </a:lnTo>
                    <a:lnTo>
                      <a:pt x="18" y="198"/>
                    </a:lnTo>
                    <a:lnTo>
                      <a:pt x="15" y="198"/>
                    </a:lnTo>
                    <a:lnTo>
                      <a:pt x="13" y="198"/>
                    </a:lnTo>
                    <a:lnTo>
                      <a:pt x="11" y="198"/>
                    </a:lnTo>
                    <a:lnTo>
                      <a:pt x="7" y="199"/>
                    </a:lnTo>
                    <a:lnTo>
                      <a:pt x="5" y="199"/>
                    </a:lnTo>
                    <a:lnTo>
                      <a:pt x="2" y="199"/>
                    </a:lnTo>
                    <a:lnTo>
                      <a:pt x="0" y="199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74" name="Line 67">
                <a:extLst>
                  <a:ext uri="{FF2B5EF4-FFF2-40B4-BE49-F238E27FC236}">
                    <a16:creationId xmlns:a16="http://schemas.microsoft.com/office/drawing/2014/main" id="{29B67634-5665-4089-9F9B-44458FAB8A7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 flipV="1">
                <a:off x="641" y="653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75" name="Freeform 68">
                <a:extLst>
                  <a:ext uri="{FF2B5EF4-FFF2-40B4-BE49-F238E27FC236}">
                    <a16:creationId xmlns:a16="http://schemas.microsoft.com/office/drawing/2014/main" id="{F6EDA962-567F-4924-8E14-E6098F0626A6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37" y="653"/>
                <a:ext cx="8" cy="7"/>
              </a:xfrm>
              <a:custGeom>
                <a:avLst/>
                <a:gdLst>
                  <a:gd name="T0" fmla="*/ 207 w 207"/>
                  <a:gd name="T1" fmla="*/ 176 h 176"/>
                  <a:gd name="T2" fmla="*/ 104 w 207"/>
                  <a:gd name="T3" fmla="*/ 0 h 176"/>
                  <a:gd name="T4" fmla="*/ 0 w 207"/>
                  <a:gd name="T5" fmla="*/ 176 h 1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7" h="176">
                    <a:moveTo>
                      <a:pt x="207" y="176"/>
                    </a:moveTo>
                    <a:lnTo>
                      <a:pt x="104" y="0"/>
                    </a:lnTo>
                    <a:lnTo>
                      <a:pt x="0" y="176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67" name="Group 69">
              <a:extLst>
                <a:ext uri="{FF2B5EF4-FFF2-40B4-BE49-F238E27FC236}">
                  <a16:creationId xmlns:a16="http://schemas.microsoft.com/office/drawing/2014/main" id="{74C972EF-5B43-4219-8D8D-3B2AEE266C2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59" y="607"/>
              <a:ext cx="16" cy="12"/>
              <a:chOff x="653" y="642"/>
              <a:chExt cx="16" cy="12"/>
            </a:xfrm>
          </xdr:grpSpPr>
          <xdr:sp macro="" textlink="">
            <xdr:nvSpPr>
              <xdr:cNvPr id="70" name="Freeform 70">
                <a:extLst>
                  <a:ext uri="{FF2B5EF4-FFF2-40B4-BE49-F238E27FC236}">
                    <a16:creationId xmlns:a16="http://schemas.microsoft.com/office/drawing/2014/main" id="{CAF6E7C4-3DC7-45AF-812A-A581E114D61D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53" y="646"/>
                <a:ext cx="8" cy="7"/>
              </a:xfrm>
              <a:custGeom>
                <a:avLst/>
                <a:gdLst>
                  <a:gd name="T0" fmla="*/ 3 w 201"/>
                  <a:gd name="T1" fmla="*/ 0 h 202"/>
                  <a:gd name="T2" fmla="*/ 8 w 201"/>
                  <a:gd name="T3" fmla="*/ 1 h 202"/>
                  <a:gd name="T4" fmla="*/ 13 w 201"/>
                  <a:gd name="T5" fmla="*/ 1 h 202"/>
                  <a:gd name="T6" fmla="*/ 18 w 201"/>
                  <a:gd name="T7" fmla="*/ 1 h 202"/>
                  <a:gd name="T8" fmla="*/ 23 w 201"/>
                  <a:gd name="T9" fmla="*/ 2 h 202"/>
                  <a:gd name="T10" fmla="*/ 29 w 201"/>
                  <a:gd name="T11" fmla="*/ 3 h 202"/>
                  <a:gd name="T12" fmla="*/ 34 w 201"/>
                  <a:gd name="T13" fmla="*/ 4 h 202"/>
                  <a:gd name="T14" fmla="*/ 38 w 201"/>
                  <a:gd name="T15" fmla="*/ 5 h 202"/>
                  <a:gd name="T16" fmla="*/ 43 w 201"/>
                  <a:gd name="T17" fmla="*/ 6 h 202"/>
                  <a:gd name="T18" fmla="*/ 48 w 201"/>
                  <a:gd name="T19" fmla="*/ 7 h 202"/>
                  <a:gd name="T20" fmla="*/ 53 w 201"/>
                  <a:gd name="T21" fmla="*/ 9 h 202"/>
                  <a:gd name="T22" fmla="*/ 58 w 201"/>
                  <a:gd name="T23" fmla="*/ 10 h 202"/>
                  <a:gd name="T24" fmla="*/ 63 w 201"/>
                  <a:gd name="T25" fmla="*/ 12 h 202"/>
                  <a:gd name="T26" fmla="*/ 68 w 201"/>
                  <a:gd name="T27" fmla="*/ 13 h 202"/>
                  <a:gd name="T28" fmla="*/ 72 w 201"/>
                  <a:gd name="T29" fmla="*/ 15 h 202"/>
                  <a:gd name="T30" fmla="*/ 77 w 201"/>
                  <a:gd name="T31" fmla="*/ 17 h 202"/>
                  <a:gd name="T32" fmla="*/ 81 w 201"/>
                  <a:gd name="T33" fmla="*/ 19 h 202"/>
                  <a:gd name="T34" fmla="*/ 87 w 201"/>
                  <a:gd name="T35" fmla="*/ 21 h 202"/>
                  <a:gd name="T36" fmla="*/ 91 w 201"/>
                  <a:gd name="T37" fmla="*/ 24 h 202"/>
                  <a:gd name="T38" fmla="*/ 95 w 201"/>
                  <a:gd name="T39" fmla="*/ 27 h 202"/>
                  <a:gd name="T40" fmla="*/ 99 w 201"/>
                  <a:gd name="T41" fmla="*/ 29 h 202"/>
                  <a:gd name="T42" fmla="*/ 104 w 201"/>
                  <a:gd name="T43" fmla="*/ 32 h 202"/>
                  <a:gd name="T44" fmla="*/ 108 w 201"/>
                  <a:gd name="T45" fmla="*/ 34 h 202"/>
                  <a:gd name="T46" fmla="*/ 113 w 201"/>
                  <a:gd name="T47" fmla="*/ 37 h 202"/>
                  <a:gd name="T48" fmla="*/ 117 w 201"/>
                  <a:gd name="T49" fmla="*/ 40 h 202"/>
                  <a:gd name="T50" fmla="*/ 121 w 201"/>
                  <a:gd name="T51" fmla="*/ 43 h 202"/>
                  <a:gd name="T52" fmla="*/ 125 w 201"/>
                  <a:gd name="T53" fmla="*/ 46 h 202"/>
                  <a:gd name="T54" fmla="*/ 128 w 201"/>
                  <a:gd name="T55" fmla="*/ 49 h 202"/>
                  <a:gd name="T56" fmla="*/ 132 w 201"/>
                  <a:gd name="T57" fmla="*/ 53 h 202"/>
                  <a:gd name="T58" fmla="*/ 136 w 201"/>
                  <a:gd name="T59" fmla="*/ 56 h 202"/>
                  <a:gd name="T60" fmla="*/ 140 w 201"/>
                  <a:gd name="T61" fmla="*/ 59 h 202"/>
                  <a:gd name="T62" fmla="*/ 144 w 201"/>
                  <a:gd name="T63" fmla="*/ 63 h 202"/>
                  <a:gd name="T64" fmla="*/ 147 w 201"/>
                  <a:gd name="T65" fmla="*/ 66 h 202"/>
                  <a:gd name="T66" fmla="*/ 150 w 201"/>
                  <a:gd name="T67" fmla="*/ 71 h 202"/>
                  <a:gd name="T68" fmla="*/ 153 w 201"/>
                  <a:gd name="T69" fmla="*/ 75 h 202"/>
                  <a:gd name="T70" fmla="*/ 156 w 201"/>
                  <a:gd name="T71" fmla="*/ 79 h 202"/>
                  <a:gd name="T72" fmla="*/ 159 w 201"/>
                  <a:gd name="T73" fmla="*/ 83 h 202"/>
                  <a:gd name="T74" fmla="*/ 162 w 201"/>
                  <a:gd name="T75" fmla="*/ 87 h 202"/>
                  <a:gd name="T76" fmla="*/ 165 w 201"/>
                  <a:gd name="T77" fmla="*/ 91 h 202"/>
                  <a:gd name="T78" fmla="*/ 169 w 201"/>
                  <a:gd name="T79" fmla="*/ 95 h 202"/>
                  <a:gd name="T80" fmla="*/ 171 w 201"/>
                  <a:gd name="T81" fmla="*/ 99 h 202"/>
                  <a:gd name="T82" fmla="*/ 174 w 201"/>
                  <a:gd name="T83" fmla="*/ 103 h 202"/>
                  <a:gd name="T84" fmla="*/ 176 w 201"/>
                  <a:gd name="T85" fmla="*/ 107 h 202"/>
                  <a:gd name="T86" fmla="*/ 178 w 201"/>
                  <a:gd name="T87" fmla="*/ 112 h 202"/>
                  <a:gd name="T88" fmla="*/ 181 w 201"/>
                  <a:gd name="T89" fmla="*/ 116 h 202"/>
                  <a:gd name="T90" fmla="*/ 183 w 201"/>
                  <a:gd name="T91" fmla="*/ 122 h 202"/>
                  <a:gd name="T92" fmla="*/ 185 w 201"/>
                  <a:gd name="T93" fmla="*/ 126 h 202"/>
                  <a:gd name="T94" fmla="*/ 186 w 201"/>
                  <a:gd name="T95" fmla="*/ 131 h 202"/>
                  <a:gd name="T96" fmla="*/ 188 w 201"/>
                  <a:gd name="T97" fmla="*/ 135 h 202"/>
                  <a:gd name="T98" fmla="*/ 190 w 201"/>
                  <a:gd name="T99" fmla="*/ 140 h 202"/>
                  <a:gd name="T100" fmla="*/ 191 w 201"/>
                  <a:gd name="T101" fmla="*/ 145 h 202"/>
                  <a:gd name="T102" fmla="*/ 194 w 201"/>
                  <a:gd name="T103" fmla="*/ 149 h 202"/>
                  <a:gd name="T104" fmla="*/ 195 w 201"/>
                  <a:gd name="T105" fmla="*/ 154 h 202"/>
                  <a:gd name="T106" fmla="*/ 196 w 201"/>
                  <a:gd name="T107" fmla="*/ 159 h 202"/>
                  <a:gd name="T108" fmla="*/ 197 w 201"/>
                  <a:gd name="T109" fmla="*/ 164 h 202"/>
                  <a:gd name="T110" fmla="*/ 198 w 201"/>
                  <a:gd name="T111" fmla="*/ 169 h 202"/>
                  <a:gd name="T112" fmla="*/ 199 w 201"/>
                  <a:gd name="T113" fmla="*/ 174 h 202"/>
                  <a:gd name="T114" fmla="*/ 199 w 201"/>
                  <a:gd name="T115" fmla="*/ 179 h 202"/>
                  <a:gd name="T116" fmla="*/ 200 w 201"/>
                  <a:gd name="T117" fmla="*/ 184 h 202"/>
                  <a:gd name="T118" fmla="*/ 200 w 201"/>
                  <a:gd name="T119" fmla="*/ 189 h 202"/>
                  <a:gd name="T120" fmla="*/ 201 w 201"/>
                  <a:gd name="T121" fmla="*/ 194 h 202"/>
                  <a:gd name="T122" fmla="*/ 201 w 201"/>
                  <a:gd name="T123" fmla="*/ 199 h 202"/>
                  <a:gd name="T124" fmla="*/ 201 w 201"/>
                  <a:gd name="T125" fmla="*/ 202 h 20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201" h="202">
                    <a:moveTo>
                      <a:pt x="0" y="0"/>
                    </a:moveTo>
                    <a:lnTo>
                      <a:pt x="3" y="0"/>
                    </a:lnTo>
                    <a:lnTo>
                      <a:pt x="6" y="0"/>
                    </a:lnTo>
                    <a:lnTo>
                      <a:pt x="8" y="1"/>
                    </a:lnTo>
                    <a:lnTo>
                      <a:pt x="11" y="1"/>
                    </a:lnTo>
                    <a:lnTo>
                      <a:pt x="13" y="1"/>
                    </a:lnTo>
                    <a:lnTo>
                      <a:pt x="16" y="1"/>
                    </a:lnTo>
                    <a:lnTo>
                      <a:pt x="18" y="1"/>
                    </a:lnTo>
                    <a:lnTo>
                      <a:pt x="21" y="2"/>
                    </a:lnTo>
                    <a:lnTo>
                      <a:pt x="23" y="2"/>
                    </a:lnTo>
                    <a:lnTo>
                      <a:pt x="25" y="2"/>
                    </a:lnTo>
                    <a:lnTo>
                      <a:pt x="29" y="3"/>
                    </a:lnTo>
                    <a:lnTo>
                      <a:pt x="31" y="3"/>
                    </a:lnTo>
                    <a:lnTo>
                      <a:pt x="34" y="4"/>
                    </a:lnTo>
                    <a:lnTo>
                      <a:pt x="36" y="4"/>
                    </a:lnTo>
                    <a:lnTo>
                      <a:pt x="38" y="5"/>
                    </a:lnTo>
                    <a:lnTo>
                      <a:pt x="41" y="5"/>
                    </a:lnTo>
                    <a:lnTo>
                      <a:pt x="43" y="6"/>
                    </a:lnTo>
                    <a:lnTo>
                      <a:pt x="46" y="7"/>
                    </a:lnTo>
                    <a:lnTo>
                      <a:pt x="48" y="7"/>
                    </a:lnTo>
                    <a:lnTo>
                      <a:pt x="50" y="8"/>
                    </a:lnTo>
                    <a:lnTo>
                      <a:pt x="53" y="9"/>
                    </a:lnTo>
                    <a:lnTo>
                      <a:pt x="55" y="9"/>
                    </a:lnTo>
                    <a:lnTo>
                      <a:pt x="58" y="10"/>
                    </a:lnTo>
                    <a:lnTo>
                      <a:pt x="61" y="11"/>
                    </a:lnTo>
                    <a:lnTo>
                      <a:pt x="63" y="12"/>
                    </a:lnTo>
                    <a:lnTo>
                      <a:pt x="65" y="12"/>
                    </a:lnTo>
                    <a:lnTo>
                      <a:pt x="68" y="13"/>
                    </a:lnTo>
                    <a:lnTo>
                      <a:pt x="70" y="14"/>
                    </a:lnTo>
                    <a:lnTo>
                      <a:pt x="72" y="15"/>
                    </a:lnTo>
                    <a:lnTo>
                      <a:pt x="74" y="16"/>
                    </a:lnTo>
                    <a:lnTo>
                      <a:pt x="77" y="17"/>
                    </a:lnTo>
                    <a:lnTo>
                      <a:pt x="79" y="18"/>
                    </a:lnTo>
                    <a:lnTo>
                      <a:pt x="81" y="19"/>
                    </a:lnTo>
                    <a:lnTo>
                      <a:pt x="84" y="20"/>
                    </a:lnTo>
                    <a:lnTo>
                      <a:pt x="87" y="21"/>
                    </a:lnTo>
                    <a:lnTo>
                      <a:pt x="89" y="23"/>
                    </a:lnTo>
                    <a:lnTo>
                      <a:pt x="91" y="24"/>
                    </a:lnTo>
                    <a:lnTo>
                      <a:pt x="93" y="26"/>
                    </a:lnTo>
                    <a:lnTo>
                      <a:pt x="95" y="27"/>
                    </a:lnTo>
                    <a:lnTo>
                      <a:pt x="97" y="28"/>
                    </a:lnTo>
                    <a:lnTo>
                      <a:pt x="99" y="29"/>
                    </a:lnTo>
                    <a:lnTo>
                      <a:pt x="102" y="31"/>
                    </a:lnTo>
                    <a:lnTo>
                      <a:pt x="104" y="32"/>
                    </a:lnTo>
                    <a:lnTo>
                      <a:pt x="106" y="33"/>
                    </a:lnTo>
                    <a:lnTo>
                      <a:pt x="108" y="34"/>
                    </a:lnTo>
                    <a:lnTo>
                      <a:pt x="110" y="36"/>
                    </a:lnTo>
                    <a:lnTo>
                      <a:pt x="113" y="37"/>
                    </a:lnTo>
                    <a:lnTo>
                      <a:pt x="115" y="39"/>
                    </a:lnTo>
                    <a:lnTo>
                      <a:pt x="117" y="40"/>
                    </a:lnTo>
                    <a:lnTo>
                      <a:pt x="119" y="42"/>
                    </a:lnTo>
                    <a:lnTo>
                      <a:pt x="121" y="43"/>
                    </a:lnTo>
                    <a:lnTo>
                      <a:pt x="123" y="45"/>
                    </a:lnTo>
                    <a:lnTo>
                      <a:pt x="125" y="46"/>
                    </a:lnTo>
                    <a:lnTo>
                      <a:pt x="126" y="48"/>
                    </a:lnTo>
                    <a:lnTo>
                      <a:pt x="128" y="49"/>
                    </a:lnTo>
                    <a:lnTo>
                      <a:pt x="130" y="51"/>
                    </a:lnTo>
                    <a:lnTo>
                      <a:pt x="132" y="53"/>
                    </a:lnTo>
                    <a:lnTo>
                      <a:pt x="134" y="54"/>
                    </a:lnTo>
                    <a:lnTo>
                      <a:pt x="136" y="56"/>
                    </a:lnTo>
                    <a:lnTo>
                      <a:pt x="137" y="58"/>
                    </a:lnTo>
                    <a:lnTo>
                      <a:pt x="140" y="59"/>
                    </a:lnTo>
                    <a:lnTo>
                      <a:pt x="142" y="61"/>
                    </a:lnTo>
                    <a:lnTo>
                      <a:pt x="144" y="63"/>
                    </a:lnTo>
                    <a:lnTo>
                      <a:pt x="145" y="65"/>
                    </a:lnTo>
                    <a:lnTo>
                      <a:pt x="147" y="66"/>
                    </a:lnTo>
                    <a:lnTo>
                      <a:pt x="149" y="68"/>
                    </a:lnTo>
                    <a:lnTo>
                      <a:pt x="150" y="71"/>
                    </a:lnTo>
                    <a:lnTo>
                      <a:pt x="152" y="73"/>
                    </a:lnTo>
                    <a:lnTo>
                      <a:pt x="153" y="75"/>
                    </a:lnTo>
                    <a:lnTo>
                      <a:pt x="155" y="77"/>
                    </a:lnTo>
                    <a:lnTo>
                      <a:pt x="156" y="79"/>
                    </a:lnTo>
                    <a:lnTo>
                      <a:pt x="158" y="81"/>
                    </a:lnTo>
                    <a:lnTo>
                      <a:pt x="159" y="83"/>
                    </a:lnTo>
                    <a:lnTo>
                      <a:pt x="161" y="85"/>
                    </a:lnTo>
                    <a:lnTo>
                      <a:pt x="162" y="87"/>
                    </a:lnTo>
                    <a:lnTo>
                      <a:pt x="164" y="89"/>
                    </a:lnTo>
                    <a:lnTo>
                      <a:pt x="165" y="91"/>
                    </a:lnTo>
                    <a:lnTo>
                      <a:pt x="167" y="93"/>
                    </a:lnTo>
                    <a:lnTo>
                      <a:pt x="169" y="95"/>
                    </a:lnTo>
                    <a:lnTo>
                      <a:pt x="170" y="97"/>
                    </a:lnTo>
                    <a:lnTo>
                      <a:pt x="171" y="99"/>
                    </a:lnTo>
                    <a:lnTo>
                      <a:pt x="173" y="101"/>
                    </a:lnTo>
                    <a:lnTo>
                      <a:pt x="174" y="103"/>
                    </a:lnTo>
                    <a:lnTo>
                      <a:pt x="175" y="105"/>
                    </a:lnTo>
                    <a:lnTo>
                      <a:pt x="176" y="107"/>
                    </a:lnTo>
                    <a:lnTo>
                      <a:pt x="177" y="110"/>
                    </a:lnTo>
                    <a:lnTo>
                      <a:pt x="178" y="112"/>
                    </a:lnTo>
                    <a:lnTo>
                      <a:pt x="180" y="114"/>
                    </a:lnTo>
                    <a:lnTo>
                      <a:pt x="181" y="116"/>
                    </a:lnTo>
                    <a:lnTo>
                      <a:pt x="182" y="119"/>
                    </a:lnTo>
                    <a:lnTo>
                      <a:pt x="183" y="122"/>
                    </a:lnTo>
                    <a:lnTo>
                      <a:pt x="184" y="124"/>
                    </a:lnTo>
                    <a:lnTo>
                      <a:pt x="185" y="126"/>
                    </a:lnTo>
                    <a:lnTo>
                      <a:pt x="186" y="128"/>
                    </a:lnTo>
                    <a:lnTo>
                      <a:pt x="186" y="131"/>
                    </a:lnTo>
                    <a:lnTo>
                      <a:pt x="187" y="133"/>
                    </a:lnTo>
                    <a:lnTo>
                      <a:pt x="188" y="135"/>
                    </a:lnTo>
                    <a:lnTo>
                      <a:pt x="189" y="138"/>
                    </a:lnTo>
                    <a:lnTo>
                      <a:pt x="190" y="140"/>
                    </a:lnTo>
                    <a:lnTo>
                      <a:pt x="191" y="142"/>
                    </a:lnTo>
                    <a:lnTo>
                      <a:pt x="191" y="145"/>
                    </a:lnTo>
                    <a:lnTo>
                      <a:pt x="192" y="147"/>
                    </a:lnTo>
                    <a:lnTo>
                      <a:pt x="194" y="149"/>
                    </a:lnTo>
                    <a:lnTo>
                      <a:pt x="194" y="152"/>
                    </a:lnTo>
                    <a:lnTo>
                      <a:pt x="195" y="154"/>
                    </a:lnTo>
                    <a:lnTo>
                      <a:pt x="195" y="156"/>
                    </a:lnTo>
                    <a:lnTo>
                      <a:pt x="196" y="159"/>
                    </a:lnTo>
                    <a:lnTo>
                      <a:pt x="197" y="161"/>
                    </a:lnTo>
                    <a:lnTo>
                      <a:pt x="197" y="164"/>
                    </a:lnTo>
                    <a:lnTo>
                      <a:pt x="198" y="167"/>
                    </a:lnTo>
                    <a:lnTo>
                      <a:pt x="198" y="169"/>
                    </a:lnTo>
                    <a:lnTo>
                      <a:pt x="198" y="172"/>
                    </a:lnTo>
                    <a:lnTo>
                      <a:pt x="199" y="174"/>
                    </a:lnTo>
                    <a:lnTo>
                      <a:pt x="199" y="177"/>
                    </a:lnTo>
                    <a:lnTo>
                      <a:pt x="199" y="179"/>
                    </a:lnTo>
                    <a:lnTo>
                      <a:pt x="200" y="182"/>
                    </a:lnTo>
                    <a:lnTo>
                      <a:pt x="200" y="184"/>
                    </a:lnTo>
                    <a:lnTo>
                      <a:pt x="200" y="186"/>
                    </a:lnTo>
                    <a:lnTo>
                      <a:pt x="200" y="189"/>
                    </a:lnTo>
                    <a:lnTo>
                      <a:pt x="201" y="191"/>
                    </a:lnTo>
                    <a:lnTo>
                      <a:pt x="201" y="194"/>
                    </a:lnTo>
                    <a:lnTo>
                      <a:pt x="201" y="196"/>
                    </a:lnTo>
                    <a:lnTo>
                      <a:pt x="201" y="199"/>
                    </a:lnTo>
                    <a:lnTo>
                      <a:pt x="201" y="201"/>
                    </a:lnTo>
                    <a:lnTo>
                      <a:pt x="201" y="202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71" name="Line 71">
                <a:extLst>
                  <a:ext uri="{FF2B5EF4-FFF2-40B4-BE49-F238E27FC236}">
                    <a16:creationId xmlns:a16="http://schemas.microsoft.com/office/drawing/2014/main" id="{A85DBBEA-F6DF-4946-AA71-694491B715E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664" y="642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72" name="Freeform 72">
                <a:extLst>
                  <a:ext uri="{FF2B5EF4-FFF2-40B4-BE49-F238E27FC236}">
                    <a16:creationId xmlns:a16="http://schemas.microsoft.com/office/drawing/2014/main" id="{A478EAE9-569C-4B98-A516-8DB21BC2A8C6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62" y="642"/>
                <a:ext cx="8" cy="7"/>
              </a:xfrm>
              <a:custGeom>
                <a:avLst/>
                <a:gdLst>
                  <a:gd name="T0" fmla="*/ 208 w 208"/>
                  <a:gd name="T1" fmla="*/ 0 h 177"/>
                  <a:gd name="T2" fmla="*/ 104 w 208"/>
                  <a:gd name="T3" fmla="*/ 177 h 177"/>
                  <a:gd name="T4" fmla="*/ 0 w 208"/>
                  <a:gd name="T5" fmla="*/ 0 h 1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8" h="177">
                    <a:moveTo>
                      <a:pt x="208" y="0"/>
                    </a:moveTo>
                    <a:lnTo>
                      <a:pt x="104" y="177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68" name="Freeform 73">
              <a:extLst>
                <a:ext uri="{FF2B5EF4-FFF2-40B4-BE49-F238E27FC236}">
                  <a16:creationId xmlns:a16="http://schemas.microsoft.com/office/drawing/2014/main" id="{13F663CB-D3E0-4563-9F42-507578552A2C}"/>
                </a:ext>
              </a:extLst>
            </xdr:cNvPr>
            <xdr:cNvSpPr>
              <a:spLocks/>
            </xdr:cNvSpPr>
          </xdr:nvSpPr>
          <xdr:spPr bwMode="auto">
            <a:xfrm rot="-4501102">
              <a:off x="316" y="606"/>
              <a:ext cx="70" cy="22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9" name="Freeform 74">
              <a:extLst>
                <a:ext uri="{FF2B5EF4-FFF2-40B4-BE49-F238E27FC236}">
                  <a16:creationId xmlns:a16="http://schemas.microsoft.com/office/drawing/2014/main" id="{E2EB9C5D-414C-4F0A-8383-DEA7CA644223}"/>
                </a:ext>
              </a:extLst>
            </xdr:cNvPr>
            <xdr:cNvSpPr>
              <a:spLocks/>
            </xdr:cNvSpPr>
          </xdr:nvSpPr>
          <xdr:spPr bwMode="auto">
            <a:xfrm rot="-8100000">
              <a:off x="347" y="57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505FA26D-F332-41C5-9367-401055352617}"/>
              </a:ext>
            </a:extLst>
          </xdr:cNvPr>
          <xdr:cNvGrpSpPr>
            <a:grpSpLocks/>
          </xdr:cNvGrpSpPr>
        </xdr:nvGrpSpPr>
        <xdr:grpSpPr bwMode="auto">
          <a:xfrm>
            <a:off x="3667125" y="5514975"/>
            <a:ext cx="333375" cy="695325"/>
            <a:chOff x="373" y="582"/>
            <a:chExt cx="35" cy="73"/>
          </a:xfrm>
        </xdr:grpSpPr>
        <xdr:sp macro="" textlink="">
          <xdr:nvSpPr>
            <xdr:cNvPr id="77" name="Freeform 76">
              <a:extLst>
                <a:ext uri="{FF2B5EF4-FFF2-40B4-BE49-F238E27FC236}">
                  <a16:creationId xmlns:a16="http://schemas.microsoft.com/office/drawing/2014/main" id="{8906E7EB-EAE2-485C-96EE-AAD32C84E612}"/>
                </a:ext>
              </a:extLst>
            </xdr:cNvPr>
            <xdr:cNvSpPr>
              <a:spLocks/>
            </xdr:cNvSpPr>
          </xdr:nvSpPr>
          <xdr:spPr bwMode="auto">
            <a:xfrm rot="-4501102">
              <a:off x="349" y="606"/>
              <a:ext cx="70" cy="22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8" name="Freeform 77">
              <a:extLst>
                <a:ext uri="{FF2B5EF4-FFF2-40B4-BE49-F238E27FC236}">
                  <a16:creationId xmlns:a16="http://schemas.microsoft.com/office/drawing/2014/main" id="{AE578ADE-0B5F-4451-8368-96848112FDB8}"/>
                </a:ext>
              </a:extLst>
            </xdr:cNvPr>
            <xdr:cNvSpPr>
              <a:spLocks/>
            </xdr:cNvSpPr>
          </xdr:nvSpPr>
          <xdr:spPr bwMode="auto">
            <a:xfrm rot="-15415179">
              <a:off x="382" y="649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grpSp>
          <xdr:nvGrpSpPr>
            <xdr:cNvPr id="79" name="Group 78">
              <a:extLst>
                <a:ext uri="{FF2B5EF4-FFF2-40B4-BE49-F238E27FC236}">
                  <a16:creationId xmlns:a16="http://schemas.microsoft.com/office/drawing/2014/main" id="{B5C8201A-235C-493C-84CA-31706AB35C02}"/>
                </a:ext>
              </a:extLst>
            </xdr:cNvPr>
            <xdr:cNvGrpSpPr>
              <a:grpSpLocks/>
            </xdr:cNvGrpSpPr>
          </xdr:nvGrpSpPr>
          <xdr:grpSpPr bwMode="auto">
            <a:xfrm flipV="1">
              <a:off x="375" y="618"/>
              <a:ext cx="16" cy="11"/>
              <a:chOff x="637" y="653"/>
              <a:chExt cx="16" cy="11"/>
            </a:xfrm>
          </xdr:grpSpPr>
          <xdr:sp macro="" textlink="">
            <xdr:nvSpPr>
              <xdr:cNvPr id="84" name="Freeform 79">
                <a:extLst>
                  <a:ext uri="{FF2B5EF4-FFF2-40B4-BE49-F238E27FC236}">
                    <a16:creationId xmlns:a16="http://schemas.microsoft.com/office/drawing/2014/main" id="{F93E985B-AEF2-4A75-B2F4-FE84BC7DD0E5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45" y="657"/>
                <a:ext cx="7" cy="8"/>
              </a:xfrm>
              <a:custGeom>
                <a:avLst/>
                <a:gdLst>
                  <a:gd name="T0" fmla="*/ 203 w 203"/>
                  <a:gd name="T1" fmla="*/ 2 h 199"/>
                  <a:gd name="T2" fmla="*/ 203 w 203"/>
                  <a:gd name="T3" fmla="*/ 7 h 199"/>
                  <a:gd name="T4" fmla="*/ 202 w 203"/>
                  <a:gd name="T5" fmla="*/ 12 h 199"/>
                  <a:gd name="T6" fmla="*/ 202 w 203"/>
                  <a:gd name="T7" fmla="*/ 17 h 199"/>
                  <a:gd name="T8" fmla="*/ 200 w 203"/>
                  <a:gd name="T9" fmla="*/ 22 h 199"/>
                  <a:gd name="T10" fmla="*/ 199 w 203"/>
                  <a:gd name="T11" fmla="*/ 27 h 199"/>
                  <a:gd name="T12" fmla="*/ 199 w 203"/>
                  <a:gd name="T13" fmla="*/ 33 h 199"/>
                  <a:gd name="T14" fmla="*/ 198 w 203"/>
                  <a:gd name="T15" fmla="*/ 38 h 199"/>
                  <a:gd name="T16" fmla="*/ 197 w 203"/>
                  <a:gd name="T17" fmla="*/ 42 h 199"/>
                  <a:gd name="T18" fmla="*/ 195 w 203"/>
                  <a:gd name="T19" fmla="*/ 47 h 199"/>
                  <a:gd name="T20" fmla="*/ 194 w 203"/>
                  <a:gd name="T21" fmla="*/ 52 h 199"/>
                  <a:gd name="T22" fmla="*/ 193 w 203"/>
                  <a:gd name="T23" fmla="*/ 57 h 199"/>
                  <a:gd name="T24" fmla="*/ 191 w 203"/>
                  <a:gd name="T25" fmla="*/ 61 h 199"/>
                  <a:gd name="T26" fmla="*/ 189 w 203"/>
                  <a:gd name="T27" fmla="*/ 66 h 199"/>
                  <a:gd name="T28" fmla="*/ 188 w 203"/>
                  <a:gd name="T29" fmla="*/ 70 h 199"/>
                  <a:gd name="T30" fmla="*/ 186 w 203"/>
                  <a:gd name="T31" fmla="*/ 75 h 199"/>
                  <a:gd name="T32" fmla="*/ 184 w 203"/>
                  <a:gd name="T33" fmla="*/ 79 h 199"/>
                  <a:gd name="T34" fmla="*/ 182 w 203"/>
                  <a:gd name="T35" fmla="*/ 85 h 199"/>
                  <a:gd name="T36" fmla="*/ 179 w 203"/>
                  <a:gd name="T37" fmla="*/ 89 h 199"/>
                  <a:gd name="T38" fmla="*/ 177 w 203"/>
                  <a:gd name="T39" fmla="*/ 94 h 199"/>
                  <a:gd name="T40" fmla="*/ 175 w 203"/>
                  <a:gd name="T41" fmla="*/ 98 h 199"/>
                  <a:gd name="T42" fmla="*/ 171 w 203"/>
                  <a:gd name="T43" fmla="*/ 102 h 199"/>
                  <a:gd name="T44" fmla="*/ 169 w 203"/>
                  <a:gd name="T45" fmla="*/ 106 h 199"/>
                  <a:gd name="T46" fmla="*/ 166 w 203"/>
                  <a:gd name="T47" fmla="*/ 110 h 199"/>
                  <a:gd name="T48" fmla="*/ 163 w 203"/>
                  <a:gd name="T49" fmla="*/ 114 h 199"/>
                  <a:gd name="T50" fmla="*/ 160 w 203"/>
                  <a:gd name="T51" fmla="*/ 118 h 199"/>
                  <a:gd name="T52" fmla="*/ 157 w 203"/>
                  <a:gd name="T53" fmla="*/ 122 h 199"/>
                  <a:gd name="T54" fmla="*/ 154 w 203"/>
                  <a:gd name="T55" fmla="*/ 126 h 199"/>
                  <a:gd name="T56" fmla="*/ 151 w 203"/>
                  <a:gd name="T57" fmla="*/ 131 h 199"/>
                  <a:gd name="T58" fmla="*/ 147 w 203"/>
                  <a:gd name="T59" fmla="*/ 134 h 199"/>
                  <a:gd name="T60" fmla="*/ 143 w 203"/>
                  <a:gd name="T61" fmla="*/ 138 h 199"/>
                  <a:gd name="T62" fmla="*/ 140 w 203"/>
                  <a:gd name="T63" fmla="*/ 141 h 199"/>
                  <a:gd name="T64" fmla="*/ 136 w 203"/>
                  <a:gd name="T65" fmla="*/ 145 h 199"/>
                  <a:gd name="T66" fmla="*/ 132 w 203"/>
                  <a:gd name="T67" fmla="*/ 148 h 199"/>
                  <a:gd name="T68" fmla="*/ 129 w 203"/>
                  <a:gd name="T69" fmla="*/ 151 h 199"/>
                  <a:gd name="T70" fmla="*/ 125 w 203"/>
                  <a:gd name="T71" fmla="*/ 154 h 199"/>
                  <a:gd name="T72" fmla="*/ 121 w 203"/>
                  <a:gd name="T73" fmla="*/ 157 h 199"/>
                  <a:gd name="T74" fmla="*/ 116 w 203"/>
                  <a:gd name="T75" fmla="*/ 160 h 199"/>
                  <a:gd name="T76" fmla="*/ 112 w 203"/>
                  <a:gd name="T77" fmla="*/ 163 h 199"/>
                  <a:gd name="T78" fmla="*/ 108 w 203"/>
                  <a:gd name="T79" fmla="*/ 166 h 199"/>
                  <a:gd name="T80" fmla="*/ 104 w 203"/>
                  <a:gd name="T81" fmla="*/ 168 h 199"/>
                  <a:gd name="T82" fmla="*/ 100 w 203"/>
                  <a:gd name="T83" fmla="*/ 171 h 199"/>
                  <a:gd name="T84" fmla="*/ 95 w 203"/>
                  <a:gd name="T85" fmla="*/ 173 h 199"/>
                  <a:gd name="T86" fmla="*/ 90 w 203"/>
                  <a:gd name="T87" fmla="*/ 177 h 199"/>
                  <a:gd name="T88" fmla="*/ 86 w 203"/>
                  <a:gd name="T89" fmla="*/ 179 h 199"/>
                  <a:gd name="T90" fmla="*/ 81 w 203"/>
                  <a:gd name="T91" fmla="*/ 181 h 199"/>
                  <a:gd name="T92" fmla="*/ 77 w 203"/>
                  <a:gd name="T93" fmla="*/ 183 h 199"/>
                  <a:gd name="T94" fmla="*/ 72 w 203"/>
                  <a:gd name="T95" fmla="*/ 185 h 199"/>
                  <a:gd name="T96" fmla="*/ 68 w 203"/>
                  <a:gd name="T97" fmla="*/ 187 h 199"/>
                  <a:gd name="T98" fmla="*/ 62 w 203"/>
                  <a:gd name="T99" fmla="*/ 188 h 199"/>
                  <a:gd name="T100" fmla="*/ 57 w 203"/>
                  <a:gd name="T101" fmla="*/ 190 h 199"/>
                  <a:gd name="T102" fmla="*/ 53 w 203"/>
                  <a:gd name="T103" fmla="*/ 191 h 199"/>
                  <a:gd name="T104" fmla="*/ 48 w 203"/>
                  <a:gd name="T105" fmla="*/ 192 h 199"/>
                  <a:gd name="T106" fmla="*/ 43 w 203"/>
                  <a:gd name="T107" fmla="*/ 194 h 199"/>
                  <a:gd name="T108" fmla="*/ 38 w 203"/>
                  <a:gd name="T109" fmla="*/ 195 h 199"/>
                  <a:gd name="T110" fmla="*/ 33 w 203"/>
                  <a:gd name="T111" fmla="*/ 196 h 199"/>
                  <a:gd name="T112" fmla="*/ 28 w 203"/>
                  <a:gd name="T113" fmla="*/ 196 h 199"/>
                  <a:gd name="T114" fmla="*/ 23 w 203"/>
                  <a:gd name="T115" fmla="*/ 197 h 199"/>
                  <a:gd name="T116" fmla="*/ 18 w 203"/>
                  <a:gd name="T117" fmla="*/ 198 h 199"/>
                  <a:gd name="T118" fmla="*/ 13 w 203"/>
                  <a:gd name="T119" fmla="*/ 198 h 199"/>
                  <a:gd name="T120" fmla="*/ 7 w 203"/>
                  <a:gd name="T121" fmla="*/ 199 h 199"/>
                  <a:gd name="T122" fmla="*/ 2 w 203"/>
                  <a:gd name="T123" fmla="*/ 199 h 19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203" h="199">
                    <a:moveTo>
                      <a:pt x="203" y="0"/>
                    </a:moveTo>
                    <a:lnTo>
                      <a:pt x="203" y="2"/>
                    </a:lnTo>
                    <a:lnTo>
                      <a:pt x="203" y="5"/>
                    </a:lnTo>
                    <a:lnTo>
                      <a:pt x="203" y="7"/>
                    </a:lnTo>
                    <a:lnTo>
                      <a:pt x="202" y="10"/>
                    </a:lnTo>
                    <a:lnTo>
                      <a:pt x="202" y="12"/>
                    </a:lnTo>
                    <a:lnTo>
                      <a:pt x="202" y="15"/>
                    </a:lnTo>
                    <a:lnTo>
                      <a:pt x="202" y="17"/>
                    </a:lnTo>
                    <a:lnTo>
                      <a:pt x="200" y="20"/>
                    </a:lnTo>
                    <a:lnTo>
                      <a:pt x="200" y="22"/>
                    </a:lnTo>
                    <a:lnTo>
                      <a:pt x="200" y="24"/>
                    </a:lnTo>
                    <a:lnTo>
                      <a:pt x="199" y="27"/>
                    </a:lnTo>
                    <a:lnTo>
                      <a:pt x="199" y="29"/>
                    </a:lnTo>
                    <a:lnTo>
                      <a:pt x="199" y="33"/>
                    </a:lnTo>
                    <a:lnTo>
                      <a:pt x="198" y="35"/>
                    </a:lnTo>
                    <a:lnTo>
                      <a:pt x="198" y="38"/>
                    </a:lnTo>
                    <a:lnTo>
                      <a:pt x="197" y="40"/>
                    </a:lnTo>
                    <a:lnTo>
                      <a:pt x="197" y="42"/>
                    </a:lnTo>
                    <a:lnTo>
                      <a:pt x="196" y="45"/>
                    </a:lnTo>
                    <a:lnTo>
                      <a:pt x="195" y="47"/>
                    </a:lnTo>
                    <a:lnTo>
                      <a:pt x="195" y="49"/>
                    </a:lnTo>
                    <a:lnTo>
                      <a:pt x="194" y="52"/>
                    </a:lnTo>
                    <a:lnTo>
                      <a:pt x="193" y="54"/>
                    </a:lnTo>
                    <a:lnTo>
                      <a:pt x="193" y="57"/>
                    </a:lnTo>
                    <a:lnTo>
                      <a:pt x="192" y="59"/>
                    </a:lnTo>
                    <a:lnTo>
                      <a:pt x="191" y="61"/>
                    </a:lnTo>
                    <a:lnTo>
                      <a:pt x="190" y="63"/>
                    </a:lnTo>
                    <a:lnTo>
                      <a:pt x="189" y="66"/>
                    </a:lnTo>
                    <a:lnTo>
                      <a:pt x="189" y="68"/>
                    </a:lnTo>
                    <a:lnTo>
                      <a:pt x="188" y="70"/>
                    </a:lnTo>
                    <a:lnTo>
                      <a:pt x="187" y="73"/>
                    </a:lnTo>
                    <a:lnTo>
                      <a:pt x="186" y="75"/>
                    </a:lnTo>
                    <a:lnTo>
                      <a:pt x="185" y="77"/>
                    </a:lnTo>
                    <a:lnTo>
                      <a:pt x="184" y="79"/>
                    </a:lnTo>
                    <a:lnTo>
                      <a:pt x="183" y="83"/>
                    </a:lnTo>
                    <a:lnTo>
                      <a:pt x="182" y="85"/>
                    </a:lnTo>
                    <a:lnTo>
                      <a:pt x="181" y="87"/>
                    </a:lnTo>
                    <a:lnTo>
                      <a:pt x="179" y="89"/>
                    </a:lnTo>
                    <a:lnTo>
                      <a:pt x="178" y="91"/>
                    </a:lnTo>
                    <a:lnTo>
                      <a:pt x="177" y="94"/>
                    </a:lnTo>
                    <a:lnTo>
                      <a:pt x="176" y="96"/>
                    </a:lnTo>
                    <a:lnTo>
                      <a:pt x="175" y="98"/>
                    </a:lnTo>
                    <a:lnTo>
                      <a:pt x="172" y="100"/>
                    </a:lnTo>
                    <a:lnTo>
                      <a:pt x="171" y="102"/>
                    </a:lnTo>
                    <a:lnTo>
                      <a:pt x="170" y="104"/>
                    </a:lnTo>
                    <a:lnTo>
                      <a:pt x="169" y="106"/>
                    </a:lnTo>
                    <a:lnTo>
                      <a:pt x="167" y="108"/>
                    </a:lnTo>
                    <a:lnTo>
                      <a:pt x="166" y="110"/>
                    </a:lnTo>
                    <a:lnTo>
                      <a:pt x="164" y="112"/>
                    </a:lnTo>
                    <a:lnTo>
                      <a:pt x="163" y="114"/>
                    </a:lnTo>
                    <a:lnTo>
                      <a:pt x="162" y="116"/>
                    </a:lnTo>
                    <a:lnTo>
                      <a:pt x="160" y="118"/>
                    </a:lnTo>
                    <a:lnTo>
                      <a:pt x="159" y="120"/>
                    </a:lnTo>
                    <a:lnTo>
                      <a:pt x="157" y="122"/>
                    </a:lnTo>
                    <a:lnTo>
                      <a:pt x="156" y="124"/>
                    </a:lnTo>
                    <a:lnTo>
                      <a:pt x="154" y="126"/>
                    </a:lnTo>
                    <a:lnTo>
                      <a:pt x="152" y="129"/>
                    </a:lnTo>
                    <a:lnTo>
                      <a:pt x="151" y="131"/>
                    </a:lnTo>
                    <a:lnTo>
                      <a:pt x="149" y="132"/>
                    </a:lnTo>
                    <a:lnTo>
                      <a:pt x="147" y="134"/>
                    </a:lnTo>
                    <a:lnTo>
                      <a:pt x="145" y="136"/>
                    </a:lnTo>
                    <a:lnTo>
                      <a:pt x="143" y="138"/>
                    </a:lnTo>
                    <a:lnTo>
                      <a:pt x="141" y="139"/>
                    </a:lnTo>
                    <a:lnTo>
                      <a:pt x="140" y="141"/>
                    </a:lnTo>
                    <a:lnTo>
                      <a:pt x="138" y="143"/>
                    </a:lnTo>
                    <a:lnTo>
                      <a:pt x="136" y="145"/>
                    </a:lnTo>
                    <a:lnTo>
                      <a:pt x="134" y="146"/>
                    </a:lnTo>
                    <a:lnTo>
                      <a:pt x="132" y="148"/>
                    </a:lnTo>
                    <a:lnTo>
                      <a:pt x="131" y="150"/>
                    </a:lnTo>
                    <a:lnTo>
                      <a:pt x="129" y="151"/>
                    </a:lnTo>
                    <a:lnTo>
                      <a:pt x="127" y="153"/>
                    </a:lnTo>
                    <a:lnTo>
                      <a:pt x="125" y="154"/>
                    </a:lnTo>
                    <a:lnTo>
                      <a:pt x="123" y="156"/>
                    </a:lnTo>
                    <a:lnTo>
                      <a:pt x="121" y="157"/>
                    </a:lnTo>
                    <a:lnTo>
                      <a:pt x="118" y="159"/>
                    </a:lnTo>
                    <a:lnTo>
                      <a:pt x="116" y="160"/>
                    </a:lnTo>
                    <a:lnTo>
                      <a:pt x="114" y="162"/>
                    </a:lnTo>
                    <a:lnTo>
                      <a:pt x="112" y="163"/>
                    </a:lnTo>
                    <a:lnTo>
                      <a:pt x="110" y="164"/>
                    </a:lnTo>
                    <a:lnTo>
                      <a:pt x="108" y="166"/>
                    </a:lnTo>
                    <a:lnTo>
                      <a:pt x="106" y="167"/>
                    </a:lnTo>
                    <a:lnTo>
                      <a:pt x="104" y="168"/>
                    </a:lnTo>
                    <a:lnTo>
                      <a:pt x="102" y="170"/>
                    </a:lnTo>
                    <a:lnTo>
                      <a:pt x="100" y="171"/>
                    </a:lnTo>
                    <a:lnTo>
                      <a:pt x="97" y="172"/>
                    </a:lnTo>
                    <a:lnTo>
                      <a:pt x="95" y="173"/>
                    </a:lnTo>
                    <a:lnTo>
                      <a:pt x="93" y="174"/>
                    </a:lnTo>
                    <a:lnTo>
                      <a:pt x="90" y="177"/>
                    </a:lnTo>
                    <a:lnTo>
                      <a:pt x="88" y="178"/>
                    </a:lnTo>
                    <a:lnTo>
                      <a:pt x="86" y="179"/>
                    </a:lnTo>
                    <a:lnTo>
                      <a:pt x="83" y="180"/>
                    </a:lnTo>
                    <a:lnTo>
                      <a:pt x="81" y="181"/>
                    </a:lnTo>
                    <a:lnTo>
                      <a:pt x="79" y="182"/>
                    </a:lnTo>
                    <a:lnTo>
                      <a:pt x="77" y="183"/>
                    </a:lnTo>
                    <a:lnTo>
                      <a:pt x="74" y="184"/>
                    </a:lnTo>
                    <a:lnTo>
                      <a:pt x="72" y="185"/>
                    </a:lnTo>
                    <a:lnTo>
                      <a:pt x="70" y="186"/>
                    </a:lnTo>
                    <a:lnTo>
                      <a:pt x="68" y="187"/>
                    </a:lnTo>
                    <a:lnTo>
                      <a:pt x="65" y="187"/>
                    </a:lnTo>
                    <a:lnTo>
                      <a:pt x="62" y="188"/>
                    </a:lnTo>
                    <a:lnTo>
                      <a:pt x="60" y="189"/>
                    </a:lnTo>
                    <a:lnTo>
                      <a:pt x="57" y="190"/>
                    </a:lnTo>
                    <a:lnTo>
                      <a:pt x="55" y="190"/>
                    </a:lnTo>
                    <a:lnTo>
                      <a:pt x="53" y="191"/>
                    </a:lnTo>
                    <a:lnTo>
                      <a:pt x="50" y="192"/>
                    </a:lnTo>
                    <a:lnTo>
                      <a:pt x="48" y="192"/>
                    </a:lnTo>
                    <a:lnTo>
                      <a:pt x="45" y="193"/>
                    </a:lnTo>
                    <a:lnTo>
                      <a:pt x="43" y="194"/>
                    </a:lnTo>
                    <a:lnTo>
                      <a:pt x="41" y="194"/>
                    </a:lnTo>
                    <a:lnTo>
                      <a:pt x="38" y="195"/>
                    </a:lnTo>
                    <a:lnTo>
                      <a:pt x="35" y="195"/>
                    </a:lnTo>
                    <a:lnTo>
                      <a:pt x="33" y="196"/>
                    </a:lnTo>
                    <a:lnTo>
                      <a:pt x="30" y="196"/>
                    </a:lnTo>
                    <a:lnTo>
                      <a:pt x="28" y="196"/>
                    </a:lnTo>
                    <a:lnTo>
                      <a:pt x="25" y="197"/>
                    </a:lnTo>
                    <a:lnTo>
                      <a:pt x="23" y="197"/>
                    </a:lnTo>
                    <a:lnTo>
                      <a:pt x="20" y="198"/>
                    </a:lnTo>
                    <a:lnTo>
                      <a:pt x="18" y="198"/>
                    </a:lnTo>
                    <a:lnTo>
                      <a:pt x="15" y="198"/>
                    </a:lnTo>
                    <a:lnTo>
                      <a:pt x="13" y="198"/>
                    </a:lnTo>
                    <a:lnTo>
                      <a:pt x="11" y="198"/>
                    </a:lnTo>
                    <a:lnTo>
                      <a:pt x="7" y="199"/>
                    </a:lnTo>
                    <a:lnTo>
                      <a:pt x="5" y="199"/>
                    </a:lnTo>
                    <a:lnTo>
                      <a:pt x="2" y="199"/>
                    </a:lnTo>
                    <a:lnTo>
                      <a:pt x="0" y="199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85" name="Line 80">
                <a:extLst>
                  <a:ext uri="{FF2B5EF4-FFF2-40B4-BE49-F238E27FC236}">
                    <a16:creationId xmlns:a16="http://schemas.microsoft.com/office/drawing/2014/main" id="{A75207B6-C3D1-46E0-A4AB-54D924DF6D7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16200000" flipV="1">
                <a:off x="641" y="653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Freeform 81">
                <a:extLst>
                  <a:ext uri="{FF2B5EF4-FFF2-40B4-BE49-F238E27FC236}">
                    <a16:creationId xmlns:a16="http://schemas.microsoft.com/office/drawing/2014/main" id="{190402D2-00B2-4892-91C3-5C07EDFB3D57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37" y="653"/>
                <a:ext cx="8" cy="7"/>
              </a:xfrm>
              <a:custGeom>
                <a:avLst/>
                <a:gdLst>
                  <a:gd name="T0" fmla="*/ 207 w 207"/>
                  <a:gd name="T1" fmla="*/ 176 h 176"/>
                  <a:gd name="T2" fmla="*/ 104 w 207"/>
                  <a:gd name="T3" fmla="*/ 0 h 176"/>
                  <a:gd name="T4" fmla="*/ 0 w 207"/>
                  <a:gd name="T5" fmla="*/ 176 h 1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7" h="176">
                    <a:moveTo>
                      <a:pt x="207" y="176"/>
                    </a:moveTo>
                    <a:lnTo>
                      <a:pt x="104" y="0"/>
                    </a:lnTo>
                    <a:lnTo>
                      <a:pt x="0" y="176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80" name="Group 82">
              <a:extLst>
                <a:ext uri="{FF2B5EF4-FFF2-40B4-BE49-F238E27FC236}">
                  <a16:creationId xmlns:a16="http://schemas.microsoft.com/office/drawing/2014/main" id="{75EFEAE5-2AE3-43FE-BBB2-8C1E9EA1BD05}"/>
                </a:ext>
              </a:extLst>
            </xdr:cNvPr>
            <xdr:cNvGrpSpPr>
              <a:grpSpLocks/>
            </xdr:cNvGrpSpPr>
          </xdr:nvGrpSpPr>
          <xdr:grpSpPr bwMode="auto">
            <a:xfrm flipV="1">
              <a:off x="392" y="604"/>
              <a:ext cx="16" cy="12"/>
              <a:chOff x="653" y="642"/>
              <a:chExt cx="16" cy="12"/>
            </a:xfrm>
          </xdr:grpSpPr>
          <xdr:sp macro="" textlink="">
            <xdr:nvSpPr>
              <xdr:cNvPr id="81" name="Freeform 83">
                <a:extLst>
                  <a:ext uri="{FF2B5EF4-FFF2-40B4-BE49-F238E27FC236}">
                    <a16:creationId xmlns:a16="http://schemas.microsoft.com/office/drawing/2014/main" id="{92FE1EC3-6CF7-4B49-AB42-2DB3F3F8EAB2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53" y="646"/>
                <a:ext cx="8" cy="7"/>
              </a:xfrm>
              <a:custGeom>
                <a:avLst/>
                <a:gdLst>
                  <a:gd name="T0" fmla="*/ 3 w 201"/>
                  <a:gd name="T1" fmla="*/ 0 h 202"/>
                  <a:gd name="T2" fmla="*/ 8 w 201"/>
                  <a:gd name="T3" fmla="*/ 1 h 202"/>
                  <a:gd name="T4" fmla="*/ 13 w 201"/>
                  <a:gd name="T5" fmla="*/ 1 h 202"/>
                  <a:gd name="T6" fmla="*/ 18 w 201"/>
                  <a:gd name="T7" fmla="*/ 1 h 202"/>
                  <a:gd name="T8" fmla="*/ 23 w 201"/>
                  <a:gd name="T9" fmla="*/ 2 h 202"/>
                  <a:gd name="T10" fmla="*/ 29 w 201"/>
                  <a:gd name="T11" fmla="*/ 3 h 202"/>
                  <a:gd name="T12" fmla="*/ 34 w 201"/>
                  <a:gd name="T13" fmla="*/ 4 h 202"/>
                  <a:gd name="T14" fmla="*/ 38 w 201"/>
                  <a:gd name="T15" fmla="*/ 5 h 202"/>
                  <a:gd name="T16" fmla="*/ 43 w 201"/>
                  <a:gd name="T17" fmla="*/ 6 h 202"/>
                  <a:gd name="T18" fmla="*/ 48 w 201"/>
                  <a:gd name="T19" fmla="*/ 7 h 202"/>
                  <a:gd name="T20" fmla="*/ 53 w 201"/>
                  <a:gd name="T21" fmla="*/ 9 h 202"/>
                  <a:gd name="T22" fmla="*/ 58 w 201"/>
                  <a:gd name="T23" fmla="*/ 10 h 202"/>
                  <a:gd name="T24" fmla="*/ 63 w 201"/>
                  <a:gd name="T25" fmla="*/ 12 h 202"/>
                  <a:gd name="T26" fmla="*/ 68 w 201"/>
                  <a:gd name="T27" fmla="*/ 13 h 202"/>
                  <a:gd name="T28" fmla="*/ 72 w 201"/>
                  <a:gd name="T29" fmla="*/ 15 h 202"/>
                  <a:gd name="T30" fmla="*/ 77 w 201"/>
                  <a:gd name="T31" fmla="*/ 17 h 202"/>
                  <a:gd name="T32" fmla="*/ 81 w 201"/>
                  <a:gd name="T33" fmla="*/ 19 h 202"/>
                  <a:gd name="T34" fmla="*/ 87 w 201"/>
                  <a:gd name="T35" fmla="*/ 21 h 202"/>
                  <a:gd name="T36" fmla="*/ 91 w 201"/>
                  <a:gd name="T37" fmla="*/ 24 h 202"/>
                  <a:gd name="T38" fmla="*/ 95 w 201"/>
                  <a:gd name="T39" fmla="*/ 27 h 202"/>
                  <a:gd name="T40" fmla="*/ 99 w 201"/>
                  <a:gd name="T41" fmla="*/ 29 h 202"/>
                  <a:gd name="T42" fmla="*/ 104 w 201"/>
                  <a:gd name="T43" fmla="*/ 32 h 202"/>
                  <a:gd name="T44" fmla="*/ 108 w 201"/>
                  <a:gd name="T45" fmla="*/ 34 h 202"/>
                  <a:gd name="T46" fmla="*/ 113 w 201"/>
                  <a:gd name="T47" fmla="*/ 37 h 202"/>
                  <a:gd name="T48" fmla="*/ 117 w 201"/>
                  <a:gd name="T49" fmla="*/ 40 h 202"/>
                  <a:gd name="T50" fmla="*/ 121 w 201"/>
                  <a:gd name="T51" fmla="*/ 43 h 202"/>
                  <a:gd name="T52" fmla="*/ 125 w 201"/>
                  <a:gd name="T53" fmla="*/ 46 h 202"/>
                  <a:gd name="T54" fmla="*/ 128 w 201"/>
                  <a:gd name="T55" fmla="*/ 49 h 202"/>
                  <a:gd name="T56" fmla="*/ 132 w 201"/>
                  <a:gd name="T57" fmla="*/ 53 h 202"/>
                  <a:gd name="T58" fmla="*/ 136 w 201"/>
                  <a:gd name="T59" fmla="*/ 56 h 202"/>
                  <a:gd name="T60" fmla="*/ 140 w 201"/>
                  <a:gd name="T61" fmla="*/ 59 h 202"/>
                  <a:gd name="T62" fmla="*/ 144 w 201"/>
                  <a:gd name="T63" fmla="*/ 63 h 202"/>
                  <a:gd name="T64" fmla="*/ 147 w 201"/>
                  <a:gd name="T65" fmla="*/ 66 h 202"/>
                  <a:gd name="T66" fmla="*/ 150 w 201"/>
                  <a:gd name="T67" fmla="*/ 71 h 202"/>
                  <a:gd name="T68" fmla="*/ 153 w 201"/>
                  <a:gd name="T69" fmla="*/ 75 h 202"/>
                  <a:gd name="T70" fmla="*/ 156 w 201"/>
                  <a:gd name="T71" fmla="*/ 79 h 202"/>
                  <a:gd name="T72" fmla="*/ 159 w 201"/>
                  <a:gd name="T73" fmla="*/ 83 h 202"/>
                  <a:gd name="T74" fmla="*/ 162 w 201"/>
                  <a:gd name="T75" fmla="*/ 87 h 202"/>
                  <a:gd name="T76" fmla="*/ 165 w 201"/>
                  <a:gd name="T77" fmla="*/ 91 h 202"/>
                  <a:gd name="T78" fmla="*/ 169 w 201"/>
                  <a:gd name="T79" fmla="*/ 95 h 202"/>
                  <a:gd name="T80" fmla="*/ 171 w 201"/>
                  <a:gd name="T81" fmla="*/ 99 h 202"/>
                  <a:gd name="T82" fmla="*/ 174 w 201"/>
                  <a:gd name="T83" fmla="*/ 103 h 202"/>
                  <a:gd name="T84" fmla="*/ 176 w 201"/>
                  <a:gd name="T85" fmla="*/ 107 h 202"/>
                  <a:gd name="T86" fmla="*/ 178 w 201"/>
                  <a:gd name="T87" fmla="*/ 112 h 202"/>
                  <a:gd name="T88" fmla="*/ 181 w 201"/>
                  <a:gd name="T89" fmla="*/ 116 h 202"/>
                  <a:gd name="T90" fmla="*/ 183 w 201"/>
                  <a:gd name="T91" fmla="*/ 122 h 202"/>
                  <a:gd name="T92" fmla="*/ 185 w 201"/>
                  <a:gd name="T93" fmla="*/ 126 h 202"/>
                  <a:gd name="T94" fmla="*/ 186 w 201"/>
                  <a:gd name="T95" fmla="*/ 131 h 202"/>
                  <a:gd name="T96" fmla="*/ 188 w 201"/>
                  <a:gd name="T97" fmla="*/ 135 h 202"/>
                  <a:gd name="T98" fmla="*/ 190 w 201"/>
                  <a:gd name="T99" fmla="*/ 140 h 202"/>
                  <a:gd name="T100" fmla="*/ 191 w 201"/>
                  <a:gd name="T101" fmla="*/ 145 h 202"/>
                  <a:gd name="T102" fmla="*/ 194 w 201"/>
                  <a:gd name="T103" fmla="*/ 149 h 202"/>
                  <a:gd name="T104" fmla="*/ 195 w 201"/>
                  <a:gd name="T105" fmla="*/ 154 h 202"/>
                  <a:gd name="T106" fmla="*/ 196 w 201"/>
                  <a:gd name="T107" fmla="*/ 159 h 202"/>
                  <a:gd name="T108" fmla="*/ 197 w 201"/>
                  <a:gd name="T109" fmla="*/ 164 h 202"/>
                  <a:gd name="T110" fmla="*/ 198 w 201"/>
                  <a:gd name="T111" fmla="*/ 169 h 202"/>
                  <a:gd name="T112" fmla="*/ 199 w 201"/>
                  <a:gd name="T113" fmla="*/ 174 h 202"/>
                  <a:gd name="T114" fmla="*/ 199 w 201"/>
                  <a:gd name="T115" fmla="*/ 179 h 202"/>
                  <a:gd name="T116" fmla="*/ 200 w 201"/>
                  <a:gd name="T117" fmla="*/ 184 h 202"/>
                  <a:gd name="T118" fmla="*/ 200 w 201"/>
                  <a:gd name="T119" fmla="*/ 189 h 202"/>
                  <a:gd name="T120" fmla="*/ 201 w 201"/>
                  <a:gd name="T121" fmla="*/ 194 h 202"/>
                  <a:gd name="T122" fmla="*/ 201 w 201"/>
                  <a:gd name="T123" fmla="*/ 199 h 202"/>
                  <a:gd name="T124" fmla="*/ 201 w 201"/>
                  <a:gd name="T125" fmla="*/ 202 h 20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201" h="202">
                    <a:moveTo>
                      <a:pt x="0" y="0"/>
                    </a:moveTo>
                    <a:lnTo>
                      <a:pt x="3" y="0"/>
                    </a:lnTo>
                    <a:lnTo>
                      <a:pt x="6" y="0"/>
                    </a:lnTo>
                    <a:lnTo>
                      <a:pt x="8" y="1"/>
                    </a:lnTo>
                    <a:lnTo>
                      <a:pt x="11" y="1"/>
                    </a:lnTo>
                    <a:lnTo>
                      <a:pt x="13" y="1"/>
                    </a:lnTo>
                    <a:lnTo>
                      <a:pt x="16" y="1"/>
                    </a:lnTo>
                    <a:lnTo>
                      <a:pt x="18" y="1"/>
                    </a:lnTo>
                    <a:lnTo>
                      <a:pt x="21" y="2"/>
                    </a:lnTo>
                    <a:lnTo>
                      <a:pt x="23" y="2"/>
                    </a:lnTo>
                    <a:lnTo>
                      <a:pt x="25" y="2"/>
                    </a:lnTo>
                    <a:lnTo>
                      <a:pt x="29" y="3"/>
                    </a:lnTo>
                    <a:lnTo>
                      <a:pt x="31" y="3"/>
                    </a:lnTo>
                    <a:lnTo>
                      <a:pt x="34" y="4"/>
                    </a:lnTo>
                    <a:lnTo>
                      <a:pt x="36" y="4"/>
                    </a:lnTo>
                    <a:lnTo>
                      <a:pt x="38" y="5"/>
                    </a:lnTo>
                    <a:lnTo>
                      <a:pt x="41" y="5"/>
                    </a:lnTo>
                    <a:lnTo>
                      <a:pt x="43" y="6"/>
                    </a:lnTo>
                    <a:lnTo>
                      <a:pt x="46" y="7"/>
                    </a:lnTo>
                    <a:lnTo>
                      <a:pt x="48" y="7"/>
                    </a:lnTo>
                    <a:lnTo>
                      <a:pt x="50" y="8"/>
                    </a:lnTo>
                    <a:lnTo>
                      <a:pt x="53" y="9"/>
                    </a:lnTo>
                    <a:lnTo>
                      <a:pt x="55" y="9"/>
                    </a:lnTo>
                    <a:lnTo>
                      <a:pt x="58" y="10"/>
                    </a:lnTo>
                    <a:lnTo>
                      <a:pt x="61" y="11"/>
                    </a:lnTo>
                    <a:lnTo>
                      <a:pt x="63" y="12"/>
                    </a:lnTo>
                    <a:lnTo>
                      <a:pt x="65" y="12"/>
                    </a:lnTo>
                    <a:lnTo>
                      <a:pt x="68" y="13"/>
                    </a:lnTo>
                    <a:lnTo>
                      <a:pt x="70" y="14"/>
                    </a:lnTo>
                    <a:lnTo>
                      <a:pt x="72" y="15"/>
                    </a:lnTo>
                    <a:lnTo>
                      <a:pt x="74" y="16"/>
                    </a:lnTo>
                    <a:lnTo>
                      <a:pt x="77" y="17"/>
                    </a:lnTo>
                    <a:lnTo>
                      <a:pt x="79" y="18"/>
                    </a:lnTo>
                    <a:lnTo>
                      <a:pt x="81" y="19"/>
                    </a:lnTo>
                    <a:lnTo>
                      <a:pt x="84" y="20"/>
                    </a:lnTo>
                    <a:lnTo>
                      <a:pt x="87" y="21"/>
                    </a:lnTo>
                    <a:lnTo>
                      <a:pt x="89" y="23"/>
                    </a:lnTo>
                    <a:lnTo>
                      <a:pt x="91" y="24"/>
                    </a:lnTo>
                    <a:lnTo>
                      <a:pt x="93" y="26"/>
                    </a:lnTo>
                    <a:lnTo>
                      <a:pt x="95" y="27"/>
                    </a:lnTo>
                    <a:lnTo>
                      <a:pt x="97" y="28"/>
                    </a:lnTo>
                    <a:lnTo>
                      <a:pt x="99" y="29"/>
                    </a:lnTo>
                    <a:lnTo>
                      <a:pt x="102" y="31"/>
                    </a:lnTo>
                    <a:lnTo>
                      <a:pt x="104" y="32"/>
                    </a:lnTo>
                    <a:lnTo>
                      <a:pt x="106" y="33"/>
                    </a:lnTo>
                    <a:lnTo>
                      <a:pt x="108" y="34"/>
                    </a:lnTo>
                    <a:lnTo>
                      <a:pt x="110" y="36"/>
                    </a:lnTo>
                    <a:lnTo>
                      <a:pt x="113" y="37"/>
                    </a:lnTo>
                    <a:lnTo>
                      <a:pt x="115" y="39"/>
                    </a:lnTo>
                    <a:lnTo>
                      <a:pt x="117" y="40"/>
                    </a:lnTo>
                    <a:lnTo>
                      <a:pt x="119" y="42"/>
                    </a:lnTo>
                    <a:lnTo>
                      <a:pt x="121" y="43"/>
                    </a:lnTo>
                    <a:lnTo>
                      <a:pt x="123" y="45"/>
                    </a:lnTo>
                    <a:lnTo>
                      <a:pt x="125" y="46"/>
                    </a:lnTo>
                    <a:lnTo>
                      <a:pt x="126" y="48"/>
                    </a:lnTo>
                    <a:lnTo>
                      <a:pt x="128" y="49"/>
                    </a:lnTo>
                    <a:lnTo>
                      <a:pt x="130" y="51"/>
                    </a:lnTo>
                    <a:lnTo>
                      <a:pt x="132" y="53"/>
                    </a:lnTo>
                    <a:lnTo>
                      <a:pt x="134" y="54"/>
                    </a:lnTo>
                    <a:lnTo>
                      <a:pt x="136" y="56"/>
                    </a:lnTo>
                    <a:lnTo>
                      <a:pt x="137" y="58"/>
                    </a:lnTo>
                    <a:lnTo>
                      <a:pt x="140" y="59"/>
                    </a:lnTo>
                    <a:lnTo>
                      <a:pt x="142" y="61"/>
                    </a:lnTo>
                    <a:lnTo>
                      <a:pt x="144" y="63"/>
                    </a:lnTo>
                    <a:lnTo>
                      <a:pt x="145" y="65"/>
                    </a:lnTo>
                    <a:lnTo>
                      <a:pt x="147" y="66"/>
                    </a:lnTo>
                    <a:lnTo>
                      <a:pt x="149" y="68"/>
                    </a:lnTo>
                    <a:lnTo>
                      <a:pt x="150" y="71"/>
                    </a:lnTo>
                    <a:lnTo>
                      <a:pt x="152" y="73"/>
                    </a:lnTo>
                    <a:lnTo>
                      <a:pt x="153" y="75"/>
                    </a:lnTo>
                    <a:lnTo>
                      <a:pt x="155" y="77"/>
                    </a:lnTo>
                    <a:lnTo>
                      <a:pt x="156" y="79"/>
                    </a:lnTo>
                    <a:lnTo>
                      <a:pt x="158" y="81"/>
                    </a:lnTo>
                    <a:lnTo>
                      <a:pt x="159" y="83"/>
                    </a:lnTo>
                    <a:lnTo>
                      <a:pt x="161" y="85"/>
                    </a:lnTo>
                    <a:lnTo>
                      <a:pt x="162" y="87"/>
                    </a:lnTo>
                    <a:lnTo>
                      <a:pt x="164" y="89"/>
                    </a:lnTo>
                    <a:lnTo>
                      <a:pt x="165" y="91"/>
                    </a:lnTo>
                    <a:lnTo>
                      <a:pt x="167" y="93"/>
                    </a:lnTo>
                    <a:lnTo>
                      <a:pt x="169" y="95"/>
                    </a:lnTo>
                    <a:lnTo>
                      <a:pt x="170" y="97"/>
                    </a:lnTo>
                    <a:lnTo>
                      <a:pt x="171" y="99"/>
                    </a:lnTo>
                    <a:lnTo>
                      <a:pt x="173" y="101"/>
                    </a:lnTo>
                    <a:lnTo>
                      <a:pt x="174" y="103"/>
                    </a:lnTo>
                    <a:lnTo>
                      <a:pt x="175" y="105"/>
                    </a:lnTo>
                    <a:lnTo>
                      <a:pt x="176" y="107"/>
                    </a:lnTo>
                    <a:lnTo>
                      <a:pt x="177" y="110"/>
                    </a:lnTo>
                    <a:lnTo>
                      <a:pt x="178" y="112"/>
                    </a:lnTo>
                    <a:lnTo>
                      <a:pt x="180" y="114"/>
                    </a:lnTo>
                    <a:lnTo>
                      <a:pt x="181" y="116"/>
                    </a:lnTo>
                    <a:lnTo>
                      <a:pt x="182" y="119"/>
                    </a:lnTo>
                    <a:lnTo>
                      <a:pt x="183" y="122"/>
                    </a:lnTo>
                    <a:lnTo>
                      <a:pt x="184" y="124"/>
                    </a:lnTo>
                    <a:lnTo>
                      <a:pt x="185" y="126"/>
                    </a:lnTo>
                    <a:lnTo>
                      <a:pt x="186" y="128"/>
                    </a:lnTo>
                    <a:lnTo>
                      <a:pt x="186" y="131"/>
                    </a:lnTo>
                    <a:lnTo>
                      <a:pt x="187" y="133"/>
                    </a:lnTo>
                    <a:lnTo>
                      <a:pt x="188" y="135"/>
                    </a:lnTo>
                    <a:lnTo>
                      <a:pt x="189" y="138"/>
                    </a:lnTo>
                    <a:lnTo>
                      <a:pt x="190" y="140"/>
                    </a:lnTo>
                    <a:lnTo>
                      <a:pt x="191" y="142"/>
                    </a:lnTo>
                    <a:lnTo>
                      <a:pt x="191" y="145"/>
                    </a:lnTo>
                    <a:lnTo>
                      <a:pt x="192" y="147"/>
                    </a:lnTo>
                    <a:lnTo>
                      <a:pt x="194" y="149"/>
                    </a:lnTo>
                    <a:lnTo>
                      <a:pt x="194" y="152"/>
                    </a:lnTo>
                    <a:lnTo>
                      <a:pt x="195" y="154"/>
                    </a:lnTo>
                    <a:lnTo>
                      <a:pt x="195" y="156"/>
                    </a:lnTo>
                    <a:lnTo>
                      <a:pt x="196" y="159"/>
                    </a:lnTo>
                    <a:lnTo>
                      <a:pt x="197" y="161"/>
                    </a:lnTo>
                    <a:lnTo>
                      <a:pt x="197" y="164"/>
                    </a:lnTo>
                    <a:lnTo>
                      <a:pt x="198" y="167"/>
                    </a:lnTo>
                    <a:lnTo>
                      <a:pt x="198" y="169"/>
                    </a:lnTo>
                    <a:lnTo>
                      <a:pt x="198" y="172"/>
                    </a:lnTo>
                    <a:lnTo>
                      <a:pt x="199" y="174"/>
                    </a:lnTo>
                    <a:lnTo>
                      <a:pt x="199" y="177"/>
                    </a:lnTo>
                    <a:lnTo>
                      <a:pt x="199" y="179"/>
                    </a:lnTo>
                    <a:lnTo>
                      <a:pt x="200" y="182"/>
                    </a:lnTo>
                    <a:lnTo>
                      <a:pt x="200" y="184"/>
                    </a:lnTo>
                    <a:lnTo>
                      <a:pt x="200" y="186"/>
                    </a:lnTo>
                    <a:lnTo>
                      <a:pt x="200" y="189"/>
                    </a:lnTo>
                    <a:lnTo>
                      <a:pt x="201" y="191"/>
                    </a:lnTo>
                    <a:lnTo>
                      <a:pt x="201" y="194"/>
                    </a:lnTo>
                    <a:lnTo>
                      <a:pt x="201" y="196"/>
                    </a:lnTo>
                    <a:lnTo>
                      <a:pt x="201" y="199"/>
                    </a:lnTo>
                    <a:lnTo>
                      <a:pt x="201" y="201"/>
                    </a:lnTo>
                    <a:lnTo>
                      <a:pt x="201" y="202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82" name="Line 84">
                <a:extLst>
                  <a:ext uri="{FF2B5EF4-FFF2-40B4-BE49-F238E27FC236}">
                    <a16:creationId xmlns:a16="http://schemas.microsoft.com/office/drawing/2014/main" id="{F534C0B3-1D4D-457C-A4BD-A8361C03B22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rot="-5400000">
                <a:off x="664" y="642"/>
                <a:ext cx="0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3" name="Freeform 85">
                <a:extLst>
                  <a:ext uri="{FF2B5EF4-FFF2-40B4-BE49-F238E27FC236}">
                    <a16:creationId xmlns:a16="http://schemas.microsoft.com/office/drawing/2014/main" id="{0FE25669-1EE1-4631-B449-07196F500E76}"/>
                  </a:ext>
                </a:extLst>
              </xdr:cNvPr>
              <xdr:cNvSpPr>
                <a:spLocks/>
              </xdr:cNvSpPr>
            </xdr:nvSpPr>
            <xdr:spPr bwMode="auto">
              <a:xfrm rot="-5400000">
                <a:off x="662" y="642"/>
                <a:ext cx="8" cy="7"/>
              </a:xfrm>
              <a:custGeom>
                <a:avLst/>
                <a:gdLst>
                  <a:gd name="T0" fmla="*/ 208 w 208"/>
                  <a:gd name="T1" fmla="*/ 0 h 177"/>
                  <a:gd name="T2" fmla="*/ 104 w 208"/>
                  <a:gd name="T3" fmla="*/ 177 h 177"/>
                  <a:gd name="T4" fmla="*/ 0 w 208"/>
                  <a:gd name="T5" fmla="*/ 0 h 1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208" h="177">
                    <a:moveTo>
                      <a:pt x="208" y="0"/>
                    </a:moveTo>
                    <a:lnTo>
                      <a:pt x="104" y="177"/>
                    </a:lnTo>
                    <a:lnTo>
                      <a:pt x="0" y="0"/>
                    </a:lnTo>
                  </a:path>
                </a:pathLst>
              </a:custGeom>
              <a:noFill/>
              <a:ln w="6350" cap="flat" cmpd="sng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</xdr:grpSp>
    <xdr:clientData/>
  </xdr:twoCellAnchor>
  <xdr:oneCellAnchor>
    <xdr:from>
      <xdr:col>0</xdr:col>
      <xdr:colOff>38100</xdr:colOff>
      <xdr:row>12</xdr:row>
      <xdr:rowOff>28575</xdr:rowOff>
    </xdr:from>
    <xdr:ext cx="844265" cy="636516"/>
    <xdr:sp macro="" textlink="">
      <xdr:nvSpPr>
        <xdr:cNvPr id="88" name="Text Box 87">
          <a:extLst>
            <a:ext uri="{FF2B5EF4-FFF2-40B4-BE49-F238E27FC236}">
              <a16:creationId xmlns:a16="http://schemas.microsoft.com/office/drawing/2014/main" id="{383858B1-2A75-4D3D-A3BC-E0825DAB5B03}"/>
            </a:ext>
          </a:extLst>
        </xdr:cNvPr>
        <xdr:cNvSpPr txBox="1">
          <a:spLocks noChangeArrowheads="1"/>
        </xdr:cNvSpPr>
      </xdr:nvSpPr>
      <xdr:spPr bwMode="auto">
        <a:xfrm>
          <a:off x="38100" y="4076700"/>
          <a:ext cx="84426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4</xdr:col>
      <xdr:colOff>266700</xdr:colOff>
      <xdr:row>17</xdr:row>
      <xdr:rowOff>238125</xdr:rowOff>
    </xdr:from>
    <xdr:to>
      <xdr:col>7</xdr:col>
      <xdr:colOff>57150</xdr:colOff>
      <xdr:row>17</xdr:row>
      <xdr:rowOff>295275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55DB0116-9161-4AAC-8300-EA3894BEFD76}"/>
            </a:ext>
          </a:extLst>
        </xdr:cNvPr>
        <xdr:cNvGrpSpPr>
          <a:grpSpLocks/>
        </xdr:cNvGrpSpPr>
      </xdr:nvGrpSpPr>
      <xdr:grpSpPr bwMode="auto">
        <a:xfrm>
          <a:off x="1581150" y="5429250"/>
          <a:ext cx="733425" cy="57150"/>
          <a:chOff x="123" y="549"/>
          <a:chExt cx="77" cy="6"/>
        </a:xfrm>
      </xdr:grpSpPr>
      <xdr:sp macro="" textlink="">
        <xdr:nvSpPr>
          <xdr:cNvPr id="91" name="Line 90">
            <a:extLst>
              <a:ext uri="{FF2B5EF4-FFF2-40B4-BE49-F238E27FC236}">
                <a16:creationId xmlns:a16="http://schemas.microsoft.com/office/drawing/2014/main" id="{C1096A49-E83A-4913-BDE4-C7998121BD8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Freeform 91">
            <a:extLst>
              <a:ext uri="{FF2B5EF4-FFF2-40B4-BE49-F238E27FC236}">
                <a16:creationId xmlns:a16="http://schemas.microsoft.com/office/drawing/2014/main" id="{F5F84137-C2D7-43D4-8AE3-FDE9EC0B311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3" name="Freeform 92">
            <a:extLst>
              <a:ext uri="{FF2B5EF4-FFF2-40B4-BE49-F238E27FC236}">
                <a16:creationId xmlns:a16="http://schemas.microsoft.com/office/drawing/2014/main" id="{3C1D12B2-A95D-4B30-8B14-655CB93204C2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38100</xdr:colOff>
      <xdr:row>17</xdr:row>
      <xdr:rowOff>1219200</xdr:rowOff>
    </xdr:from>
    <xdr:to>
      <xdr:col>8</xdr:col>
      <xdr:colOff>152400</xdr:colOff>
      <xdr:row>17</xdr:row>
      <xdr:rowOff>1428750</xdr:rowOff>
    </xdr:to>
    <xdr:sp macro="" textlink="">
      <xdr:nvSpPr>
        <xdr:cNvPr id="94" name="Text Box 93">
          <a:extLst>
            <a:ext uri="{FF2B5EF4-FFF2-40B4-BE49-F238E27FC236}">
              <a16:creationId xmlns:a16="http://schemas.microsoft.com/office/drawing/2014/main" id="{92F20001-A9DB-45D4-AB0B-E9EAE17DFEC6}"/>
            </a:ext>
          </a:extLst>
        </xdr:cNvPr>
        <xdr:cNvSpPr txBox="1">
          <a:spLocks noChangeArrowheads="1"/>
        </xdr:cNvSpPr>
      </xdr:nvSpPr>
      <xdr:spPr bwMode="auto">
        <a:xfrm>
          <a:off x="1181100" y="6410325"/>
          <a:ext cx="15430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　）</a:t>
          </a:r>
        </a:p>
      </xdr:txBody>
    </xdr:sp>
    <xdr:clientData/>
  </xdr:twoCellAnchor>
  <xdr:twoCellAnchor>
    <xdr:from>
      <xdr:col>4</xdr:col>
      <xdr:colOff>266700</xdr:colOff>
      <xdr:row>17</xdr:row>
      <xdr:rowOff>1276350</xdr:rowOff>
    </xdr:from>
    <xdr:to>
      <xdr:col>7</xdr:col>
      <xdr:colOff>57150</xdr:colOff>
      <xdr:row>17</xdr:row>
      <xdr:rowOff>1333500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15E7DE91-ED16-4CBE-B731-AFD0E532FB3A}"/>
            </a:ext>
          </a:extLst>
        </xdr:cNvPr>
        <xdr:cNvGrpSpPr>
          <a:grpSpLocks/>
        </xdr:cNvGrpSpPr>
      </xdr:nvGrpSpPr>
      <xdr:grpSpPr bwMode="auto">
        <a:xfrm>
          <a:off x="1581150" y="6467475"/>
          <a:ext cx="733425" cy="57150"/>
          <a:chOff x="123" y="549"/>
          <a:chExt cx="77" cy="6"/>
        </a:xfrm>
      </xdr:grpSpPr>
      <xdr:sp macro="" textlink="">
        <xdr:nvSpPr>
          <xdr:cNvPr id="96" name="Line 95">
            <a:extLst>
              <a:ext uri="{FF2B5EF4-FFF2-40B4-BE49-F238E27FC236}">
                <a16:creationId xmlns:a16="http://schemas.microsoft.com/office/drawing/2014/main" id="{22464240-F8BB-4E45-B66C-E06A0414352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Freeform 96">
            <a:extLst>
              <a:ext uri="{FF2B5EF4-FFF2-40B4-BE49-F238E27FC236}">
                <a16:creationId xmlns:a16="http://schemas.microsoft.com/office/drawing/2014/main" id="{E56FD880-C1C1-4A95-8E17-569CA35D048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B3883B2A-13F3-476F-AC4E-FF7D2971D3E7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12</xdr:col>
      <xdr:colOff>152400</xdr:colOff>
      <xdr:row>17</xdr:row>
      <xdr:rowOff>161925</xdr:rowOff>
    </xdr:from>
    <xdr:ext cx="361244" cy="150041"/>
    <xdr:sp macro="" textlink="">
      <xdr:nvSpPr>
        <xdr:cNvPr id="101" name="Text Box 100">
          <a:extLst>
            <a:ext uri="{FF2B5EF4-FFF2-40B4-BE49-F238E27FC236}">
              <a16:creationId xmlns:a16="http://schemas.microsoft.com/office/drawing/2014/main" id="{52C556FC-CD15-4EAE-9BE6-BC2D5ED6894F}"/>
            </a:ext>
          </a:extLst>
        </xdr:cNvPr>
        <xdr:cNvSpPr txBox="1">
          <a:spLocks noChangeArrowheads="1"/>
        </xdr:cNvSpPr>
      </xdr:nvSpPr>
      <xdr:spPr bwMode="auto">
        <a:xfrm>
          <a:off x="3981450" y="53530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95250</xdr:colOff>
      <xdr:row>17</xdr:row>
      <xdr:rowOff>1400175</xdr:rowOff>
    </xdr:from>
    <xdr:ext cx="534368" cy="150041"/>
    <xdr:sp macro="" textlink="">
      <xdr:nvSpPr>
        <xdr:cNvPr id="102" name="Text Box 101">
          <a:extLst>
            <a:ext uri="{FF2B5EF4-FFF2-40B4-BE49-F238E27FC236}">
              <a16:creationId xmlns:a16="http://schemas.microsoft.com/office/drawing/2014/main" id="{C9F4ED4B-6922-4315-A8DD-35DCCCA2A6A2}"/>
            </a:ext>
          </a:extLst>
        </xdr:cNvPr>
        <xdr:cNvSpPr txBox="1">
          <a:spLocks noChangeArrowheads="1"/>
        </xdr:cNvSpPr>
      </xdr:nvSpPr>
      <xdr:spPr bwMode="auto">
        <a:xfrm>
          <a:off x="2352675" y="6591300"/>
          <a:ext cx="534368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9</xdr:col>
      <xdr:colOff>142875</xdr:colOff>
      <xdr:row>17</xdr:row>
      <xdr:rowOff>161925</xdr:rowOff>
    </xdr:from>
    <xdr:ext cx="361244" cy="150041"/>
    <xdr:sp macro="" textlink="">
      <xdr:nvSpPr>
        <xdr:cNvPr id="103" name="Text Box 102">
          <a:extLst>
            <a:ext uri="{FF2B5EF4-FFF2-40B4-BE49-F238E27FC236}">
              <a16:creationId xmlns:a16="http://schemas.microsoft.com/office/drawing/2014/main" id="{104490C2-6FF3-4264-B7BE-BBF150B1800F}"/>
            </a:ext>
          </a:extLst>
        </xdr:cNvPr>
        <xdr:cNvSpPr txBox="1">
          <a:spLocks noChangeArrowheads="1"/>
        </xdr:cNvSpPr>
      </xdr:nvSpPr>
      <xdr:spPr bwMode="auto">
        <a:xfrm>
          <a:off x="3028950" y="53530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95250</xdr:colOff>
      <xdr:row>17</xdr:row>
      <xdr:rowOff>38100</xdr:rowOff>
    </xdr:from>
    <xdr:ext cx="361244" cy="150041"/>
    <xdr:sp macro="" textlink="">
      <xdr:nvSpPr>
        <xdr:cNvPr id="104" name="Text Box 103">
          <a:extLst>
            <a:ext uri="{FF2B5EF4-FFF2-40B4-BE49-F238E27FC236}">
              <a16:creationId xmlns:a16="http://schemas.microsoft.com/office/drawing/2014/main" id="{F5C3B08F-78DA-453F-9D93-321F8FEFD16C}"/>
            </a:ext>
          </a:extLst>
        </xdr:cNvPr>
        <xdr:cNvSpPr txBox="1">
          <a:spLocks noChangeArrowheads="1"/>
        </xdr:cNvSpPr>
      </xdr:nvSpPr>
      <xdr:spPr bwMode="auto">
        <a:xfrm>
          <a:off x="2360776" y="5210086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12</xdr:col>
      <xdr:colOff>142875</xdr:colOff>
      <xdr:row>17</xdr:row>
      <xdr:rowOff>1209675</xdr:rowOff>
    </xdr:from>
    <xdr:ext cx="361244" cy="150041"/>
    <xdr:sp macro="" textlink="">
      <xdr:nvSpPr>
        <xdr:cNvPr id="105" name="Text Box 104">
          <a:extLst>
            <a:ext uri="{FF2B5EF4-FFF2-40B4-BE49-F238E27FC236}">
              <a16:creationId xmlns:a16="http://schemas.microsoft.com/office/drawing/2014/main" id="{F556A2DC-E9DF-4C90-840B-F42DA156DF9B}"/>
            </a:ext>
          </a:extLst>
        </xdr:cNvPr>
        <xdr:cNvSpPr txBox="1">
          <a:spLocks noChangeArrowheads="1"/>
        </xdr:cNvSpPr>
      </xdr:nvSpPr>
      <xdr:spPr bwMode="auto">
        <a:xfrm>
          <a:off x="3971925" y="64008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16.7m</a:t>
          </a:r>
        </a:p>
      </xdr:txBody>
    </xdr:sp>
    <xdr:clientData/>
  </xdr:oneCellAnchor>
  <xdr:oneCellAnchor>
    <xdr:from>
      <xdr:col>5</xdr:col>
      <xdr:colOff>142875</xdr:colOff>
      <xdr:row>17</xdr:row>
      <xdr:rowOff>1371600</xdr:rowOff>
    </xdr:from>
    <xdr:ext cx="361244" cy="150041"/>
    <xdr:sp macro="" textlink="">
      <xdr:nvSpPr>
        <xdr:cNvPr id="106" name="Text Box 105">
          <a:extLst>
            <a:ext uri="{FF2B5EF4-FFF2-40B4-BE49-F238E27FC236}">
              <a16:creationId xmlns:a16="http://schemas.microsoft.com/office/drawing/2014/main" id="{31EFCDB3-5A43-4A47-A9CB-083301BC27D4}"/>
            </a:ext>
          </a:extLst>
        </xdr:cNvPr>
        <xdr:cNvSpPr txBox="1">
          <a:spLocks noChangeArrowheads="1"/>
        </xdr:cNvSpPr>
      </xdr:nvSpPr>
      <xdr:spPr bwMode="auto">
        <a:xfrm>
          <a:off x="1771650" y="65627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10.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11</xdr:col>
      <xdr:colOff>85725</xdr:colOff>
      <xdr:row>9</xdr:row>
      <xdr:rowOff>666750</xdr:rowOff>
    </xdr:from>
    <xdr:to>
      <xdr:col>12</xdr:col>
      <xdr:colOff>257175</xdr:colOff>
      <xdr:row>9</xdr:row>
      <xdr:rowOff>1057275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FE53AE60-426E-438F-A30D-8A5918C2A37A}"/>
            </a:ext>
          </a:extLst>
        </xdr:cNvPr>
        <xdr:cNvSpPr>
          <a:spLocks noChangeArrowheads="1"/>
        </xdr:cNvSpPr>
      </xdr:nvSpPr>
      <xdr:spPr bwMode="auto">
        <a:xfrm>
          <a:off x="3162300" y="2305050"/>
          <a:ext cx="485775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28575</xdr:colOff>
      <xdr:row>9</xdr:row>
      <xdr:rowOff>952500</xdr:rowOff>
    </xdr:from>
    <xdr:to>
      <xdr:col>14</xdr:col>
      <xdr:colOff>200025</xdr:colOff>
      <xdr:row>9</xdr:row>
      <xdr:rowOff>1343025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54E157C3-18E6-4F0F-B407-1ACBBFE3FEAB}"/>
            </a:ext>
          </a:extLst>
        </xdr:cNvPr>
        <xdr:cNvSpPr>
          <a:spLocks noChangeArrowheads="1"/>
        </xdr:cNvSpPr>
      </xdr:nvSpPr>
      <xdr:spPr bwMode="auto">
        <a:xfrm>
          <a:off x="3733800" y="2590800"/>
          <a:ext cx="485775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142875</xdr:colOff>
      <xdr:row>17</xdr:row>
      <xdr:rowOff>66675</xdr:rowOff>
    </xdr:from>
    <xdr:ext cx="361244" cy="150041"/>
    <xdr:sp macro="" textlink="">
      <xdr:nvSpPr>
        <xdr:cNvPr id="110" name="Text Box 109">
          <a:extLst>
            <a:ext uri="{FF2B5EF4-FFF2-40B4-BE49-F238E27FC236}">
              <a16:creationId xmlns:a16="http://schemas.microsoft.com/office/drawing/2014/main" id="{3F2E3170-2B0E-483A-9A81-0B2408F3D276}"/>
            </a:ext>
          </a:extLst>
        </xdr:cNvPr>
        <xdr:cNvSpPr txBox="1">
          <a:spLocks noChangeArrowheads="1"/>
        </xdr:cNvSpPr>
      </xdr:nvSpPr>
      <xdr:spPr bwMode="auto">
        <a:xfrm>
          <a:off x="1771650" y="52578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 editAs="oneCell">
    <xdr:from>
      <xdr:col>14</xdr:col>
      <xdr:colOff>85725</xdr:colOff>
      <xdr:row>4</xdr:row>
      <xdr:rowOff>152400</xdr:rowOff>
    </xdr:from>
    <xdr:to>
      <xdr:col>15</xdr:col>
      <xdr:colOff>58652</xdr:colOff>
      <xdr:row>5</xdr:row>
      <xdr:rowOff>211800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A85148CA-3FCE-47B2-AED4-C8F0778D3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3425" y="7239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12</xdr:row>
      <xdr:rowOff>200025</xdr:rowOff>
    </xdr:from>
    <xdr:to>
      <xdr:col>16</xdr:col>
      <xdr:colOff>20552</xdr:colOff>
      <xdr:row>14</xdr:row>
      <xdr:rowOff>30825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7FFCDC84-9C45-4B25-BA99-8DC866982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9650" y="42481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19</xdr:col>
      <xdr:colOff>228600</xdr:colOff>
      <xdr:row>9</xdr:row>
      <xdr:rowOff>1009650</xdr:rowOff>
    </xdr:from>
    <xdr:to>
      <xdr:col>20</xdr:col>
      <xdr:colOff>201527</xdr:colOff>
      <xdr:row>9</xdr:row>
      <xdr:rowOff>1297650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D260A075-7E9A-4FA4-B1DC-2CD36EB99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7925" y="27241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9</xdr:row>
      <xdr:rowOff>533400</xdr:rowOff>
    </xdr:from>
    <xdr:to>
      <xdr:col>4</xdr:col>
      <xdr:colOff>258677</xdr:colOff>
      <xdr:row>9</xdr:row>
      <xdr:rowOff>821400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8BF86FCF-1A6E-4036-B270-4FB38751A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5875" y="2247900"/>
          <a:ext cx="287252" cy="288000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9</xdr:row>
      <xdr:rowOff>581025</xdr:rowOff>
    </xdr:from>
    <xdr:to>
      <xdr:col>16</xdr:col>
      <xdr:colOff>104777</xdr:colOff>
      <xdr:row>9</xdr:row>
      <xdr:rowOff>590550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71D4DCC1-D85C-465A-81B4-36BDC9E76BD0}"/>
            </a:ext>
          </a:extLst>
        </xdr:cNvPr>
        <xdr:cNvCxnSpPr/>
      </xdr:nvCxnSpPr>
      <xdr:spPr>
        <a:xfrm flipH="1">
          <a:off x="2733675" y="2295525"/>
          <a:ext cx="2457452" cy="95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19050</xdr:colOff>
      <xdr:row>9</xdr:row>
      <xdr:rowOff>619125</xdr:rowOff>
    </xdr:from>
    <xdr:ext cx="436521" cy="250453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D37BDA3D-CFEC-4767-93BA-6B9935A06384}"/>
            </a:ext>
          </a:extLst>
        </xdr:cNvPr>
        <xdr:cNvSpPr txBox="1"/>
      </xdr:nvSpPr>
      <xdr:spPr>
        <a:xfrm>
          <a:off x="4476750" y="2333625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33.5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10</xdr:col>
      <xdr:colOff>142875</xdr:colOff>
      <xdr:row>9</xdr:row>
      <xdr:rowOff>1076325</xdr:rowOff>
    </xdr:from>
    <xdr:ext cx="436521" cy="250453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186564FB-C57C-4AE3-B791-840AC25554EF}"/>
            </a:ext>
          </a:extLst>
        </xdr:cNvPr>
        <xdr:cNvSpPr txBox="1"/>
      </xdr:nvSpPr>
      <xdr:spPr>
        <a:xfrm>
          <a:off x="3343275" y="2790825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35.8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9</xdr:col>
      <xdr:colOff>142875</xdr:colOff>
      <xdr:row>17</xdr:row>
      <xdr:rowOff>1219200</xdr:rowOff>
    </xdr:from>
    <xdr:ext cx="361244" cy="150041"/>
    <xdr:sp macro="" textlink="">
      <xdr:nvSpPr>
        <xdr:cNvPr id="128" name="Text Box 104">
          <a:extLst>
            <a:ext uri="{FF2B5EF4-FFF2-40B4-BE49-F238E27FC236}">
              <a16:creationId xmlns:a16="http://schemas.microsoft.com/office/drawing/2014/main" id="{9D8507A9-0EF3-4072-85D6-03779251D28D}"/>
            </a:ext>
          </a:extLst>
        </xdr:cNvPr>
        <xdr:cNvSpPr txBox="1">
          <a:spLocks noChangeArrowheads="1"/>
        </xdr:cNvSpPr>
      </xdr:nvSpPr>
      <xdr:spPr bwMode="auto">
        <a:xfrm>
          <a:off x="3028950" y="64103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10</xdr:col>
      <xdr:colOff>291377</xdr:colOff>
      <xdr:row>9</xdr:row>
      <xdr:rowOff>54403</xdr:rowOff>
    </xdr:from>
    <xdr:to>
      <xdr:col>14</xdr:col>
      <xdr:colOff>232348</xdr:colOff>
      <xdr:row>12</xdr:row>
      <xdr:rowOff>176113</xdr:rowOff>
    </xdr:to>
    <xdr:sp macro="" textlink="">
      <xdr:nvSpPr>
        <xdr:cNvPr id="136" name="フリーフォーム: 図形 135">
          <a:extLst>
            <a:ext uri="{FF2B5EF4-FFF2-40B4-BE49-F238E27FC236}">
              <a16:creationId xmlns:a16="http://schemas.microsoft.com/office/drawing/2014/main" id="{CC37B469-D7E5-4E02-A23F-20D18E24D047}"/>
            </a:ext>
          </a:extLst>
        </xdr:cNvPr>
        <xdr:cNvSpPr/>
      </xdr:nvSpPr>
      <xdr:spPr>
        <a:xfrm rot="16544827" flipH="1">
          <a:off x="2863245" y="2397435"/>
          <a:ext cx="2455335" cy="1198271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953754 w 2953754"/>
            <a:gd name="connsiteY0" fmla="*/ 25707109 h 25707101"/>
            <a:gd name="connsiteX1" fmla="*/ 0 w 2953754"/>
            <a:gd name="connsiteY1" fmla="*/ 8 h 25707101"/>
            <a:gd name="connsiteX0" fmla="*/ 2953754 w 2953754"/>
            <a:gd name="connsiteY0" fmla="*/ 25925997 h 25925989"/>
            <a:gd name="connsiteX1" fmla="*/ 0 w 2953754"/>
            <a:gd name="connsiteY1" fmla="*/ 218896 h 25925989"/>
            <a:gd name="connsiteX0" fmla="*/ 2953754 w 2953754"/>
            <a:gd name="connsiteY0" fmla="*/ 26265613 h 26265605"/>
            <a:gd name="connsiteX1" fmla="*/ 0 w 2953754"/>
            <a:gd name="connsiteY1" fmla="*/ 558512 h 26265605"/>
            <a:gd name="connsiteX0" fmla="*/ 2953754 w 2953754"/>
            <a:gd name="connsiteY0" fmla="*/ 27315897 h 27315889"/>
            <a:gd name="connsiteX1" fmla="*/ 0 w 2953754"/>
            <a:gd name="connsiteY1" fmla="*/ 1608796 h 273158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953754" h="27315889">
              <a:moveTo>
                <a:pt x="2953754" y="27315897"/>
              </a:moveTo>
              <a:cubicBezTo>
                <a:pt x="1068741" y="4906609"/>
                <a:pt x="684847" y="-3936471"/>
                <a:pt x="0" y="1608796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9DB26542-5668-4AC7-9ED9-3177D692D8B7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C7AAE5D-A353-45F5-B86E-10C7A4EF6116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7" name="Freeform 3">
          <a:extLst>
            <a:ext uri="{FF2B5EF4-FFF2-40B4-BE49-F238E27FC236}">
              <a16:creationId xmlns:a16="http://schemas.microsoft.com/office/drawing/2014/main" id="{3158B49E-5428-4335-8BCA-FF3280410B37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48A20C52-3DBF-437E-964D-9FAC768E638E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A20DE1A0-D456-40AA-9E92-85802E78588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DA2386FC-2769-4BB3-A2B9-A9AF10FD61A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C1CE408F-560E-4B0F-AA4E-46E05187574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6A8DA039-0DAE-4053-A4AE-3B67EA519CC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6546625E-82D9-4ED0-AC69-3EE4AEA98EDC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3DFA1D6E-7A15-4EE1-8D73-076F1758426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253C3143-2E29-4A14-AA6A-F3932E3E638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28575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B8F42F78-D624-4055-9E2A-4D82F8DD105C}"/>
            </a:ext>
          </a:extLst>
        </xdr:cNvPr>
        <xdr:cNvSpPr>
          <a:spLocks noChangeShapeType="1"/>
        </xdr:cNvSpPr>
      </xdr:nvSpPr>
      <xdr:spPr bwMode="auto">
        <a:xfrm>
          <a:off x="904875" y="7048500"/>
          <a:ext cx="9144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873F3E80-5445-42EA-B093-B554114815FD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F8161DE6-4BBB-4FF8-8477-C6F1FA37DB8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AF71691E-6375-4C21-BE28-2396B6CA4BB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40" name="Freeform 16">
          <a:extLst>
            <a:ext uri="{FF2B5EF4-FFF2-40B4-BE49-F238E27FC236}">
              <a16:creationId xmlns:a16="http://schemas.microsoft.com/office/drawing/2014/main" id="{95075B23-7E05-4711-9D3F-288A042760C2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F4682399-4E78-4239-907A-8734E17EB7FD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BDF96E8D-B147-4B51-A059-23C63B14BB2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08E60F93-F065-47A5-B95D-AB09F52B3EF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1FF22A64-B95D-4820-9E55-946FFC31F89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0C29761B-6AFF-401F-AE16-1B66979F780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EA91746D-225E-4243-8527-62B2806E7955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8B9BA409-23DC-4226-9321-5BBD24E1C97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94D6EC0E-E1DC-439E-BB9C-B0B79A57179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F7704EEA-EAB1-4229-8660-5CEC8F00F529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1932A48B-6F5B-4D99-BF73-B3D253F857A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B8E23AF7-EA24-48C5-B26E-FB8EAE9DD3B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052" name="Group 28">
          <a:extLst>
            <a:ext uri="{FF2B5EF4-FFF2-40B4-BE49-F238E27FC236}">
              <a16:creationId xmlns:a16="http://schemas.microsoft.com/office/drawing/2014/main" id="{B988D5E3-436A-43FB-93CE-379654EC4FC3}"/>
            </a:ext>
          </a:extLst>
        </xdr:cNvPr>
        <xdr:cNvGrpSpPr>
          <a:grpSpLocks/>
        </xdr:cNvGrpSpPr>
      </xdr:nvGrpSpPr>
      <xdr:grpSpPr bwMode="auto">
        <a:xfrm>
          <a:off x="885825" y="7248525"/>
          <a:ext cx="1562100" cy="47625"/>
          <a:chOff x="158" y="715"/>
          <a:chExt cx="33" cy="5"/>
        </a:xfrm>
      </xdr:grpSpPr>
      <xdr:sp macro="" textlink="">
        <xdr:nvSpPr>
          <xdr:cNvPr id="1053" name="Line 29">
            <a:extLst>
              <a:ext uri="{FF2B5EF4-FFF2-40B4-BE49-F238E27FC236}">
                <a16:creationId xmlns:a16="http://schemas.microsoft.com/office/drawing/2014/main" id="{17AED122-A0B8-4CA8-9462-6A1BFB8F463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9DA3284B-05F7-41FF-9BFE-AA1444E0689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594EA121-24CD-4BA3-82BD-06BC692F9F48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3C79A007-C5C4-4241-B6E5-099B3B39A972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057" name="Group 33">
          <a:extLst>
            <a:ext uri="{FF2B5EF4-FFF2-40B4-BE49-F238E27FC236}">
              <a16:creationId xmlns:a16="http://schemas.microsoft.com/office/drawing/2014/main" id="{90F37925-8807-46FA-82EC-7ED3DF7EF039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id="{1D1F694B-19A3-48BC-8105-7EB581E1A5C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Line 35">
            <a:extLst>
              <a:ext uri="{FF2B5EF4-FFF2-40B4-BE49-F238E27FC236}">
                <a16:creationId xmlns:a16="http://schemas.microsoft.com/office/drawing/2014/main" id="{7C510959-7F77-4B6F-B100-55F98580185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161925</xdr:colOff>
      <xdr:row>15</xdr:row>
      <xdr:rowOff>495300</xdr:rowOff>
    </xdr:from>
    <xdr:to>
      <xdr:col>7</xdr:col>
      <xdr:colOff>219075</xdr:colOff>
      <xdr:row>15</xdr:row>
      <xdr:rowOff>800100</xdr:rowOff>
    </xdr:to>
    <xdr:grpSp>
      <xdr:nvGrpSpPr>
        <xdr:cNvPr id="1060" name="Group 36">
          <a:extLst>
            <a:ext uri="{FF2B5EF4-FFF2-40B4-BE49-F238E27FC236}">
              <a16:creationId xmlns:a16="http://schemas.microsoft.com/office/drawing/2014/main" id="{6A188152-6244-41E2-BC67-E423709D5D25}"/>
            </a:ext>
          </a:extLst>
        </xdr:cNvPr>
        <xdr:cNvGrpSpPr>
          <a:grpSpLocks/>
        </xdr:cNvGrpSpPr>
      </xdr:nvGrpSpPr>
      <xdr:grpSpPr bwMode="auto">
        <a:xfrm>
          <a:off x="1038225" y="5610225"/>
          <a:ext cx="1000125" cy="304800"/>
          <a:chOff x="110" y="567"/>
          <a:chExt cx="105" cy="32"/>
        </a:xfrm>
      </xdr:grpSpPr>
      <xdr:sp macro="" textlink="">
        <xdr:nvSpPr>
          <xdr:cNvPr id="1061" name="Line 37">
            <a:extLst>
              <a:ext uri="{FF2B5EF4-FFF2-40B4-BE49-F238E27FC236}">
                <a16:creationId xmlns:a16="http://schemas.microsoft.com/office/drawing/2014/main" id="{2C3FA66F-FC41-450E-8F8D-A20309E8ED6F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2" name="Freeform 38">
            <a:extLst>
              <a:ext uri="{FF2B5EF4-FFF2-40B4-BE49-F238E27FC236}">
                <a16:creationId xmlns:a16="http://schemas.microsoft.com/office/drawing/2014/main" id="{794DE606-A915-4985-86D0-578E30207534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3" name="Freeform 39">
            <a:extLst>
              <a:ext uri="{FF2B5EF4-FFF2-40B4-BE49-F238E27FC236}">
                <a16:creationId xmlns:a16="http://schemas.microsoft.com/office/drawing/2014/main" id="{43BB65FE-FE3A-445F-89A0-8AE41D77B564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4" name="Line 40">
            <a:extLst>
              <a:ext uri="{FF2B5EF4-FFF2-40B4-BE49-F238E27FC236}">
                <a16:creationId xmlns:a16="http://schemas.microsoft.com/office/drawing/2014/main" id="{F55242C3-E191-4C8F-A415-A9D85D42F994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39A735B6-2A92-42CF-A109-F14F4CE5A188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6" name="Freeform 42">
            <a:extLst>
              <a:ext uri="{FF2B5EF4-FFF2-40B4-BE49-F238E27FC236}">
                <a16:creationId xmlns:a16="http://schemas.microsoft.com/office/drawing/2014/main" id="{20699E26-6171-4F91-8AF4-1A1544A32D88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7" name="Line 43">
            <a:extLst>
              <a:ext uri="{FF2B5EF4-FFF2-40B4-BE49-F238E27FC236}">
                <a16:creationId xmlns:a16="http://schemas.microsoft.com/office/drawing/2014/main" id="{4F541C6B-183C-4A7D-A73B-143A947A77F2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Freeform 44">
            <a:extLst>
              <a:ext uri="{FF2B5EF4-FFF2-40B4-BE49-F238E27FC236}">
                <a16:creationId xmlns:a16="http://schemas.microsoft.com/office/drawing/2014/main" id="{9DDA24D8-8DC5-4986-9E60-F2BB95C155A3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857250</xdr:rowOff>
    </xdr:from>
    <xdr:to>
      <xdr:col>7</xdr:col>
      <xdr:colOff>219075</xdr:colOff>
      <xdr:row>15</xdr:row>
      <xdr:rowOff>1162050</xdr:rowOff>
    </xdr:to>
    <xdr:grpSp>
      <xdr:nvGrpSpPr>
        <xdr:cNvPr id="1069" name="Group 45">
          <a:extLst>
            <a:ext uri="{FF2B5EF4-FFF2-40B4-BE49-F238E27FC236}">
              <a16:creationId xmlns:a16="http://schemas.microsoft.com/office/drawing/2014/main" id="{A9C35DDE-4BC4-4B37-B582-BF213F9EA38C}"/>
            </a:ext>
          </a:extLst>
        </xdr:cNvPr>
        <xdr:cNvGrpSpPr>
          <a:grpSpLocks/>
        </xdr:cNvGrpSpPr>
      </xdr:nvGrpSpPr>
      <xdr:grpSpPr bwMode="auto">
        <a:xfrm>
          <a:off x="1028700" y="5972175"/>
          <a:ext cx="1009650" cy="304800"/>
          <a:chOff x="105" y="627"/>
          <a:chExt cx="106" cy="32"/>
        </a:xfrm>
      </xdr:grpSpPr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B8E4184C-D24E-4E92-90F3-A8AE8DB90154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1" name="Freeform 47">
            <a:extLst>
              <a:ext uri="{FF2B5EF4-FFF2-40B4-BE49-F238E27FC236}">
                <a16:creationId xmlns:a16="http://schemas.microsoft.com/office/drawing/2014/main" id="{CF463A8F-CDAD-4CD2-8DBF-D2E4A8FE327B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" name="Freeform 48">
            <a:extLst>
              <a:ext uri="{FF2B5EF4-FFF2-40B4-BE49-F238E27FC236}">
                <a16:creationId xmlns:a16="http://schemas.microsoft.com/office/drawing/2014/main" id="{EDB4E03A-EEE5-472C-A3A7-5CFCBC3138DF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" name="Line 49">
            <a:extLst>
              <a:ext uri="{FF2B5EF4-FFF2-40B4-BE49-F238E27FC236}">
                <a16:creationId xmlns:a16="http://schemas.microsoft.com/office/drawing/2014/main" id="{391D7339-D7B5-433E-8FE4-474875A1469A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4" name="Freeform 50">
            <a:extLst>
              <a:ext uri="{FF2B5EF4-FFF2-40B4-BE49-F238E27FC236}">
                <a16:creationId xmlns:a16="http://schemas.microsoft.com/office/drawing/2014/main" id="{3808290D-8FBA-4076-AB01-C3C4BB1F49B1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5" name="Freeform 51">
            <a:extLst>
              <a:ext uri="{FF2B5EF4-FFF2-40B4-BE49-F238E27FC236}">
                <a16:creationId xmlns:a16="http://schemas.microsoft.com/office/drawing/2014/main" id="{1521F9D4-5BE2-4696-9E86-A31D8F744C1F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5ED58A6B-1FDC-4231-BC17-D0034C2550DF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Freeform 53">
            <a:extLst>
              <a:ext uri="{FF2B5EF4-FFF2-40B4-BE49-F238E27FC236}">
                <a16:creationId xmlns:a16="http://schemas.microsoft.com/office/drawing/2014/main" id="{26B4E44A-78C2-4CCA-BCDE-2D8924263895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390525</xdr:rowOff>
    </xdr:from>
    <xdr:to>
      <xdr:col>13</xdr:col>
      <xdr:colOff>38100</xdr:colOff>
      <xdr:row>15</xdr:row>
      <xdr:rowOff>1123950</xdr:rowOff>
    </xdr:to>
    <xdr:grpSp>
      <xdr:nvGrpSpPr>
        <xdr:cNvPr id="1078" name="Group 54">
          <a:extLst>
            <a:ext uri="{FF2B5EF4-FFF2-40B4-BE49-F238E27FC236}">
              <a16:creationId xmlns:a16="http://schemas.microsoft.com/office/drawing/2014/main" id="{48645EA9-5293-4ED8-8301-C4C92F98AFA7}"/>
            </a:ext>
          </a:extLst>
        </xdr:cNvPr>
        <xdr:cNvGrpSpPr>
          <a:grpSpLocks/>
        </xdr:cNvGrpSpPr>
      </xdr:nvGrpSpPr>
      <xdr:grpSpPr bwMode="auto">
        <a:xfrm rot="5400000">
          <a:off x="3348037" y="5843588"/>
          <a:ext cx="733425" cy="57150"/>
          <a:chOff x="123" y="549"/>
          <a:chExt cx="77" cy="6"/>
        </a:xfrm>
      </xdr:grpSpPr>
      <xdr:sp macro="" textlink="">
        <xdr:nvSpPr>
          <xdr:cNvPr id="1079" name="Line 55">
            <a:extLst>
              <a:ext uri="{FF2B5EF4-FFF2-40B4-BE49-F238E27FC236}">
                <a16:creationId xmlns:a16="http://schemas.microsoft.com/office/drawing/2014/main" id="{DCA2B2A7-A63F-4EB2-80E6-FDEFDBEF668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0" name="Freeform 56">
            <a:extLst>
              <a:ext uri="{FF2B5EF4-FFF2-40B4-BE49-F238E27FC236}">
                <a16:creationId xmlns:a16="http://schemas.microsoft.com/office/drawing/2014/main" id="{F91D23DF-262E-4DFE-B931-0B27637B46C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1" name="Freeform 57">
            <a:extLst>
              <a:ext uri="{FF2B5EF4-FFF2-40B4-BE49-F238E27FC236}">
                <a16:creationId xmlns:a16="http://schemas.microsoft.com/office/drawing/2014/main" id="{19F6D26C-1CF6-4F35-811B-F026E66B5D2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390525</xdr:rowOff>
    </xdr:from>
    <xdr:to>
      <xdr:col>10</xdr:col>
      <xdr:colOff>38100</xdr:colOff>
      <xdr:row>15</xdr:row>
      <xdr:rowOff>1123950</xdr:rowOff>
    </xdr:to>
    <xdr:grpSp>
      <xdr:nvGrpSpPr>
        <xdr:cNvPr id="1082" name="Group 58">
          <a:extLst>
            <a:ext uri="{FF2B5EF4-FFF2-40B4-BE49-F238E27FC236}">
              <a16:creationId xmlns:a16="http://schemas.microsoft.com/office/drawing/2014/main" id="{363E2FCC-7460-4230-BB3E-E1FCB7907E85}"/>
            </a:ext>
          </a:extLst>
        </xdr:cNvPr>
        <xdr:cNvGrpSpPr>
          <a:grpSpLocks/>
        </xdr:cNvGrpSpPr>
      </xdr:nvGrpSpPr>
      <xdr:grpSpPr bwMode="auto">
        <a:xfrm rot="5400000">
          <a:off x="2405062" y="5843588"/>
          <a:ext cx="733425" cy="57150"/>
          <a:chOff x="123" y="549"/>
          <a:chExt cx="77" cy="6"/>
        </a:xfrm>
      </xdr:grpSpPr>
      <xdr:sp macro="" textlink="">
        <xdr:nvSpPr>
          <xdr:cNvPr id="1083" name="Line 59">
            <a:extLst>
              <a:ext uri="{FF2B5EF4-FFF2-40B4-BE49-F238E27FC236}">
                <a16:creationId xmlns:a16="http://schemas.microsoft.com/office/drawing/2014/main" id="{1404D1E2-83A8-4025-813B-9C18F3FAFDE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" name="Freeform 60">
            <a:extLst>
              <a:ext uri="{FF2B5EF4-FFF2-40B4-BE49-F238E27FC236}">
                <a16:creationId xmlns:a16="http://schemas.microsoft.com/office/drawing/2014/main" id="{EE0D4DFB-9A28-4791-A341-ED27B196F0F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5" name="Freeform 61">
            <a:extLst>
              <a:ext uri="{FF2B5EF4-FFF2-40B4-BE49-F238E27FC236}">
                <a16:creationId xmlns:a16="http://schemas.microsoft.com/office/drawing/2014/main" id="{F95D275D-8B14-40DC-8A97-D3E0AAE8414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228600</xdr:colOff>
      <xdr:row>7</xdr:row>
      <xdr:rowOff>295275</xdr:rowOff>
    </xdr:from>
    <xdr:to>
      <xdr:col>6</xdr:col>
      <xdr:colOff>161925</xdr:colOff>
      <xdr:row>7</xdr:row>
      <xdr:rowOff>1466850</xdr:rowOff>
    </xdr:to>
    <xdr:sp macro="" textlink="">
      <xdr:nvSpPr>
        <xdr:cNvPr id="1086" name="Text Box 62">
          <a:extLst>
            <a:ext uri="{FF2B5EF4-FFF2-40B4-BE49-F238E27FC236}">
              <a16:creationId xmlns:a16="http://schemas.microsoft.com/office/drawing/2014/main" id="{693D77E8-A0E5-4605-8DE0-F121CF1B2270}"/>
            </a:ext>
          </a:extLst>
        </xdr:cNvPr>
        <xdr:cNvSpPr txBox="1">
          <a:spLocks noChangeArrowheads="1"/>
        </xdr:cNvSpPr>
      </xdr:nvSpPr>
      <xdr:spPr bwMode="auto">
        <a:xfrm>
          <a:off x="1419225" y="1933575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府中分れ</a:t>
          </a:r>
        </a:p>
      </xdr:txBody>
    </xdr:sp>
    <xdr:clientData/>
  </xdr:twoCellAnchor>
  <xdr:twoCellAnchor>
    <xdr:from>
      <xdr:col>18</xdr:col>
      <xdr:colOff>209550</xdr:colOff>
      <xdr:row>7</xdr:row>
      <xdr:rowOff>104775</xdr:rowOff>
    </xdr:from>
    <xdr:to>
      <xdr:col>19</xdr:col>
      <xdr:colOff>142875</xdr:colOff>
      <xdr:row>7</xdr:row>
      <xdr:rowOff>1695450</xdr:rowOff>
    </xdr:to>
    <xdr:sp macro="" textlink="">
      <xdr:nvSpPr>
        <xdr:cNvPr id="1087" name="Text Box 63">
          <a:extLst>
            <a:ext uri="{FF2B5EF4-FFF2-40B4-BE49-F238E27FC236}">
              <a16:creationId xmlns:a16="http://schemas.microsoft.com/office/drawing/2014/main" id="{AF2E5E7C-B666-4B66-890F-A9034520EA26}"/>
            </a:ext>
          </a:extLst>
        </xdr:cNvPr>
        <xdr:cNvSpPr txBox="1">
          <a:spLocks noChangeArrowheads="1"/>
        </xdr:cNvSpPr>
      </xdr:nvSpPr>
      <xdr:spPr bwMode="auto">
        <a:xfrm>
          <a:off x="5486400" y="17430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明神町</a:t>
          </a:r>
        </a:p>
      </xdr:txBody>
    </xdr:sp>
    <xdr:clientData/>
  </xdr:twoCellAnchor>
  <xdr:twoCellAnchor>
    <xdr:from>
      <xdr:col>10</xdr:col>
      <xdr:colOff>180975</xdr:colOff>
      <xdr:row>15</xdr:row>
      <xdr:rowOff>495300</xdr:rowOff>
    </xdr:from>
    <xdr:to>
      <xdr:col>11</xdr:col>
      <xdr:colOff>200025</xdr:colOff>
      <xdr:row>15</xdr:row>
      <xdr:rowOff>1200150</xdr:rowOff>
    </xdr:to>
    <xdr:grpSp>
      <xdr:nvGrpSpPr>
        <xdr:cNvPr id="1088" name="Group 64">
          <a:extLst>
            <a:ext uri="{FF2B5EF4-FFF2-40B4-BE49-F238E27FC236}">
              <a16:creationId xmlns:a16="http://schemas.microsoft.com/office/drawing/2014/main" id="{CB585D8F-0E40-45BB-A7E8-E21F1D14E2DB}"/>
            </a:ext>
          </a:extLst>
        </xdr:cNvPr>
        <xdr:cNvGrpSpPr>
          <a:grpSpLocks/>
        </xdr:cNvGrpSpPr>
      </xdr:nvGrpSpPr>
      <xdr:grpSpPr bwMode="auto">
        <a:xfrm>
          <a:off x="2943225" y="5610225"/>
          <a:ext cx="333375" cy="704850"/>
          <a:chOff x="340" y="578"/>
          <a:chExt cx="35" cy="74"/>
        </a:xfrm>
      </xdr:grpSpPr>
      <xdr:grpSp>
        <xdr:nvGrpSpPr>
          <xdr:cNvPr id="1089" name="Group 65">
            <a:extLst>
              <a:ext uri="{FF2B5EF4-FFF2-40B4-BE49-F238E27FC236}">
                <a16:creationId xmlns:a16="http://schemas.microsoft.com/office/drawing/2014/main" id="{984CA727-E8A8-4940-B46A-79BE58C71064}"/>
              </a:ext>
            </a:extLst>
          </xdr:cNvPr>
          <xdr:cNvGrpSpPr>
            <a:grpSpLocks/>
          </xdr:cNvGrpSpPr>
        </xdr:nvGrpSpPr>
        <xdr:grpSpPr bwMode="auto">
          <a:xfrm>
            <a:off x="341" y="618"/>
            <a:ext cx="16" cy="11"/>
            <a:chOff x="637" y="653"/>
            <a:chExt cx="16" cy="11"/>
          </a:xfrm>
        </xdr:grpSpPr>
        <xdr:sp macro="" textlink="">
          <xdr:nvSpPr>
            <xdr:cNvPr id="1090" name="Freeform 66">
              <a:extLst>
                <a:ext uri="{FF2B5EF4-FFF2-40B4-BE49-F238E27FC236}">
                  <a16:creationId xmlns:a16="http://schemas.microsoft.com/office/drawing/2014/main" id="{4C185BDF-1615-461A-B453-CE6438B6C9C0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45" y="657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1" name="Line 67">
              <a:extLst>
                <a:ext uri="{FF2B5EF4-FFF2-40B4-BE49-F238E27FC236}">
                  <a16:creationId xmlns:a16="http://schemas.microsoft.com/office/drawing/2014/main" id="{A953B115-3F88-4930-9ACE-B53D6CD1DC22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641" y="65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2" name="Freeform 68">
              <a:extLst>
                <a:ext uri="{FF2B5EF4-FFF2-40B4-BE49-F238E27FC236}">
                  <a16:creationId xmlns:a16="http://schemas.microsoft.com/office/drawing/2014/main" id="{5AC43D34-0655-4693-8C39-702E5FF87E55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37" y="65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93" name="Group 69">
            <a:extLst>
              <a:ext uri="{FF2B5EF4-FFF2-40B4-BE49-F238E27FC236}">
                <a16:creationId xmlns:a16="http://schemas.microsoft.com/office/drawing/2014/main" id="{6CB145E1-1D8D-43A6-8BD3-237D3F3FC053}"/>
              </a:ext>
            </a:extLst>
          </xdr:cNvPr>
          <xdr:cNvGrpSpPr>
            <a:grpSpLocks/>
          </xdr:cNvGrpSpPr>
        </xdr:nvGrpSpPr>
        <xdr:grpSpPr bwMode="auto">
          <a:xfrm>
            <a:off x="359" y="607"/>
            <a:ext cx="16" cy="12"/>
            <a:chOff x="653" y="642"/>
            <a:chExt cx="16" cy="12"/>
          </a:xfrm>
        </xdr:grpSpPr>
        <xdr:sp macro="" textlink="">
          <xdr:nvSpPr>
            <xdr:cNvPr id="1094" name="Freeform 70">
              <a:extLst>
                <a:ext uri="{FF2B5EF4-FFF2-40B4-BE49-F238E27FC236}">
                  <a16:creationId xmlns:a16="http://schemas.microsoft.com/office/drawing/2014/main" id="{3DE168E2-1743-4579-A23D-2A65C84FF2E3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53" y="64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95" name="Line 71">
              <a:extLst>
                <a:ext uri="{FF2B5EF4-FFF2-40B4-BE49-F238E27FC236}">
                  <a16:creationId xmlns:a16="http://schemas.microsoft.com/office/drawing/2014/main" id="{5D6DE0DF-8843-4009-AEA7-268FFA4EA233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664" y="642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6" name="Freeform 72">
              <a:extLst>
                <a:ext uri="{FF2B5EF4-FFF2-40B4-BE49-F238E27FC236}">
                  <a16:creationId xmlns:a16="http://schemas.microsoft.com/office/drawing/2014/main" id="{3D7F0CA0-1DD9-4D5E-8F90-EF3A92668F3E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62" y="64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097" name="Freeform 73">
            <a:extLst>
              <a:ext uri="{FF2B5EF4-FFF2-40B4-BE49-F238E27FC236}">
                <a16:creationId xmlns:a16="http://schemas.microsoft.com/office/drawing/2014/main" id="{0C73A54F-99DA-4494-9707-D5240C656A88}"/>
              </a:ext>
            </a:extLst>
          </xdr:cNvPr>
          <xdr:cNvSpPr>
            <a:spLocks/>
          </xdr:cNvSpPr>
        </xdr:nvSpPr>
        <xdr:spPr bwMode="auto">
          <a:xfrm rot="-4501102">
            <a:off x="316" y="606"/>
            <a:ext cx="70" cy="22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8" name="Freeform 74">
            <a:extLst>
              <a:ext uri="{FF2B5EF4-FFF2-40B4-BE49-F238E27FC236}">
                <a16:creationId xmlns:a16="http://schemas.microsoft.com/office/drawing/2014/main" id="{56897D91-DADE-4367-A9D2-6546CF4CB17C}"/>
              </a:ext>
            </a:extLst>
          </xdr:cNvPr>
          <xdr:cNvSpPr>
            <a:spLocks/>
          </xdr:cNvSpPr>
        </xdr:nvSpPr>
        <xdr:spPr bwMode="auto">
          <a:xfrm rot="-8100000">
            <a:off x="347" y="57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152400</xdr:colOff>
      <xdr:row>15</xdr:row>
      <xdr:rowOff>323850</xdr:rowOff>
    </xdr:from>
    <xdr:to>
      <xdr:col>12</xdr:col>
      <xdr:colOff>171450</xdr:colOff>
      <xdr:row>15</xdr:row>
      <xdr:rowOff>1019175</xdr:rowOff>
    </xdr:to>
    <xdr:grpSp>
      <xdr:nvGrpSpPr>
        <xdr:cNvPr id="1099" name="Group 75">
          <a:extLst>
            <a:ext uri="{FF2B5EF4-FFF2-40B4-BE49-F238E27FC236}">
              <a16:creationId xmlns:a16="http://schemas.microsoft.com/office/drawing/2014/main" id="{0F54AEE6-7F8B-443A-AFC7-B6612D174B9F}"/>
            </a:ext>
          </a:extLst>
        </xdr:cNvPr>
        <xdr:cNvGrpSpPr>
          <a:grpSpLocks/>
        </xdr:cNvGrpSpPr>
      </xdr:nvGrpSpPr>
      <xdr:grpSpPr bwMode="auto">
        <a:xfrm>
          <a:off x="3228975" y="5438775"/>
          <a:ext cx="333375" cy="695325"/>
          <a:chOff x="373" y="582"/>
          <a:chExt cx="35" cy="73"/>
        </a:xfrm>
      </xdr:grpSpPr>
      <xdr:sp macro="" textlink="">
        <xdr:nvSpPr>
          <xdr:cNvPr id="1100" name="Freeform 76">
            <a:extLst>
              <a:ext uri="{FF2B5EF4-FFF2-40B4-BE49-F238E27FC236}">
                <a16:creationId xmlns:a16="http://schemas.microsoft.com/office/drawing/2014/main" id="{6866BA5F-2545-44DB-BE64-AE8AAF285441}"/>
              </a:ext>
            </a:extLst>
          </xdr:cNvPr>
          <xdr:cNvSpPr>
            <a:spLocks/>
          </xdr:cNvSpPr>
        </xdr:nvSpPr>
        <xdr:spPr bwMode="auto">
          <a:xfrm rot="-4501102">
            <a:off x="349" y="606"/>
            <a:ext cx="70" cy="22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1" name="Freeform 77">
            <a:extLst>
              <a:ext uri="{FF2B5EF4-FFF2-40B4-BE49-F238E27FC236}">
                <a16:creationId xmlns:a16="http://schemas.microsoft.com/office/drawing/2014/main" id="{E37AF440-28B1-40F6-86B7-E84EFE6B2C3C}"/>
              </a:ext>
            </a:extLst>
          </xdr:cNvPr>
          <xdr:cNvSpPr>
            <a:spLocks/>
          </xdr:cNvSpPr>
        </xdr:nvSpPr>
        <xdr:spPr bwMode="auto">
          <a:xfrm rot="-15415179">
            <a:off x="382" y="6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grpSp>
        <xdr:nvGrpSpPr>
          <xdr:cNvPr id="1102" name="Group 78">
            <a:extLst>
              <a:ext uri="{FF2B5EF4-FFF2-40B4-BE49-F238E27FC236}">
                <a16:creationId xmlns:a16="http://schemas.microsoft.com/office/drawing/2014/main" id="{568A5537-5F1F-4378-A2F1-28F82EBE05D4}"/>
              </a:ext>
            </a:extLst>
          </xdr:cNvPr>
          <xdr:cNvGrpSpPr>
            <a:grpSpLocks/>
          </xdr:cNvGrpSpPr>
        </xdr:nvGrpSpPr>
        <xdr:grpSpPr bwMode="auto">
          <a:xfrm flipV="1">
            <a:off x="375" y="618"/>
            <a:ext cx="16" cy="11"/>
            <a:chOff x="637" y="653"/>
            <a:chExt cx="16" cy="11"/>
          </a:xfrm>
        </xdr:grpSpPr>
        <xdr:sp macro="" textlink="">
          <xdr:nvSpPr>
            <xdr:cNvPr id="1103" name="Freeform 79">
              <a:extLst>
                <a:ext uri="{FF2B5EF4-FFF2-40B4-BE49-F238E27FC236}">
                  <a16:creationId xmlns:a16="http://schemas.microsoft.com/office/drawing/2014/main" id="{47CDA12E-5748-4532-9338-FAE7C24C2B2F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45" y="657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04" name="Line 80">
              <a:extLst>
                <a:ext uri="{FF2B5EF4-FFF2-40B4-BE49-F238E27FC236}">
                  <a16:creationId xmlns:a16="http://schemas.microsoft.com/office/drawing/2014/main" id="{57929074-81F0-43A6-A224-DA549D16B0FD}"/>
                </a:ext>
              </a:extLst>
            </xdr:cNvPr>
            <xdr:cNvSpPr>
              <a:spLocks noChangeShapeType="1"/>
            </xdr:cNvSpPr>
          </xdr:nvSpPr>
          <xdr:spPr bwMode="auto">
            <a:xfrm rot="16200000" flipV="1">
              <a:off x="641" y="653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5" name="Freeform 81">
              <a:extLst>
                <a:ext uri="{FF2B5EF4-FFF2-40B4-BE49-F238E27FC236}">
                  <a16:creationId xmlns:a16="http://schemas.microsoft.com/office/drawing/2014/main" id="{790E89F0-ADB3-4E38-AD77-7C063997B765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37" y="653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06" name="Group 82">
            <a:extLst>
              <a:ext uri="{FF2B5EF4-FFF2-40B4-BE49-F238E27FC236}">
                <a16:creationId xmlns:a16="http://schemas.microsoft.com/office/drawing/2014/main" id="{EF3ACF91-2B1A-453A-BC61-FD3F51C4ED58}"/>
              </a:ext>
            </a:extLst>
          </xdr:cNvPr>
          <xdr:cNvGrpSpPr>
            <a:grpSpLocks/>
          </xdr:cNvGrpSpPr>
        </xdr:nvGrpSpPr>
        <xdr:grpSpPr bwMode="auto">
          <a:xfrm flipV="1">
            <a:off x="392" y="604"/>
            <a:ext cx="16" cy="12"/>
            <a:chOff x="653" y="642"/>
            <a:chExt cx="16" cy="12"/>
          </a:xfrm>
        </xdr:grpSpPr>
        <xdr:sp macro="" textlink="">
          <xdr:nvSpPr>
            <xdr:cNvPr id="1107" name="Freeform 83">
              <a:extLst>
                <a:ext uri="{FF2B5EF4-FFF2-40B4-BE49-F238E27FC236}">
                  <a16:creationId xmlns:a16="http://schemas.microsoft.com/office/drawing/2014/main" id="{31B4930B-86C8-4CBC-A237-E652A44F2B31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53" y="646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08" name="Line 84">
              <a:extLst>
                <a:ext uri="{FF2B5EF4-FFF2-40B4-BE49-F238E27FC236}">
                  <a16:creationId xmlns:a16="http://schemas.microsoft.com/office/drawing/2014/main" id="{D9712FC4-9A14-4BB2-93ED-068E6E6D012D}"/>
                </a:ext>
              </a:extLst>
            </xdr:cNvPr>
            <xdr:cNvSpPr>
              <a:spLocks noChangeShapeType="1"/>
            </xdr:cNvSpPr>
          </xdr:nvSpPr>
          <xdr:spPr bwMode="auto">
            <a:xfrm rot="-5400000">
              <a:off x="664" y="642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9" name="Freeform 85">
              <a:extLst>
                <a:ext uri="{FF2B5EF4-FFF2-40B4-BE49-F238E27FC236}">
                  <a16:creationId xmlns:a16="http://schemas.microsoft.com/office/drawing/2014/main" id="{C4ADFAF5-708A-4C85-B404-D0BD9791DCD0}"/>
                </a:ext>
              </a:extLst>
            </xdr:cNvPr>
            <xdr:cNvSpPr>
              <a:spLocks/>
            </xdr:cNvSpPr>
          </xdr:nvSpPr>
          <xdr:spPr bwMode="auto">
            <a:xfrm rot="-5400000">
              <a:off x="662" y="642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 editAs="oneCell">
    <xdr:from>
      <xdr:col>6</xdr:col>
      <xdr:colOff>266700</xdr:colOff>
      <xdr:row>5</xdr:row>
      <xdr:rowOff>152400</xdr:rowOff>
    </xdr:from>
    <xdr:to>
      <xdr:col>18</xdr:col>
      <xdr:colOff>133350</xdr:colOff>
      <xdr:row>8</xdr:row>
      <xdr:rowOff>200025</xdr:rowOff>
    </xdr:to>
    <xdr:pic>
      <xdr:nvPicPr>
        <xdr:cNvPr id="1110" name="Picture 86">
          <a:extLst>
            <a:ext uri="{FF2B5EF4-FFF2-40B4-BE49-F238E27FC236}">
              <a16:creationId xmlns:a16="http://schemas.microsoft.com/office/drawing/2014/main" id="{1C8D07AC-E87C-4FB7-A218-B0843869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333500"/>
          <a:ext cx="3638550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10</xdr:row>
      <xdr:rowOff>114300</xdr:rowOff>
    </xdr:from>
    <xdr:to>
      <xdr:col>6</xdr:col>
      <xdr:colOff>200025</xdr:colOff>
      <xdr:row>13</xdr:row>
      <xdr:rowOff>9525</xdr:rowOff>
    </xdr:to>
    <xdr:sp macro="" textlink="">
      <xdr:nvSpPr>
        <xdr:cNvPr id="1111" name="Text Box 87">
          <a:extLst>
            <a:ext uri="{FF2B5EF4-FFF2-40B4-BE49-F238E27FC236}">
              <a16:creationId xmlns:a16="http://schemas.microsoft.com/office/drawing/2014/main" id="{2F7F43C2-AF8F-43C9-8C13-DC7EA782E67D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</xdr:txBody>
    </xdr:sp>
    <xdr:clientData/>
  </xdr:twoCellAnchor>
  <xdr:twoCellAnchor>
    <xdr:from>
      <xdr:col>3</xdr:col>
      <xdr:colOff>19050</xdr:colOff>
      <xdr:row>15</xdr:row>
      <xdr:rowOff>152400</xdr:rowOff>
    </xdr:from>
    <xdr:to>
      <xdr:col>8</xdr:col>
      <xdr:colOff>133350</xdr:colOff>
      <xdr:row>15</xdr:row>
      <xdr:rowOff>361950</xdr:rowOff>
    </xdr:to>
    <xdr:sp macro="" textlink="">
      <xdr:nvSpPr>
        <xdr:cNvPr id="1112" name="Text Box 88">
          <a:extLst>
            <a:ext uri="{FF2B5EF4-FFF2-40B4-BE49-F238E27FC236}">
              <a16:creationId xmlns:a16="http://schemas.microsoft.com/office/drawing/2014/main" id="{A19D0B16-9F61-408D-8BE8-B8270412ACB4}"/>
            </a:ext>
          </a:extLst>
        </xdr:cNvPr>
        <xdr:cNvSpPr txBox="1">
          <a:spLocks noChangeArrowheads="1"/>
        </xdr:cNvSpPr>
      </xdr:nvSpPr>
      <xdr:spPr bwMode="auto">
        <a:xfrm>
          <a:off x="828675" y="5267325"/>
          <a:ext cx="14382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　）</a:t>
          </a:r>
        </a:p>
      </xdr:txBody>
    </xdr:sp>
    <xdr:clientData/>
  </xdr:twoCellAnchor>
  <xdr:twoCellAnchor>
    <xdr:from>
      <xdr:col>4</xdr:col>
      <xdr:colOff>266700</xdr:colOff>
      <xdr:row>15</xdr:row>
      <xdr:rowOff>238125</xdr:rowOff>
    </xdr:from>
    <xdr:to>
      <xdr:col>7</xdr:col>
      <xdr:colOff>57150</xdr:colOff>
      <xdr:row>15</xdr:row>
      <xdr:rowOff>295275</xdr:rowOff>
    </xdr:to>
    <xdr:grpSp>
      <xdr:nvGrpSpPr>
        <xdr:cNvPr id="1113" name="Group 89">
          <a:extLst>
            <a:ext uri="{FF2B5EF4-FFF2-40B4-BE49-F238E27FC236}">
              <a16:creationId xmlns:a16="http://schemas.microsoft.com/office/drawing/2014/main" id="{32244A3D-B7D5-493A-B3C9-0C2051497304}"/>
            </a:ext>
          </a:extLst>
        </xdr:cNvPr>
        <xdr:cNvGrpSpPr>
          <a:grpSpLocks/>
        </xdr:cNvGrpSpPr>
      </xdr:nvGrpSpPr>
      <xdr:grpSpPr bwMode="auto">
        <a:xfrm>
          <a:off x="1143000" y="5353050"/>
          <a:ext cx="733425" cy="57150"/>
          <a:chOff x="123" y="549"/>
          <a:chExt cx="77" cy="6"/>
        </a:xfrm>
      </xdr:grpSpPr>
      <xdr:sp macro="" textlink="">
        <xdr:nvSpPr>
          <xdr:cNvPr id="1114" name="Line 90">
            <a:extLst>
              <a:ext uri="{FF2B5EF4-FFF2-40B4-BE49-F238E27FC236}">
                <a16:creationId xmlns:a16="http://schemas.microsoft.com/office/drawing/2014/main" id="{0D6B3657-DAE9-4085-8E40-1F212163C477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5" name="Freeform 91">
            <a:extLst>
              <a:ext uri="{FF2B5EF4-FFF2-40B4-BE49-F238E27FC236}">
                <a16:creationId xmlns:a16="http://schemas.microsoft.com/office/drawing/2014/main" id="{5AD7E05C-D655-4397-B672-0E0B0DA56E5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6" name="Freeform 92">
            <a:extLst>
              <a:ext uri="{FF2B5EF4-FFF2-40B4-BE49-F238E27FC236}">
                <a16:creationId xmlns:a16="http://schemas.microsoft.com/office/drawing/2014/main" id="{822F2AC8-1053-4BE4-B17C-310EE478D6E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38100</xdr:colOff>
      <xdr:row>15</xdr:row>
      <xdr:rowOff>1200150</xdr:rowOff>
    </xdr:from>
    <xdr:to>
      <xdr:col>8</xdr:col>
      <xdr:colOff>152400</xdr:colOff>
      <xdr:row>15</xdr:row>
      <xdr:rowOff>1409700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03FCCAF6-D519-493A-9ADA-7E9EE1D07151}"/>
            </a:ext>
          </a:extLst>
        </xdr:cNvPr>
        <xdr:cNvSpPr txBox="1">
          <a:spLocks noChangeArrowheads="1"/>
        </xdr:cNvSpPr>
      </xdr:nvSpPr>
      <xdr:spPr bwMode="auto">
        <a:xfrm>
          <a:off x="847725" y="6315075"/>
          <a:ext cx="14382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　）</a:t>
          </a:r>
        </a:p>
      </xdr:txBody>
    </xdr:sp>
    <xdr:clientData/>
  </xdr:twoCellAnchor>
  <xdr:twoCellAnchor>
    <xdr:from>
      <xdr:col>4</xdr:col>
      <xdr:colOff>266700</xdr:colOff>
      <xdr:row>15</xdr:row>
      <xdr:rowOff>1276350</xdr:rowOff>
    </xdr:from>
    <xdr:to>
      <xdr:col>7</xdr:col>
      <xdr:colOff>57150</xdr:colOff>
      <xdr:row>15</xdr:row>
      <xdr:rowOff>1333500</xdr:rowOff>
    </xdr:to>
    <xdr:grpSp>
      <xdr:nvGrpSpPr>
        <xdr:cNvPr id="1118" name="Group 94">
          <a:extLst>
            <a:ext uri="{FF2B5EF4-FFF2-40B4-BE49-F238E27FC236}">
              <a16:creationId xmlns:a16="http://schemas.microsoft.com/office/drawing/2014/main" id="{E33B142C-4336-4D70-A21E-529A12E3BA27}"/>
            </a:ext>
          </a:extLst>
        </xdr:cNvPr>
        <xdr:cNvGrpSpPr>
          <a:grpSpLocks/>
        </xdr:cNvGrpSpPr>
      </xdr:nvGrpSpPr>
      <xdr:grpSpPr bwMode="auto">
        <a:xfrm>
          <a:off x="1143000" y="6391275"/>
          <a:ext cx="733425" cy="57150"/>
          <a:chOff x="123" y="549"/>
          <a:chExt cx="77" cy="6"/>
        </a:xfrm>
      </xdr:grpSpPr>
      <xdr:sp macro="" textlink="">
        <xdr:nvSpPr>
          <xdr:cNvPr id="1119" name="Line 95">
            <a:extLst>
              <a:ext uri="{FF2B5EF4-FFF2-40B4-BE49-F238E27FC236}">
                <a16:creationId xmlns:a16="http://schemas.microsoft.com/office/drawing/2014/main" id="{8C0B10C1-FDD7-43AE-8654-E1EF119A7B4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0" name="Freeform 96">
            <a:extLst>
              <a:ext uri="{FF2B5EF4-FFF2-40B4-BE49-F238E27FC236}">
                <a16:creationId xmlns:a16="http://schemas.microsoft.com/office/drawing/2014/main" id="{2EA55011-AFEA-43C9-A65A-3F0AEC71EDA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21" name="Freeform 97">
            <a:extLst>
              <a:ext uri="{FF2B5EF4-FFF2-40B4-BE49-F238E27FC236}">
                <a16:creationId xmlns:a16="http://schemas.microsoft.com/office/drawing/2014/main" id="{1604C71D-86D9-4F73-AB8A-17A804D3239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219075</xdr:colOff>
      <xdr:row>6</xdr:row>
      <xdr:rowOff>9525</xdr:rowOff>
    </xdr:to>
    <xdr:pic>
      <xdr:nvPicPr>
        <xdr:cNvPr id="1122" name="Picture 98">
          <a:extLst>
            <a:ext uri="{FF2B5EF4-FFF2-40B4-BE49-F238E27FC236}">
              <a16:creationId xmlns:a16="http://schemas.microsoft.com/office/drawing/2014/main" id="{681EA04C-FC03-4399-A850-AC21B8DF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723900"/>
          <a:ext cx="5334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28575</xdr:colOff>
      <xdr:row>15</xdr:row>
      <xdr:rowOff>409575</xdr:rowOff>
    </xdr:from>
    <xdr:to>
      <xdr:col>22</xdr:col>
      <xdr:colOff>247650</xdr:colOff>
      <xdr:row>15</xdr:row>
      <xdr:rowOff>1104900</xdr:rowOff>
    </xdr:to>
    <xdr:pic>
      <xdr:nvPicPr>
        <xdr:cNvPr id="1123" name="Picture 99">
          <a:extLst>
            <a:ext uri="{FF2B5EF4-FFF2-40B4-BE49-F238E27FC236}">
              <a16:creationId xmlns:a16="http://schemas.microsoft.com/office/drawing/2014/main" id="{DD72FBAE-9F1A-4510-84AC-48BB46DEF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5524500"/>
          <a:ext cx="5334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200025</xdr:colOff>
      <xdr:row>15</xdr:row>
      <xdr:rowOff>180975</xdr:rowOff>
    </xdr:from>
    <xdr:to>
      <xdr:col>13</xdr:col>
      <xdr:colOff>238125</xdr:colOff>
      <xdr:row>15</xdr:row>
      <xdr:rowOff>342900</xdr:rowOff>
    </xdr:to>
    <xdr:sp macro="" textlink="">
      <xdr:nvSpPr>
        <xdr:cNvPr id="1124" name="Text Box 100">
          <a:extLst>
            <a:ext uri="{FF2B5EF4-FFF2-40B4-BE49-F238E27FC236}">
              <a16:creationId xmlns:a16="http://schemas.microsoft.com/office/drawing/2014/main" id="{30CDCE57-3CFD-4BCB-9377-44DAA0056F43}"/>
            </a:ext>
          </a:extLst>
        </xdr:cNvPr>
        <xdr:cNvSpPr txBox="1">
          <a:spLocks noChangeArrowheads="1"/>
        </xdr:cNvSpPr>
      </xdr:nvSpPr>
      <xdr:spPr bwMode="auto">
        <a:xfrm>
          <a:off x="3590925" y="52959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257175</xdr:colOff>
      <xdr:row>15</xdr:row>
      <xdr:rowOff>1247775</xdr:rowOff>
    </xdr:from>
    <xdr:to>
      <xdr:col>8</xdr:col>
      <xdr:colOff>295275</xdr:colOff>
      <xdr:row>15</xdr:row>
      <xdr:rowOff>1409700</xdr:rowOff>
    </xdr:to>
    <xdr:sp macro="" textlink="">
      <xdr:nvSpPr>
        <xdr:cNvPr id="1125" name="Text Box 101">
          <a:extLst>
            <a:ext uri="{FF2B5EF4-FFF2-40B4-BE49-F238E27FC236}">
              <a16:creationId xmlns:a16="http://schemas.microsoft.com/office/drawing/2014/main" id="{1AE7B7E3-0312-4463-BFB6-DBA42BA29B48}"/>
            </a:ext>
          </a:extLst>
        </xdr:cNvPr>
        <xdr:cNvSpPr txBox="1">
          <a:spLocks noChangeArrowheads="1"/>
        </xdr:cNvSpPr>
      </xdr:nvSpPr>
      <xdr:spPr bwMode="auto">
        <a:xfrm>
          <a:off x="2076450" y="63627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9</xdr:col>
      <xdr:colOff>209550</xdr:colOff>
      <xdr:row>15</xdr:row>
      <xdr:rowOff>190500</xdr:rowOff>
    </xdr:from>
    <xdr:to>
      <xdr:col>10</xdr:col>
      <xdr:colOff>247650</xdr:colOff>
      <xdr:row>15</xdr:row>
      <xdr:rowOff>352425</xdr:rowOff>
    </xdr:to>
    <xdr:sp macro="" textlink="">
      <xdr:nvSpPr>
        <xdr:cNvPr id="1126" name="Text Box 102">
          <a:extLst>
            <a:ext uri="{FF2B5EF4-FFF2-40B4-BE49-F238E27FC236}">
              <a16:creationId xmlns:a16="http://schemas.microsoft.com/office/drawing/2014/main" id="{C896EE79-3CDB-46FD-A98E-446AE8815471}"/>
            </a:ext>
          </a:extLst>
        </xdr:cNvPr>
        <xdr:cNvSpPr txBox="1">
          <a:spLocks noChangeArrowheads="1"/>
        </xdr:cNvSpPr>
      </xdr:nvSpPr>
      <xdr:spPr bwMode="auto">
        <a:xfrm>
          <a:off x="2657475" y="53054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257175</xdr:colOff>
      <xdr:row>15</xdr:row>
      <xdr:rowOff>209550</xdr:rowOff>
    </xdr:from>
    <xdr:to>
      <xdr:col>8</xdr:col>
      <xdr:colOff>295275</xdr:colOff>
      <xdr:row>15</xdr:row>
      <xdr:rowOff>371475</xdr:rowOff>
    </xdr:to>
    <xdr:sp macro="" textlink="">
      <xdr:nvSpPr>
        <xdr:cNvPr id="1127" name="Text Box 103">
          <a:extLst>
            <a:ext uri="{FF2B5EF4-FFF2-40B4-BE49-F238E27FC236}">
              <a16:creationId xmlns:a16="http://schemas.microsoft.com/office/drawing/2014/main" id="{3D28FDD8-1834-44CD-A789-00C5257A4234}"/>
            </a:ext>
          </a:extLst>
        </xdr:cNvPr>
        <xdr:cNvSpPr txBox="1">
          <a:spLocks noChangeArrowheads="1"/>
        </xdr:cNvSpPr>
      </xdr:nvSpPr>
      <xdr:spPr bwMode="auto">
        <a:xfrm>
          <a:off x="2076450" y="5324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9</xdr:col>
      <xdr:colOff>171450</xdr:colOff>
      <xdr:row>15</xdr:row>
      <xdr:rowOff>1190625</xdr:rowOff>
    </xdr:from>
    <xdr:to>
      <xdr:col>10</xdr:col>
      <xdr:colOff>209550</xdr:colOff>
      <xdr:row>15</xdr:row>
      <xdr:rowOff>1352550</xdr:rowOff>
    </xdr:to>
    <xdr:sp macro="" textlink="">
      <xdr:nvSpPr>
        <xdr:cNvPr id="1128" name="Text Box 104">
          <a:extLst>
            <a:ext uri="{FF2B5EF4-FFF2-40B4-BE49-F238E27FC236}">
              <a16:creationId xmlns:a16="http://schemas.microsoft.com/office/drawing/2014/main" id="{01828E0D-3D05-4D24-BBC6-A52BC79EEE40}"/>
            </a:ext>
          </a:extLst>
        </xdr:cNvPr>
        <xdr:cNvSpPr txBox="1">
          <a:spLocks noChangeArrowheads="1"/>
        </xdr:cNvSpPr>
      </xdr:nvSpPr>
      <xdr:spPr bwMode="auto">
        <a:xfrm>
          <a:off x="2619375" y="63055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16.7m</a:t>
          </a:r>
        </a:p>
      </xdr:txBody>
    </xdr:sp>
    <xdr:clientData/>
  </xdr:twoCellAnchor>
  <xdr:twoCellAnchor>
    <xdr:from>
      <xdr:col>5</xdr:col>
      <xdr:colOff>161925</xdr:colOff>
      <xdr:row>15</xdr:row>
      <xdr:rowOff>104775</xdr:rowOff>
    </xdr:from>
    <xdr:to>
      <xdr:col>6</xdr:col>
      <xdr:colOff>200025</xdr:colOff>
      <xdr:row>15</xdr:row>
      <xdr:rowOff>266700</xdr:rowOff>
    </xdr:to>
    <xdr:sp macro="" textlink="">
      <xdr:nvSpPr>
        <xdr:cNvPr id="1129" name="Text Box 105">
          <a:extLst>
            <a:ext uri="{FF2B5EF4-FFF2-40B4-BE49-F238E27FC236}">
              <a16:creationId xmlns:a16="http://schemas.microsoft.com/office/drawing/2014/main" id="{B2C7CBC0-BB81-48DE-A1A5-DE8A1061253A}"/>
            </a:ext>
          </a:extLst>
        </xdr:cNvPr>
        <xdr:cNvSpPr txBox="1">
          <a:spLocks noChangeArrowheads="1"/>
        </xdr:cNvSpPr>
      </xdr:nvSpPr>
      <xdr:spPr bwMode="auto">
        <a:xfrm>
          <a:off x="1352550" y="52197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10.5m</a:t>
          </a:r>
        </a:p>
      </xdr:txBody>
    </xdr:sp>
    <xdr:clientData/>
  </xdr:twoCellAnchor>
  <xdr:twoCellAnchor>
    <xdr:from>
      <xdr:col>11</xdr:col>
      <xdr:colOff>85725</xdr:colOff>
      <xdr:row>7</xdr:row>
      <xdr:rowOff>666750</xdr:rowOff>
    </xdr:from>
    <xdr:to>
      <xdr:col>12</xdr:col>
      <xdr:colOff>257175</xdr:colOff>
      <xdr:row>7</xdr:row>
      <xdr:rowOff>1057275</xdr:rowOff>
    </xdr:to>
    <xdr:sp macro="" textlink="">
      <xdr:nvSpPr>
        <xdr:cNvPr id="1130" name="Rectangle 106">
          <a:extLst>
            <a:ext uri="{FF2B5EF4-FFF2-40B4-BE49-F238E27FC236}">
              <a16:creationId xmlns:a16="http://schemas.microsoft.com/office/drawing/2014/main" id="{64774D83-51EC-4AF0-9B14-A246C7AE9A1F}"/>
            </a:ext>
          </a:extLst>
        </xdr:cNvPr>
        <xdr:cNvSpPr>
          <a:spLocks noChangeArrowheads="1"/>
        </xdr:cNvSpPr>
      </xdr:nvSpPr>
      <xdr:spPr bwMode="auto">
        <a:xfrm>
          <a:off x="3162300" y="2305050"/>
          <a:ext cx="485775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28575</xdr:colOff>
      <xdr:row>7</xdr:row>
      <xdr:rowOff>952500</xdr:rowOff>
    </xdr:from>
    <xdr:to>
      <xdr:col>14</xdr:col>
      <xdr:colOff>200025</xdr:colOff>
      <xdr:row>7</xdr:row>
      <xdr:rowOff>1343025</xdr:rowOff>
    </xdr:to>
    <xdr:sp macro="" textlink="">
      <xdr:nvSpPr>
        <xdr:cNvPr id="1131" name="Rectangle 107">
          <a:extLst>
            <a:ext uri="{FF2B5EF4-FFF2-40B4-BE49-F238E27FC236}">
              <a16:creationId xmlns:a16="http://schemas.microsoft.com/office/drawing/2014/main" id="{ACFDF7EF-D978-404C-8ECA-72D036C984C1}"/>
            </a:ext>
          </a:extLst>
        </xdr:cNvPr>
        <xdr:cNvSpPr>
          <a:spLocks noChangeArrowheads="1"/>
        </xdr:cNvSpPr>
      </xdr:nvSpPr>
      <xdr:spPr bwMode="auto">
        <a:xfrm>
          <a:off x="3733800" y="2590800"/>
          <a:ext cx="485775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9525</xdr:colOff>
      <xdr:row>4</xdr:row>
      <xdr:rowOff>104775</xdr:rowOff>
    </xdr:from>
    <xdr:to>
      <xdr:col>16</xdr:col>
      <xdr:colOff>285750</xdr:colOff>
      <xdr:row>6</xdr:row>
      <xdr:rowOff>57150</xdr:rowOff>
    </xdr:to>
    <xdr:sp macro="" textlink="">
      <xdr:nvSpPr>
        <xdr:cNvPr id="1132" name="Rectangle 108">
          <a:extLst>
            <a:ext uri="{FF2B5EF4-FFF2-40B4-BE49-F238E27FC236}">
              <a16:creationId xmlns:a16="http://schemas.microsoft.com/office/drawing/2014/main" id="{FDE01032-2C3B-4D4A-866D-3BC2CD4F1A3A}"/>
            </a:ext>
          </a:extLst>
        </xdr:cNvPr>
        <xdr:cNvSpPr>
          <a:spLocks noChangeArrowheads="1"/>
        </xdr:cNvSpPr>
      </xdr:nvSpPr>
      <xdr:spPr bwMode="auto">
        <a:xfrm>
          <a:off x="3400425" y="1057275"/>
          <a:ext cx="1533525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85725</xdr:colOff>
      <xdr:row>15</xdr:row>
      <xdr:rowOff>1352550</xdr:rowOff>
    </xdr:from>
    <xdr:to>
      <xdr:col>6</xdr:col>
      <xdr:colOff>123825</xdr:colOff>
      <xdr:row>15</xdr:row>
      <xdr:rowOff>1514475</xdr:rowOff>
    </xdr:to>
    <xdr:sp macro="" textlink="">
      <xdr:nvSpPr>
        <xdr:cNvPr id="1133" name="Text Box 109">
          <a:extLst>
            <a:ext uri="{FF2B5EF4-FFF2-40B4-BE49-F238E27FC236}">
              <a16:creationId xmlns:a16="http://schemas.microsoft.com/office/drawing/2014/main" id="{4CA56AAA-2D4F-46EC-9D15-24203C4AED30}"/>
            </a:ext>
          </a:extLst>
        </xdr:cNvPr>
        <xdr:cNvSpPr txBox="1">
          <a:spLocks noChangeArrowheads="1"/>
        </xdr:cNvSpPr>
      </xdr:nvSpPr>
      <xdr:spPr bwMode="auto">
        <a:xfrm>
          <a:off x="1276350" y="64674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15.8m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tabSelected="1" view="pageBreakPreview" zoomScaleNormal="100" zoomScaleSheetLayoutView="100" workbookViewId="0">
      <selection sqref="A1:E2"/>
    </sheetView>
  </sheetViews>
  <sheetFormatPr defaultRowHeight="12" x14ac:dyDescent="0.15"/>
  <cols>
    <col min="1" max="1" width="7.5" style="60" bestFit="1" customWidth="1"/>
    <col min="2" max="2" width="2.25" style="65" bestFit="1" customWidth="1"/>
    <col min="3" max="3" width="5.25" style="65" bestFit="1" customWidth="1"/>
    <col min="4" max="4" width="2.25" style="65" bestFit="1" customWidth="1"/>
    <col min="5" max="24" width="4.125" style="34" customWidth="1"/>
    <col min="25" max="16384" width="9" style="34"/>
  </cols>
  <sheetData>
    <row r="1" spans="1:31" ht="15" customHeight="1" x14ac:dyDescent="0.15">
      <c r="A1" s="93" t="s">
        <v>0</v>
      </c>
      <c r="B1" s="94"/>
      <c r="C1" s="94"/>
      <c r="D1" s="94"/>
      <c r="E1" s="95"/>
      <c r="F1" s="113" t="s">
        <v>50</v>
      </c>
      <c r="G1" s="114"/>
      <c r="H1" s="117" t="s">
        <v>49</v>
      </c>
      <c r="I1" s="117"/>
      <c r="J1" s="117"/>
      <c r="K1" s="117"/>
      <c r="L1" s="94" t="s">
        <v>41</v>
      </c>
      <c r="M1" s="95"/>
      <c r="N1" s="119" t="s">
        <v>42</v>
      </c>
      <c r="O1" s="95"/>
      <c r="P1" s="120">
        <v>46060</v>
      </c>
      <c r="Q1" s="121"/>
      <c r="R1" s="121"/>
      <c r="S1" s="122"/>
      <c r="T1" s="112" t="s">
        <v>3</v>
      </c>
      <c r="U1" s="112"/>
      <c r="V1" s="112">
        <v>251123</v>
      </c>
      <c r="W1" s="112"/>
      <c r="X1" s="112"/>
    </row>
    <row r="2" spans="1:31" ht="7.5" customHeight="1" x14ac:dyDescent="0.15">
      <c r="A2" s="96"/>
      <c r="B2" s="97"/>
      <c r="C2" s="97"/>
      <c r="D2" s="97"/>
      <c r="E2" s="98"/>
      <c r="F2" s="115"/>
      <c r="G2" s="116"/>
      <c r="H2" s="118"/>
      <c r="I2" s="118"/>
      <c r="J2" s="118"/>
      <c r="K2" s="118"/>
      <c r="L2" s="97"/>
      <c r="M2" s="98"/>
      <c r="N2" s="70"/>
      <c r="O2" s="72"/>
      <c r="P2" s="123"/>
      <c r="Q2" s="124"/>
      <c r="R2" s="124"/>
      <c r="S2" s="125"/>
      <c r="T2" s="93" t="s">
        <v>6</v>
      </c>
      <c r="U2" s="95"/>
      <c r="V2" s="126">
        <v>45992</v>
      </c>
      <c r="W2" s="127"/>
      <c r="X2" s="128"/>
    </row>
    <row r="3" spans="1:31" ht="7.5" customHeight="1" x14ac:dyDescent="0.15">
      <c r="A3" s="70" t="s">
        <v>4</v>
      </c>
      <c r="B3" s="71"/>
      <c r="C3" s="71"/>
      <c r="D3" s="71"/>
      <c r="E3" s="72"/>
      <c r="F3" s="76" t="s">
        <v>51</v>
      </c>
      <c r="G3" s="77"/>
      <c r="H3" s="80" t="s">
        <v>49</v>
      </c>
      <c r="I3" s="80"/>
      <c r="J3" s="80"/>
      <c r="K3" s="80"/>
      <c r="L3" s="82" t="s">
        <v>43</v>
      </c>
      <c r="M3" s="83"/>
      <c r="N3" s="70"/>
      <c r="O3" s="72"/>
      <c r="P3" s="86">
        <v>0.20416666666666669</v>
      </c>
      <c r="Q3" s="87"/>
      <c r="R3" s="87"/>
      <c r="S3" s="132" t="s">
        <v>44</v>
      </c>
      <c r="T3" s="73"/>
      <c r="U3" s="75"/>
      <c r="V3" s="129"/>
      <c r="W3" s="130"/>
      <c r="X3" s="131"/>
    </row>
    <row r="4" spans="1:31" ht="15" customHeight="1" x14ac:dyDescent="0.15">
      <c r="A4" s="73"/>
      <c r="B4" s="74"/>
      <c r="C4" s="74"/>
      <c r="D4" s="74"/>
      <c r="E4" s="75"/>
      <c r="F4" s="78"/>
      <c r="G4" s="79"/>
      <c r="H4" s="81"/>
      <c r="I4" s="81"/>
      <c r="J4" s="81"/>
      <c r="K4" s="81"/>
      <c r="L4" s="84"/>
      <c r="M4" s="85"/>
      <c r="N4" s="73"/>
      <c r="O4" s="75"/>
      <c r="P4" s="88"/>
      <c r="Q4" s="89"/>
      <c r="R4" s="89"/>
      <c r="S4" s="75"/>
      <c r="T4" s="112" t="s">
        <v>45</v>
      </c>
      <c r="U4" s="112"/>
      <c r="V4" s="112" t="s">
        <v>54</v>
      </c>
      <c r="W4" s="112"/>
      <c r="X4" s="112"/>
      <c r="Z4" s="35" t="s">
        <v>46</v>
      </c>
      <c r="AA4" s="36">
        <v>1680</v>
      </c>
    </row>
    <row r="5" spans="1:31" ht="18" customHeight="1" x14ac:dyDescent="0.15">
      <c r="A5" s="110"/>
      <c r="B5" s="111"/>
      <c r="C5" s="111"/>
      <c r="D5" s="111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7"/>
    </row>
    <row r="6" spans="1:31" ht="18" customHeight="1" x14ac:dyDescent="0.15">
      <c r="A6" s="108"/>
      <c r="B6" s="109"/>
      <c r="C6" s="109"/>
      <c r="D6" s="109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9"/>
    </row>
    <row r="7" spans="1:31" ht="18" customHeight="1" x14ac:dyDescent="0.15">
      <c r="A7" s="108"/>
      <c r="B7" s="109"/>
      <c r="C7" s="109"/>
      <c r="D7" s="109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 spans="1:31" ht="18" customHeight="1" x14ac:dyDescent="0.15">
      <c r="A8" s="108"/>
      <c r="B8" s="109"/>
      <c r="C8" s="109"/>
      <c r="D8" s="109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 spans="1:31" ht="18" customHeight="1" x14ac:dyDescent="0.15">
      <c r="A9" s="108"/>
      <c r="B9" s="109"/>
      <c r="C9" s="109"/>
      <c r="D9" s="109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</row>
    <row r="10" spans="1:31" ht="147.75" customHeight="1" x14ac:dyDescent="0.15">
      <c r="A10" s="108"/>
      <c r="B10" s="109"/>
      <c r="C10" s="109"/>
      <c r="D10" s="109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9"/>
    </row>
    <row r="11" spans="1:31" ht="18" customHeight="1" x14ac:dyDescent="0.15">
      <c r="A11" s="108"/>
      <c r="B11" s="109"/>
      <c r="C11" s="109"/>
      <c r="D11" s="109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9"/>
    </row>
    <row r="12" spans="1:31" ht="18" customHeight="1" x14ac:dyDescent="0.15">
      <c r="A12" s="108"/>
      <c r="B12" s="109"/>
      <c r="C12" s="109"/>
      <c r="D12" s="109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</row>
    <row r="13" spans="1:31" ht="18" customHeight="1" x14ac:dyDescent="0.15">
      <c r="A13" s="102"/>
      <c r="B13" s="103"/>
      <c r="C13" s="109"/>
      <c r="D13" s="109"/>
      <c r="E13" s="50"/>
      <c r="F13" s="51"/>
      <c r="G13" s="51"/>
      <c r="H13" s="51"/>
      <c r="I13" s="50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</row>
    <row r="14" spans="1:31" ht="18" customHeight="1" x14ac:dyDescent="0.15">
      <c r="A14" s="102"/>
      <c r="B14" s="103"/>
      <c r="C14" s="104"/>
      <c r="D14" s="104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  <c r="Y14" s="68"/>
      <c r="Z14" s="68">
        <v>50</v>
      </c>
      <c r="AA14" s="68">
        <f>Z14/3.6</f>
        <v>13.888888888888889</v>
      </c>
      <c r="AB14" s="68"/>
      <c r="AC14" s="69">
        <v>33.5</v>
      </c>
      <c r="AD14" s="69">
        <f>AC14/AA14</f>
        <v>2.4119999999999999</v>
      </c>
      <c r="AE14" s="68"/>
    </row>
    <row r="15" spans="1:31" ht="18" customHeight="1" x14ac:dyDescent="0.15">
      <c r="A15" s="105"/>
      <c r="B15" s="106"/>
      <c r="C15" s="106"/>
      <c r="D15" s="106"/>
      <c r="E15" s="52"/>
      <c r="F15" s="52"/>
      <c r="G15" s="52"/>
      <c r="H15" s="52"/>
      <c r="I15" s="52"/>
      <c r="J15" s="52"/>
      <c r="K15" s="52"/>
      <c r="L15" s="53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5"/>
      <c r="Y15" s="68"/>
      <c r="Z15" s="68">
        <v>30</v>
      </c>
      <c r="AA15" s="68">
        <f>Z15/3.6</f>
        <v>8.3333333333333339</v>
      </c>
      <c r="AB15" s="68"/>
      <c r="AC15" s="69">
        <v>35.799999999999997</v>
      </c>
      <c r="AD15" s="69">
        <f>AC15/AA15</f>
        <v>4.2959999999999994</v>
      </c>
      <c r="AE15" s="68"/>
    </row>
    <row r="16" spans="1:31" s="45" customFormat="1" ht="18" customHeight="1" x14ac:dyDescent="0.15">
      <c r="A16" s="107" t="s">
        <v>7</v>
      </c>
      <c r="B16" s="107"/>
      <c r="C16" s="107"/>
      <c r="D16" s="107"/>
      <c r="E16" s="56">
        <v>1</v>
      </c>
      <c r="F16" s="56">
        <v>2</v>
      </c>
      <c r="G16" s="56">
        <v>3</v>
      </c>
      <c r="H16" s="56">
        <v>4</v>
      </c>
      <c r="I16" s="56">
        <v>5</v>
      </c>
      <c r="J16" s="56">
        <v>6</v>
      </c>
      <c r="K16" s="56">
        <v>7</v>
      </c>
      <c r="L16" s="56">
        <v>8</v>
      </c>
      <c r="M16" s="56">
        <v>9</v>
      </c>
      <c r="N16" s="56">
        <v>10</v>
      </c>
      <c r="O16" s="56">
        <v>11</v>
      </c>
      <c r="P16" s="56">
        <v>12</v>
      </c>
      <c r="Q16" s="56">
        <v>13</v>
      </c>
      <c r="R16" s="57">
        <v>14</v>
      </c>
      <c r="S16" s="56">
        <v>15</v>
      </c>
      <c r="T16" s="56">
        <v>16</v>
      </c>
      <c r="U16" s="56">
        <v>17</v>
      </c>
      <c r="V16" s="56">
        <v>18</v>
      </c>
      <c r="W16" s="56">
        <v>19</v>
      </c>
      <c r="X16" s="56">
        <v>20</v>
      </c>
    </row>
    <row r="17" spans="1:25" s="60" customFormat="1" ht="18" customHeight="1" x14ac:dyDescent="0.15">
      <c r="A17" s="107" t="s">
        <v>8</v>
      </c>
      <c r="B17" s="107"/>
      <c r="C17" s="107"/>
      <c r="D17" s="107"/>
      <c r="E17" s="58" t="s">
        <v>9</v>
      </c>
      <c r="F17" s="58" t="s">
        <v>10</v>
      </c>
      <c r="G17" s="58" t="s">
        <v>11</v>
      </c>
      <c r="H17" s="58" t="s">
        <v>12</v>
      </c>
      <c r="I17" s="58" t="s">
        <v>13</v>
      </c>
      <c r="J17" s="58" t="s">
        <v>14</v>
      </c>
      <c r="K17" s="58" t="s">
        <v>15</v>
      </c>
      <c r="L17" s="58" t="s">
        <v>16</v>
      </c>
      <c r="M17" s="58" t="s">
        <v>17</v>
      </c>
      <c r="N17" s="59" t="s">
        <v>18</v>
      </c>
      <c r="O17" s="58"/>
      <c r="P17" s="58"/>
      <c r="Q17" s="58"/>
      <c r="R17" s="59"/>
      <c r="S17" s="58"/>
      <c r="T17" s="58"/>
      <c r="U17" s="58"/>
      <c r="V17" s="58"/>
      <c r="W17" s="58"/>
      <c r="X17" s="58"/>
    </row>
    <row r="18" spans="1:25" s="60" customFormat="1" ht="125.1" customHeight="1" x14ac:dyDescent="0.15">
      <c r="A18" s="90"/>
      <c r="B18" s="91"/>
      <c r="C18" s="91"/>
      <c r="D18" s="92"/>
      <c r="E18" s="61"/>
      <c r="F18" s="61"/>
      <c r="G18" s="61"/>
      <c r="H18" s="61"/>
      <c r="I18" s="59"/>
      <c r="J18" s="61"/>
      <c r="K18" s="61"/>
      <c r="L18" s="61"/>
      <c r="M18" s="61"/>
      <c r="N18" s="59"/>
      <c r="O18" s="61"/>
      <c r="Q18" s="61"/>
      <c r="R18" s="61"/>
      <c r="S18" s="61"/>
      <c r="T18" s="61"/>
      <c r="U18" s="61"/>
      <c r="V18" s="61"/>
      <c r="W18" s="61"/>
      <c r="X18" s="59"/>
      <c r="Y18" s="62"/>
    </row>
    <row r="19" spans="1:25" ht="18" customHeight="1" x14ac:dyDescent="0.15">
      <c r="A19" s="90" t="s">
        <v>53</v>
      </c>
      <c r="B19" s="91"/>
      <c r="C19" s="91" t="s">
        <v>19</v>
      </c>
      <c r="D19" s="92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 spans="1:25" ht="18" customHeight="1" x14ac:dyDescent="0.15">
      <c r="A20" s="90" t="s">
        <v>20</v>
      </c>
      <c r="B20" s="91"/>
      <c r="C20" s="91" t="s">
        <v>21</v>
      </c>
      <c r="D20" s="92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 spans="1:25" ht="18" customHeight="1" x14ac:dyDescent="0.15">
      <c r="A21" s="90" t="s">
        <v>52</v>
      </c>
      <c r="B21" s="91"/>
      <c r="C21" s="91" t="s">
        <v>23</v>
      </c>
      <c r="D21" s="92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 spans="1:25" ht="18" customHeight="1" x14ac:dyDescent="0.15">
      <c r="A22" s="90" t="s">
        <v>24</v>
      </c>
      <c r="B22" s="91"/>
      <c r="C22" s="91" t="s">
        <v>25</v>
      </c>
      <c r="D22" s="92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 spans="1:25" ht="18" customHeight="1" x14ac:dyDescent="0.15">
      <c r="A23" s="90"/>
      <c r="B23" s="91"/>
      <c r="C23" s="91"/>
      <c r="D23" s="92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 spans="1:25" ht="18" customHeight="1" x14ac:dyDescent="0.15">
      <c r="A24" s="90"/>
      <c r="B24" s="91"/>
      <c r="C24" s="91"/>
      <c r="D24" s="92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 spans="1:25" ht="18" customHeight="1" x14ac:dyDescent="0.15">
      <c r="A25" s="99"/>
      <c r="B25" s="100"/>
      <c r="C25" s="100"/>
      <c r="D25" s="101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 spans="1:25" ht="18" customHeight="1" x14ac:dyDescent="0.15">
      <c r="A26" s="99"/>
      <c r="B26" s="100"/>
      <c r="C26" s="100"/>
      <c r="D26" s="101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 spans="1:25" ht="18" customHeight="1" x14ac:dyDescent="0.15">
      <c r="A27" s="99"/>
      <c r="B27" s="100"/>
      <c r="C27" s="100"/>
      <c r="D27" s="101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 spans="1:25" ht="18" customHeight="1" x14ac:dyDescent="0.15">
      <c r="A28" s="99"/>
      <c r="B28" s="100"/>
      <c r="C28" s="100"/>
      <c r="D28" s="101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 spans="1:25" ht="18" customHeight="1" x14ac:dyDescent="0.15">
      <c r="A29" s="99"/>
      <c r="B29" s="100"/>
      <c r="C29" s="100"/>
      <c r="D29" s="101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 spans="1:25" ht="18" customHeight="1" x14ac:dyDescent="0.15">
      <c r="A30" s="99"/>
      <c r="B30" s="100"/>
      <c r="C30" s="100"/>
      <c r="D30" s="101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 spans="1:25" ht="18" customHeight="1" x14ac:dyDescent="0.15">
      <c r="A31" s="99"/>
      <c r="B31" s="100"/>
      <c r="C31" s="100"/>
      <c r="D31" s="101"/>
      <c r="E31" s="63"/>
      <c r="F31" s="63"/>
      <c r="G31" s="63"/>
      <c r="H31" s="64"/>
      <c r="I31" s="63"/>
      <c r="J31" s="63"/>
      <c r="K31" s="56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 spans="1:25" ht="18" customHeight="1" x14ac:dyDescent="0.15">
      <c r="A32" s="99"/>
      <c r="B32" s="100"/>
      <c r="C32" s="100"/>
      <c r="D32" s="101"/>
      <c r="E32" s="63"/>
      <c r="F32" s="56"/>
      <c r="G32" s="63"/>
      <c r="H32" s="63"/>
      <c r="I32" s="63"/>
      <c r="J32" s="63"/>
      <c r="K32" s="63"/>
      <c r="L32" s="63"/>
      <c r="M32" s="56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 spans="1:27" ht="18" customHeight="1" x14ac:dyDescent="0.15">
      <c r="A33" s="37" t="s">
        <v>47</v>
      </c>
      <c r="B33" s="38"/>
      <c r="C33" s="39"/>
      <c r="D33" s="66"/>
      <c r="E33" s="40">
        <v>109</v>
      </c>
      <c r="F33" s="40"/>
      <c r="G33" s="40"/>
      <c r="H33" s="40"/>
      <c r="I33" s="40"/>
      <c r="J33" s="40">
        <v>109</v>
      </c>
      <c r="K33" s="40"/>
      <c r="L33" s="41"/>
      <c r="M33" s="40"/>
      <c r="N33" s="40"/>
      <c r="O33" s="40"/>
      <c r="P33" s="40"/>
      <c r="Q33" s="40"/>
      <c r="R33" s="40"/>
      <c r="S33" s="63"/>
      <c r="T33" s="63"/>
      <c r="U33" s="63"/>
      <c r="V33" s="63"/>
      <c r="W33" s="63"/>
      <c r="X33" s="63"/>
    </row>
    <row r="34" spans="1:27" ht="18" customHeight="1" x14ac:dyDescent="0.15">
      <c r="A34" s="42" t="s">
        <v>48</v>
      </c>
      <c r="B34" s="43" t="s">
        <v>27</v>
      </c>
      <c r="C34" s="44">
        <f>SUM(E34:X34)</f>
        <v>65</v>
      </c>
      <c r="D34" s="67" t="s">
        <v>28</v>
      </c>
      <c r="E34" s="40">
        <v>15</v>
      </c>
      <c r="F34" s="40">
        <v>5</v>
      </c>
      <c r="G34" s="40">
        <v>6</v>
      </c>
      <c r="H34" s="40">
        <v>3</v>
      </c>
      <c r="I34" s="40">
        <v>3</v>
      </c>
      <c r="J34" s="40">
        <v>18</v>
      </c>
      <c r="K34" s="40">
        <v>6</v>
      </c>
      <c r="L34" s="40">
        <v>2</v>
      </c>
      <c r="M34" s="40">
        <v>3</v>
      </c>
      <c r="N34" s="40">
        <v>4</v>
      </c>
      <c r="O34" s="40"/>
      <c r="P34" s="40"/>
      <c r="Q34" s="40"/>
      <c r="R34" s="40"/>
      <c r="S34" s="63"/>
      <c r="T34" s="63"/>
      <c r="U34" s="63"/>
      <c r="V34" s="63"/>
      <c r="W34" s="63"/>
      <c r="X34" s="63"/>
      <c r="Z34" s="45">
        <v>110</v>
      </c>
      <c r="AA34" s="45">
        <f>Z34-INT(Z34/8)-3</f>
        <v>94</v>
      </c>
    </row>
    <row r="35" spans="1:27" ht="18" customHeight="1" x14ac:dyDescent="0.15">
      <c r="A35" s="42" t="s">
        <v>26</v>
      </c>
      <c r="B35" s="43" t="s">
        <v>27</v>
      </c>
      <c r="C35" s="44">
        <f>SUM(E35:X35)</f>
        <v>150</v>
      </c>
      <c r="D35" s="67" t="s">
        <v>28</v>
      </c>
      <c r="E35" s="56">
        <v>94</v>
      </c>
      <c r="F35" s="56">
        <v>5</v>
      </c>
      <c r="G35" s="56">
        <v>7</v>
      </c>
      <c r="H35" s="56">
        <v>3</v>
      </c>
      <c r="I35" s="56">
        <v>3</v>
      </c>
      <c r="J35" s="56">
        <v>23</v>
      </c>
      <c r="K35" s="56">
        <v>6</v>
      </c>
      <c r="L35" s="56">
        <v>2</v>
      </c>
      <c r="M35" s="56">
        <v>3</v>
      </c>
      <c r="N35" s="56">
        <v>4</v>
      </c>
      <c r="O35" s="56"/>
      <c r="P35" s="56"/>
      <c r="Q35" s="56"/>
      <c r="R35" s="56"/>
      <c r="S35" s="56"/>
      <c r="T35" s="56"/>
      <c r="U35" s="56"/>
      <c r="V35" s="56"/>
      <c r="W35" s="56"/>
      <c r="X35" s="56"/>
      <c r="Z35" s="45">
        <v>150</v>
      </c>
      <c r="AA35" s="45">
        <f>Z35-INT(Z35/8)-3</f>
        <v>129</v>
      </c>
    </row>
    <row r="36" spans="1:27" ht="18" customHeight="1" x14ac:dyDescent="0.15">
      <c r="A36" s="90" t="s">
        <v>29</v>
      </c>
      <c r="B36" s="91"/>
      <c r="C36" s="91"/>
      <c r="D36" s="92"/>
      <c r="E36" s="56">
        <v>110</v>
      </c>
      <c r="F36" s="56">
        <v>110</v>
      </c>
      <c r="G36" s="56">
        <v>110</v>
      </c>
      <c r="H36" s="56">
        <v>10</v>
      </c>
      <c r="I36" s="56">
        <v>10</v>
      </c>
      <c r="J36" s="56">
        <v>110</v>
      </c>
      <c r="K36" s="56">
        <v>110</v>
      </c>
      <c r="L36" s="56">
        <v>110</v>
      </c>
      <c r="M36" s="56">
        <v>10</v>
      </c>
      <c r="N36" s="56">
        <v>10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spans="1:27" ht="18" customHeight="1" x14ac:dyDescent="0.15">
      <c r="A37" s="90" t="s">
        <v>30</v>
      </c>
      <c r="B37" s="91"/>
      <c r="C37" s="91"/>
      <c r="D37" s="92"/>
      <c r="E37" s="56">
        <v>6</v>
      </c>
      <c r="F37" s="56">
        <v>0.95</v>
      </c>
      <c r="G37" s="56">
        <v>0.95</v>
      </c>
      <c r="H37" s="56">
        <v>0.95</v>
      </c>
      <c r="I37" s="56">
        <v>0.95</v>
      </c>
      <c r="J37" s="56">
        <v>6</v>
      </c>
      <c r="K37" s="56">
        <v>0.95</v>
      </c>
      <c r="L37" s="56">
        <v>0.95</v>
      </c>
      <c r="M37" s="56">
        <v>0.95</v>
      </c>
      <c r="N37" s="56">
        <v>0.95</v>
      </c>
      <c r="O37" s="56"/>
      <c r="P37" s="56"/>
      <c r="Q37" s="56"/>
      <c r="R37" s="56"/>
      <c r="S37" s="56"/>
      <c r="T37" s="56"/>
      <c r="U37" s="56"/>
      <c r="V37" s="56"/>
      <c r="W37" s="56"/>
      <c r="X37" s="56"/>
    </row>
    <row r="38" spans="1:27" ht="18" customHeight="1" x14ac:dyDescent="0.15">
      <c r="A38" s="90" t="s">
        <v>31</v>
      </c>
      <c r="B38" s="91"/>
      <c r="C38" s="91"/>
      <c r="D38" s="92"/>
      <c r="E38" s="56" t="s">
        <v>32</v>
      </c>
      <c r="F38" s="56" t="s">
        <v>33</v>
      </c>
      <c r="G38" s="56" t="s">
        <v>33</v>
      </c>
      <c r="H38" s="56" t="s">
        <v>33</v>
      </c>
      <c r="I38" s="56" t="s">
        <v>33</v>
      </c>
      <c r="J38" s="56" t="s">
        <v>33</v>
      </c>
      <c r="K38" s="56" t="s">
        <v>32</v>
      </c>
      <c r="L38" s="56" t="s">
        <v>32</v>
      </c>
      <c r="M38" s="56" t="s">
        <v>32</v>
      </c>
      <c r="N38" s="56" t="s">
        <v>32</v>
      </c>
      <c r="O38" s="56"/>
      <c r="P38" s="56"/>
      <c r="Q38" s="56"/>
      <c r="R38" s="56"/>
      <c r="S38" s="56"/>
      <c r="T38" s="56"/>
      <c r="U38" s="56"/>
      <c r="V38" s="56"/>
      <c r="W38" s="56"/>
      <c r="X38" s="56"/>
    </row>
  </sheetData>
  <mergeCells count="74">
    <mergeCell ref="V1:X1"/>
    <mergeCell ref="T4:U4"/>
    <mergeCell ref="V4:X4"/>
    <mergeCell ref="F1:G2"/>
    <mergeCell ref="H1:K2"/>
    <mergeCell ref="L1:M2"/>
    <mergeCell ref="T1:U1"/>
    <mergeCell ref="N1:O4"/>
    <mergeCell ref="P1:S2"/>
    <mergeCell ref="T2:U3"/>
    <mergeCell ref="V2:X3"/>
    <mergeCell ref="S3:S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36:D36"/>
    <mergeCell ref="A37:D37"/>
    <mergeCell ref="A38:D38"/>
    <mergeCell ref="A1:E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C25:D25"/>
    <mergeCell ref="A3:E4"/>
    <mergeCell ref="F3:G4"/>
    <mergeCell ref="H3:K4"/>
    <mergeCell ref="L3:M4"/>
    <mergeCell ref="P3:R4"/>
  </mergeCells>
  <phoneticPr fontId="2"/>
  <pageMargins left="0.78740157480314965" right="0" top="0.39370078740157483" bottom="0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8"/>
  <dimension ref="A1:Y36"/>
  <sheetViews>
    <sheetView view="pageBreakPreview" zoomScaleNormal="100" zoomScaleSheetLayoutView="100" workbookViewId="0">
      <selection activeCell="G4" sqref="G4"/>
    </sheetView>
  </sheetViews>
  <sheetFormatPr defaultRowHeight="11.25" x14ac:dyDescent="0.15"/>
  <cols>
    <col min="1" max="1" width="5.125" style="28" customWidth="1"/>
    <col min="2" max="2" width="0.875" style="28" customWidth="1"/>
    <col min="3" max="3" width="4.625" style="28" customWidth="1"/>
    <col min="4" max="4" width="0.875" style="28" customWidth="1"/>
    <col min="5" max="24" width="4.125" style="3" customWidth="1"/>
    <col min="25" max="16384" width="9" style="3"/>
  </cols>
  <sheetData>
    <row r="1" spans="1:25" ht="20.100000000000001" customHeight="1" x14ac:dyDescent="0.15">
      <c r="A1" s="161" t="s">
        <v>0</v>
      </c>
      <c r="B1" s="161"/>
      <c r="C1" s="161"/>
      <c r="D1" s="161"/>
      <c r="E1" s="161"/>
      <c r="F1" s="162" t="s">
        <v>34</v>
      </c>
      <c r="G1" s="163"/>
      <c r="H1" s="156" t="s">
        <v>1</v>
      </c>
      <c r="I1" s="157"/>
      <c r="J1" s="157"/>
      <c r="K1" s="157"/>
      <c r="L1" s="157"/>
      <c r="M1" s="157"/>
      <c r="N1" s="158" t="s">
        <v>2</v>
      </c>
      <c r="O1" s="158"/>
      <c r="P1" s="159">
        <v>38056</v>
      </c>
      <c r="Q1" s="160"/>
      <c r="R1" s="160"/>
      <c r="S1" s="160"/>
      <c r="T1" s="155" t="s">
        <v>3</v>
      </c>
      <c r="U1" s="155"/>
      <c r="V1" s="150" t="s">
        <v>39</v>
      </c>
      <c r="W1" s="150"/>
      <c r="X1" s="150"/>
    </row>
    <row r="2" spans="1:25" ht="20.100000000000001" customHeight="1" x14ac:dyDescent="0.15">
      <c r="A2" s="151" t="s">
        <v>4</v>
      </c>
      <c r="B2" s="151"/>
      <c r="C2" s="151"/>
      <c r="D2" s="151"/>
      <c r="E2" s="151"/>
      <c r="F2" s="152" t="s">
        <v>36</v>
      </c>
      <c r="G2" s="148"/>
      <c r="H2" s="30" t="s">
        <v>1</v>
      </c>
      <c r="I2" s="30"/>
      <c r="J2" s="30"/>
      <c r="K2" s="30" t="s">
        <v>38</v>
      </c>
      <c r="L2" s="31"/>
      <c r="M2" s="32"/>
      <c r="N2" s="151" t="s">
        <v>5</v>
      </c>
      <c r="O2" s="151"/>
      <c r="P2" s="153" t="s">
        <v>40</v>
      </c>
      <c r="Q2" s="153"/>
      <c r="R2" s="154"/>
      <c r="S2" s="33" t="s">
        <v>37</v>
      </c>
      <c r="T2" s="155" t="s">
        <v>6</v>
      </c>
      <c r="U2" s="155"/>
      <c r="V2" s="150">
        <v>2004.1</v>
      </c>
      <c r="W2" s="150"/>
      <c r="X2" s="150"/>
    </row>
    <row r="3" spans="1:25" ht="18" customHeight="1" x14ac:dyDescent="0.15">
      <c r="A3" s="164"/>
      <c r="B3" s="165"/>
      <c r="C3" s="165"/>
      <c r="D3" s="16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43"/>
      <c r="B4" s="144"/>
      <c r="C4" s="144"/>
      <c r="D4" s="14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spans="1:25" ht="18" customHeight="1" x14ac:dyDescent="0.15">
      <c r="A5" s="143"/>
      <c r="B5" s="144"/>
      <c r="C5" s="144"/>
      <c r="D5" s="144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</row>
    <row r="6" spans="1:25" ht="18" customHeight="1" x14ac:dyDescent="0.15">
      <c r="A6" s="143"/>
      <c r="B6" s="144"/>
      <c r="C6" s="144"/>
      <c r="D6" s="144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1:25" ht="18" customHeight="1" x14ac:dyDescent="0.15">
      <c r="A7" s="143"/>
      <c r="B7" s="144"/>
      <c r="C7" s="144"/>
      <c r="D7" s="144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spans="1:25" ht="147.75" customHeight="1" x14ac:dyDescent="0.15">
      <c r="A8" s="143"/>
      <c r="B8" s="144"/>
      <c r="C8" s="144"/>
      <c r="D8" s="144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spans="1:25" ht="18" customHeight="1" x14ac:dyDescent="0.15">
      <c r="A9" s="143"/>
      <c r="B9" s="144"/>
      <c r="C9" s="144"/>
      <c r="D9" s="144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</row>
    <row r="10" spans="1:25" ht="18" customHeight="1" x14ac:dyDescent="0.15">
      <c r="A10" s="143"/>
      <c r="B10" s="144"/>
      <c r="C10" s="144"/>
      <c r="D10" s="144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 spans="1:25" ht="18" customHeight="1" x14ac:dyDescent="0.15">
      <c r="A11" s="145"/>
      <c r="B11" s="146"/>
      <c r="C11" s="144"/>
      <c r="D11" s="144"/>
      <c r="E11" s="8"/>
      <c r="F11" s="11"/>
      <c r="G11" s="11"/>
      <c r="H11" s="11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</row>
    <row r="12" spans="1:25" ht="18" customHeight="1" x14ac:dyDescent="0.15">
      <c r="A12" s="145"/>
      <c r="B12" s="146"/>
      <c r="C12" s="147"/>
      <c r="D12" s="147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</row>
    <row r="13" spans="1:25" ht="18" customHeight="1" x14ac:dyDescent="0.15">
      <c r="A13" s="148"/>
      <c r="B13" s="149"/>
      <c r="C13" s="149"/>
      <c r="D13" s="149"/>
      <c r="E13" s="12"/>
      <c r="F13" s="12"/>
      <c r="G13" s="12"/>
      <c r="H13" s="12"/>
      <c r="I13" s="12"/>
      <c r="J13" s="12"/>
      <c r="K13" s="12"/>
      <c r="L13" s="13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4"/>
    </row>
    <row r="14" spans="1:25" s="16" customFormat="1" ht="18" customHeight="1" x14ac:dyDescent="0.15">
      <c r="A14" s="139" t="s">
        <v>7</v>
      </c>
      <c r="B14" s="139"/>
      <c r="C14" s="139"/>
      <c r="D14" s="139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5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9" customFormat="1" ht="18" customHeight="1" x14ac:dyDescent="0.15">
      <c r="A15" s="139" t="s">
        <v>8</v>
      </c>
      <c r="B15" s="139"/>
      <c r="C15" s="139"/>
      <c r="D15" s="139"/>
      <c r="E15" s="17" t="s">
        <v>9</v>
      </c>
      <c r="F15" s="17" t="s">
        <v>10</v>
      </c>
      <c r="G15" s="17" t="s">
        <v>11</v>
      </c>
      <c r="H15" s="17" t="s">
        <v>12</v>
      </c>
      <c r="I15" s="17" t="s">
        <v>13</v>
      </c>
      <c r="J15" s="17" t="s">
        <v>14</v>
      </c>
      <c r="K15" s="17" t="s">
        <v>15</v>
      </c>
      <c r="L15" s="17" t="s">
        <v>16</v>
      </c>
      <c r="M15" s="17" t="s">
        <v>17</v>
      </c>
      <c r="N15" s="18" t="s">
        <v>18</v>
      </c>
      <c r="O15" s="17"/>
      <c r="P15" s="29"/>
      <c r="Q15" s="17"/>
      <c r="R15" s="18"/>
      <c r="S15" s="17"/>
      <c r="T15" s="17"/>
      <c r="U15" s="17"/>
      <c r="V15" s="17"/>
      <c r="W15" s="17"/>
      <c r="X15" s="17"/>
    </row>
    <row r="16" spans="1:25" s="19" customFormat="1" ht="125.1" customHeight="1" x14ac:dyDescent="0.15">
      <c r="A16" s="140"/>
      <c r="B16" s="141"/>
      <c r="C16" s="141"/>
      <c r="D16" s="142"/>
      <c r="E16" s="20"/>
      <c r="F16" s="20"/>
      <c r="G16" s="20"/>
      <c r="H16" s="20"/>
      <c r="I16" s="18"/>
      <c r="J16" s="20"/>
      <c r="K16" s="20"/>
      <c r="L16" s="20"/>
      <c r="M16" s="20"/>
      <c r="N16" s="18"/>
      <c r="O16" s="20"/>
      <c r="Q16" s="20"/>
      <c r="R16" s="20"/>
      <c r="S16" s="20"/>
      <c r="T16" s="20"/>
      <c r="U16" s="20"/>
      <c r="V16" s="20"/>
      <c r="W16" s="20"/>
      <c r="X16" s="18"/>
      <c r="Y16" s="21"/>
    </row>
    <row r="17" spans="1:24" ht="18" customHeight="1" x14ac:dyDescent="0.15">
      <c r="A17" s="140" t="s">
        <v>35</v>
      </c>
      <c r="B17" s="141"/>
      <c r="C17" s="141" t="s">
        <v>19</v>
      </c>
      <c r="D17" s="14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8" customHeight="1" x14ac:dyDescent="0.15">
      <c r="A18" s="140" t="s">
        <v>20</v>
      </c>
      <c r="B18" s="141"/>
      <c r="C18" s="141" t="s">
        <v>21</v>
      </c>
      <c r="D18" s="14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8" customHeight="1" x14ac:dyDescent="0.15">
      <c r="A19" s="140" t="s">
        <v>22</v>
      </c>
      <c r="B19" s="141"/>
      <c r="C19" s="141" t="s">
        <v>23</v>
      </c>
      <c r="D19" s="14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8" customHeight="1" x14ac:dyDescent="0.15">
      <c r="A20" s="140" t="s">
        <v>24</v>
      </c>
      <c r="B20" s="141"/>
      <c r="C20" s="141" t="s">
        <v>25</v>
      </c>
      <c r="D20" s="14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8" customHeight="1" x14ac:dyDescent="0.15">
      <c r="A21" s="140"/>
      <c r="B21" s="141"/>
      <c r="C21" s="141"/>
      <c r="D21" s="14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8" customHeight="1" x14ac:dyDescent="0.15">
      <c r="A22" s="140"/>
      <c r="B22" s="141"/>
      <c r="C22" s="141"/>
      <c r="D22" s="14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8" customHeight="1" x14ac:dyDescent="0.15">
      <c r="A23" s="133"/>
      <c r="B23" s="134"/>
      <c r="C23" s="134"/>
      <c r="D23" s="135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8" customHeight="1" x14ac:dyDescent="0.15">
      <c r="A24" s="133"/>
      <c r="B24" s="134"/>
      <c r="C24" s="134"/>
      <c r="D24" s="135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8" customHeight="1" x14ac:dyDescent="0.15">
      <c r="A25" s="133"/>
      <c r="B25" s="134"/>
      <c r="C25" s="134"/>
      <c r="D25" s="135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8" customHeight="1" x14ac:dyDescent="0.15">
      <c r="A26" s="133"/>
      <c r="B26" s="134"/>
      <c r="C26" s="134"/>
      <c r="D26" s="135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8" customHeight="1" x14ac:dyDescent="0.15">
      <c r="A27" s="133"/>
      <c r="B27" s="134"/>
      <c r="C27" s="134"/>
      <c r="D27" s="135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8" customHeight="1" x14ac:dyDescent="0.15">
      <c r="A28" s="133"/>
      <c r="B28" s="134"/>
      <c r="C28" s="134"/>
      <c r="D28" s="135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8" customHeight="1" x14ac:dyDescent="0.15">
      <c r="A29" s="133"/>
      <c r="B29" s="134"/>
      <c r="C29" s="134"/>
      <c r="D29" s="135"/>
      <c r="E29" s="22"/>
      <c r="F29" s="22"/>
      <c r="G29" s="22"/>
      <c r="H29" s="23"/>
      <c r="I29" s="22"/>
      <c r="J29" s="22"/>
      <c r="K29" s="1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8" customHeight="1" x14ac:dyDescent="0.15">
      <c r="A30" s="133"/>
      <c r="B30" s="134"/>
      <c r="C30" s="134"/>
      <c r="D30" s="135"/>
      <c r="E30" s="22"/>
      <c r="F30" s="1"/>
      <c r="G30" s="22"/>
      <c r="H30" s="22"/>
      <c r="I30" s="22"/>
      <c r="J30" s="22"/>
      <c r="K30" s="22"/>
      <c r="L30" s="22"/>
      <c r="M30" s="1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8" customHeight="1" x14ac:dyDescent="0.15">
      <c r="A31" s="133"/>
      <c r="B31" s="134"/>
      <c r="C31" s="134"/>
      <c r="D31" s="135"/>
      <c r="E31" s="22"/>
      <c r="F31" s="22"/>
      <c r="G31" s="22"/>
      <c r="H31" s="22"/>
      <c r="I31" s="1"/>
      <c r="J31" s="1"/>
      <c r="K31" s="22"/>
      <c r="L31" s="22"/>
      <c r="M31" s="22"/>
      <c r="N31" s="1"/>
      <c r="O31" s="1"/>
      <c r="P31" s="2"/>
      <c r="Q31" s="2"/>
      <c r="R31" s="2"/>
      <c r="S31" s="22"/>
      <c r="T31" s="22"/>
      <c r="U31" s="22"/>
      <c r="V31" s="22"/>
      <c r="W31" s="22"/>
      <c r="X31" s="22"/>
    </row>
    <row r="32" spans="1:24" ht="18" customHeight="1" x14ac:dyDescent="0.15">
      <c r="A32" s="133"/>
      <c r="B32" s="134"/>
      <c r="C32" s="134"/>
      <c r="D32" s="135"/>
      <c r="E32" s="1"/>
      <c r="F32" s="1"/>
      <c r="G32" s="1"/>
      <c r="H32" s="1"/>
      <c r="I32" s="1"/>
      <c r="J32" s="1"/>
      <c r="K32" s="1"/>
      <c r="L32" s="1"/>
      <c r="M32" s="1"/>
      <c r="N32" s="1"/>
      <c r="O32" s="22"/>
      <c r="P32" s="2"/>
      <c r="Q32" s="2"/>
      <c r="R32" s="2"/>
      <c r="S32" s="22"/>
      <c r="T32" s="22"/>
      <c r="U32" s="22"/>
      <c r="V32" s="22"/>
      <c r="W32" s="22"/>
      <c r="X32" s="22"/>
    </row>
    <row r="33" spans="1:24" ht="18" customHeight="1" x14ac:dyDescent="0.15">
      <c r="A33" s="24" t="s">
        <v>26</v>
      </c>
      <c r="B33" s="25" t="s">
        <v>27</v>
      </c>
      <c r="C33" s="26">
        <f>SUM(E33:X33)</f>
        <v>150</v>
      </c>
      <c r="D33" s="27" t="s">
        <v>28</v>
      </c>
      <c r="E33" s="1">
        <v>98</v>
      </c>
      <c r="F33" s="1">
        <v>6</v>
      </c>
      <c r="G33" s="1">
        <v>2</v>
      </c>
      <c r="H33" s="1">
        <v>3</v>
      </c>
      <c r="I33" s="1">
        <v>3</v>
      </c>
      <c r="J33" s="1">
        <v>23</v>
      </c>
      <c r="K33" s="1">
        <v>6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36" t="s">
        <v>29</v>
      </c>
      <c r="B34" s="137"/>
      <c r="C34" s="137"/>
      <c r="D34" s="138"/>
      <c r="E34" s="5">
        <v>110</v>
      </c>
      <c r="F34" s="5">
        <v>110</v>
      </c>
      <c r="G34" s="5">
        <v>110</v>
      </c>
      <c r="H34" s="5">
        <v>10</v>
      </c>
      <c r="I34" s="5">
        <v>10</v>
      </c>
      <c r="J34" s="5">
        <v>110</v>
      </c>
      <c r="K34" s="5">
        <v>110</v>
      </c>
      <c r="L34" s="5">
        <v>110</v>
      </c>
      <c r="M34" s="5">
        <v>10</v>
      </c>
      <c r="N34" s="5">
        <v>10</v>
      </c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36" t="s">
        <v>30</v>
      </c>
      <c r="B35" s="137"/>
      <c r="C35" s="137"/>
      <c r="D35" s="138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6</v>
      </c>
      <c r="K35" s="5">
        <v>0.95</v>
      </c>
      <c r="L35" s="5">
        <v>0.95</v>
      </c>
      <c r="M35" s="5">
        <v>0.95</v>
      </c>
      <c r="N35" s="5">
        <v>0.95</v>
      </c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36" t="s">
        <v>31</v>
      </c>
      <c r="B36" s="137"/>
      <c r="C36" s="137"/>
      <c r="D36" s="138"/>
      <c r="E36" s="5" t="s">
        <v>32</v>
      </c>
      <c r="F36" s="5" t="s">
        <v>33</v>
      </c>
      <c r="G36" s="5" t="s">
        <v>33</v>
      </c>
      <c r="H36" s="5" t="s">
        <v>33</v>
      </c>
      <c r="I36" s="5" t="s">
        <v>33</v>
      </c>
      <c r="J36" s="5" t="s">
        <v>33</v>
      </c>
      <c r="K36" s="5" t="s">
        <v>32</v>
      </c>
      <c r="L36" s="5" t="s">
        <v>32</v>
      </c>
      <c r="M36" s="5" t="s">
        <v>32</v>
      </c>
      <c r="N36" s="5" t="s">
        <v>32</v>
      </c>
      <c r="O36" s="5"/>
      <c r="P36" s="5"/>
      <c r="Q36" s="5"/>
      <c r="R36" s="5"/>
      <c r="S36" s="5"/>
      <c r="T36" s="5"/>
      <c r="U36" s="5"/>
      <c r="V36" s="5"/>
      <c r="W36" s="5"/>
      <c r="X36" s="5"/>
    </row>
  </sheetData>
  <mergeCells count="73">
    <mergeCell ref="A8:B8"/>
    <mergeCell ref="C8:D8"/>
    <mergeCell ref="A6:B6"/>
    <mergeCell ref="C6:D6"/>
    <mergeCell ref="A7:B7"/>
    <mergeCell ref="C7:D7"/>
    <mergeCell ref="A4:B4"/>
    <mergeCell ref="C4:D4"/>
    <mergeCell ref="A5:B5"/>
    <mergeCell ref="C5:D5"/>
    <mergeCell ref="T1:U1"/>
    <mergeCell ref="A1:E1"/>
    <mergeCell ref="F1:G1"/>
    <mergeCell ref="A3:B3"/>
    <mergeCell ref="C3:D3"/>
    <mergeCell ref="V1:X1"/>
    <mergeCell ref="A2:E2"/>
    <mergeCell ref="F2:G2"/>
    <mergeCell ref="N2:O2"/>
    <mergeCell ref="P2:R2"/>
    <mergeCell ref="T2:U2"/>
    <mergeCell ref="V2:X2"/>
    <mergeCell ref="H1:M1"/>
    <mergeCell ref="N1:O1"/>
    <mergeCell ref="P1:S1"/>
    <mergeCell ref="A9:B9"/>
    <mergeCell ref="C9:D9"/>
    <mergeCell ref="A10:B10"/>
    <mergeCell ref="C10:D10"/>
    <mergeCell ref="A14:D14"/>
    <mergeCell ref="A11:B11"/>
    <mergeCell ref="A12:B12"/>
    <mergeCell ref="C12:D12"/>
    <mergeCell ref="C11:D11"/>
    <mergeCell ref="A13:B13"/>
    <mergeCell ref="C13:D13"/>
    <mergeCell ref="A16:D16"/>
    <mergeCell ref="A17:B17"/>
    <mergeCell ref="C17:D17"/>
    <mergeCell ref="A18:B18"/>
    <mergeCell ref="C18:D18"/>
    <mergeCell ref="C28:D28"/>
    <mergeCell ref="A29:B29"/>
    <mergeCell ref="C29:D29"/>
    <mergeCell ref="A15:D15"/>
    <mergeCell ref="C23:D23"/>
    <mergeCell ref="A24:B24"/>
    <mergeCell ref="C24:D24"/>
    <mergeCell ref="A20:B20"/>
    <mergeCell ref="C20:D20"/>
    <mergeCell ref="A21:B21"/>
    <mergeCell ref="C21:D21"/>
    <mergeCell ref="A22:B22"/>
    <mergeCell ref="C22:D22"/>
    <mergeCell ref="A23:B23"/>
    <mergeCell ref="A19:B19"/>
    <mergeCell ref="C19:D19"/>
    <mergeCell ref="A30:B30"/>
    <mergeCell ref="C30:D30"/>
    <mergeCell ref="A31:B31"/>
    <mergeCell ref="A36:D36"/>
    <mergeCell ref="C25:D25"/>
    <mergeCell ref="A26:B26"/>
    <mergeCell ref="C26:D26"/>
    <mergeCell ref="A27:B27"/>
    <mergeCell ref="A25:B25"/>
    <mergeCell ref="A34:D34"/>
    <mergeCell ref="A35:D35"/>
    <mergeCell ref="A28:B28"/>
    <mergeCell ref="C31:D31"/>
    <mergeCell ref="A32:B32"/>
    <mergeCell ref="C32:D32"/>
    <mergeCell ref="C27:D27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2026-02-07</vt:lpstr>
      <vt:lpstr>420055</vt:lpstr>
      <vt:lpstr>'2026-02-07'!Print_Area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川本　栄次</cp:lastModifiedBy>
  <cp:lastPrinted>2025-06-09T02:12:04Z</cp:lastPrinted>
  <dcterms:created xsi:type="dcterms:W3CDTF">2003-04-03T01:43:34Z</dcterms:created>
  <dcterms:modified xsi:type="dcterms:W3CDTF">2026-02-13T03:45:54Z</dcterms:modified>
</cp:coreProperties>
</file>