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5関連\切替後現示階梯図（これが最終）\"/>
    </mc:Choice>
  </mc:AlternateContent>
  <xr:revisionPtr revIDLastSave="0" documentId="13_ncr:1_{9A48904F-8EAA-4CD0-A92C-20758C3C5A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13" sheetId="3" r:id="rId1"/>
    <sheet name="70345" sheetId="1" r:id="rId2"/>
    <sheet name="440345" sheetId="2" r:id="rId3"/>
  </sheets>
  <definedNames>
    <definedName name="_xlnm.Print_Area" localSheetId="0">'2026-02-13'!$A$1:$X$38</definedName>
    <definedName name="_xlnm.Print_Area" localSheetId="2">'440345'!$A$1:$X$36</definedName>
    <definedName name="_xlnm.Print_Area" localSheetId="1">'70345'!$B$2:$CG$82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4" i="3" l="1"/>
  <c r="AA35" i="3"/>
  <c r="C35" i="3"/>
  <c r="C34" i="3"/>
  <c r="AA15" i="3"/>
  <c r="AD15" i="3" s="1"/>
  <c r="AA14" i="3"/>
  <c r="AD14" i="3" s="1"/>
  <c r="B79" i="1"/>
  <c r="B78" i="1"/>
  <c r="J26" i="1"/>
  <c r="N26" i="1" s="1"/>
  <c r="R26" i="1" s="1"/>
  <c r="V26" i="1" s="1"/>
  <c r="Z26" i="1" s="1"/>
  <c r="AD26" i="1" s="1"/>
  <c r="AH26" i="1" s="1"/>
  <c r="AL26" i="1" s="1"/>
  <c r="AP26" i="1" s="1"/>
  <c r="AT26" i="1" s="1"/>
  <c r="AX26" i="1" s="1"/>
  <c r="BB26" i="1" s="1"/>
  <c r="BF26" i="1" s="1"/>
  <c r="BJ26" i="1" s="1"/>
  <c r="BN26" i="1" s="1"/>
  <c r="BR26" i="1" s="1"/>
  <c r="BV26" i="1" s="1"/>
  <c r="BZ26" i="1" s="1"/>
  <c r="CD26" i="1" s="1"/>
  <c r="C33" i="2"/>
</calcChain>
</file>

<file path=xl/sharedStrings.xml><?xml version="1.0" encoding="utf-8"?>
<sst xmlns="http://schemas.openxmlformats.org/spreadsheetml/2006/main" count="151" uniqueCount="97">
  <si>
    <t>規制番号・名称</t>
    <rPh sb="0" eb="2">
      <t>キセイ</t>
    </rPh>
    <rPh sb="2" eb="4">
      <t>バンゴウ</t>
    </rPh>
    <phoneticPr fontId="1"/>
  </si>
  <si>
    <t>7-0345　　新川崎橋</t>
    <rPh sb="8" eb="9">
      <t>シン</t>
    </rPh>
    <rPh sb="9" eb="10">
      <t>カワ</t>
    </rPh>
    <rPh sb="10" eb="11">
      <t>サキ</t>
    </rPh>
    <rPh sb="11" eb="12">
      <t>バシ</t>
    </rPh>
    <phoneticPr fontId="1"/>
  </si>
  <si>
    <t>運　用</t>
    <rPh sb="0" eb="1">
      <t>ウン</t>
    </rPh>
    <rPh sb="2" eb="3">
      <t>ヨウ</t>
    </rPh>
    <phoneticPr fontId="1"/>
  </si>
  <si>
    <t>製造番号</t>
  </si>
  <si>
    <t>製造年月</t>
  </si>
  <si>
    <t>管制番号・名称</t>
    <rPh sb="2" eb="4">
      <t>バンゴウ</t>
    </rPh>
    <phoneticPr fontId="1"/>
  </si>
  <si>
    <t xml:space="preserve">70345    　新川崎橋  </t>
    <rPh sb="10" eb="11">
      <t>シン</t>
    </rPh>
    <rPh sb="11" eb="12">
      <t>カワ</t>
    </rPh>
    <rPh sb="12" eb="13">
      <t>サキ</t>
    </rPh>
    <rPh sb="13" eb="14">
      <t>バシ</t>
    </rPh>
    <phoneticPr fontId="1"/>
  </si>
  <si>
    <t>（ＵＣ形）</t>
    <phoneticPr fontId="1"/>
  </si>
  <si>
    <t>開始日時</t>
  </si>
  <si>
    <t>メーカー</t>
    <phoneticPr fontId="1"/>
  </si>
  <si>
    <t>小糸工業㈱</t>
    <rPh sb="0" eb="2">
      <t>コイト</t>
    </rPh>
    <rPh sb="2" eb="4">
      <t>コウギョウ</t>
    </rPh>
    <phoneticPr fontId="1"/>
  </si>
  <si>
    <t xml:space="preserve">  </t>
    <phoneticPr fontId="1"/>
  </si>
  <si>
    <t>ｽﾃｯﾌﾟ番号</t>
    <rPh sb="5" eb="7">
      <t>バンゴウ</t>
    </rPh>
    <phoneticPr fontId="1"/>
  </si>
  <si>
    <t>ｽﾃｯﾌﾟ名称</t>
  </si>
  <si>
    <t>1PG</t>
  </si>
  <si>
    <t>1PW</t>
  </si>
  <si>
    <t>1G</t>
  </si>
  <si>
    <t>1Y</t>
  </si>
  <si>
    <t>1R</t>
    <phoneticPr fontId="1"/>
  </si>
  <si>
    <t>2PG</t>
    <phoneticPr fontId="1"/>
  </si>
  <si>
    <t>2PW</t>
    <phoneticPr fontId="1"/>
  </si>
  <si>
    <t>2G</t>
    <phoneticPr fontId="1"/>
  </si>
  <si>
    <t>2Y</t>
    <phoneticPr fontId="1"/>
  </si>
  <si>
    <t>2R</t>
    <phoneticPr fontId="1"/>
  </si>
  <si>
    <t>流 動 図</t>
    <rPh sb="2" eb="3">
      <t>ドウ</t>
    </rPh>
    <phoneticPr fontId="1"/>
  </si>
  <si>
    <t xml:space="preserve">  </t>
    <phoneticPr fontId="1"/>
  </si>
  <si>
    <t>(1P)</t>
    <phoneticPr fontId="1"/>
  </si>
  <si>
    <t>[1P]</t>
    <phoneticPr fontId="1"/>
  </si>
  <si>
    <t>[1V]</t>
    <phoneticPr fontId="1"/>
  </si>
  <si>
    <t>2P</t>
    <phoneticPr fontId="1"/>
  </si>
  <si>
    <t>[2P]</t>
    <phoneticPr fontId="1"/>
  </si>
  <si>
    <t>2</t>
    <phoneticPr fontId="1"/>
  </si>
  <si>
    <t>[2V]</t>
    <phoneticPr fontId="1"/>
  </si>
  <si>
    <t xml:space="preserve"> PU</t>
    <phoneticPr fontId="1"/>
  </si>
  <si>
    <t>　</t>
    <phoneticPr fontId="1"/>
  </si>
  <si>
    <t>最長時間（秒）</t>
  </si>
  <si>
    <t>最短時間（秒）</t>
    <phoneticPr fontId="1"/>
  </si>
  <si>
    <t>AB連動出力</t>
  </si>
  <si>
    <t>Ａ</t>
  </si>
  <si>
    <t>Ｂ</t>
  </si>
  <si>
    <t>規制番号　名称</t>
    <rPh sb="0" eb="2">
      <t>キセイ</t>
    </rPh>
    <rPh sb="2" eb="4">
      <t>バンゴウ</t>
    </rPh>
    <rPh sb="5" eb="7">
      <t>メイショウ</t>
    </rPh>
    <phoneticPr fontId="1"/>
  </si>
  <si>
    <t xml:space="preserve">7-0345 </t>
    <phoneticPr fontId="1"/>
  </si>
  <si>
    <t>新川崎橋</t>
    <rPh sb="0" eb="3">
      <t>シンカワサキ</t>
    </rPh>
    <rPh sb="3" eb="4">
      <t>バシ</t>
    </rPh>
    <phoneticPr fontId="1"/>
  </si>
  <si>
    <t>H.  年  月  日</t>
    <rPh sb="4" eb="5">
      <t>ネン</t>
    </rPh>
    <rPh sb="7" eb="8">
      <t>ガツ</t>
    </rPh>
    <rPh sb="10" eb="11">
      <t>ニチ</t>
    </rPh>
    <phoneticPr fontId="1"/>
  </si>
  <si>
    <t>製造番号</t>
    <rPh sb="0" eb="2">
      <t>セイゾウ</t>
    </rPh>
    <rPh sb="2" eb="4">
      <t>バンゴウ</t>
    </rPh>
    <phoneticPr fontId="1"/>
  </si>
  <si>
    <t>0E6782</t>
    <phoneticPr fontId="1"/>
  </si>
  <si>
    <t>管制番号　名称</t>
    <rPh sb="0" eb="2">
      <t>カンセイ</t>
    </rPh>
    <rPh sb="2" eb="4">
      <t>バンゴウ</t>
    </rPh>
    <rPh sb="5" eb="7">
      <t>メイショウ</t>
    </rPh>
    <phoneticPr fontId="1"/>
  </si>
  <si>
    <t xml:space="preserve">440345 </t>
    <phoneticPr fontId="1"/>
  </si>
  <si>
    <t>（Ｘ１集中）</t>
    <rPh sb="3" eb="5">
      <t>シュウチュウ</t>
    </rPh>
    <phoneticPr fontId="1"/>
  </si>
  <si>
    <t>開始日時</t>
    <rPh sb="0" eb="2">
      <t>カイシ</t>
    </rPh>
    <rPh sb="2" eb="4">
      <t>ニチジ</t>
    </rPh>
    <phoneticPr fontId="1"/>
  </si>
  <si>
    <t xml:space="preserve">  時  分</t>
    <rPh sb="2" eb="3">
      <t>ジ</t>
    </rPh>
    <rPh sb="5" eb="6">
      <t>フン</t>
    </rPh>
    <phoneticPr fontId="1"/>
  </si>
  <si>
    <t>～</t>
    <phoneticPr fontId="1"/>
  </si>
  <si>
    <t>製造年月</t>
    <rPh sb="0" eb="2">
      <t>セイゾウ</t>
    </rPh>
    <rPh sb="2" eb="4">
      <t>ネンゲツ</t>
    </rPh>
    <phoneticPr fontId="1"/>
  </si>
  <si>
    <t>昭和61年11月</t>
    <rPh sb="0" eb="2">
      <t>ショウワ</t>
    </rPh>
    <rPh sb="4" eb="5">
      <t>ネン</t>
    </rPh>
    <rPh sb="7" eb="8">
      <t>ガツ</t>
    </rPh>
    <phoneticPr fontId="1"/>
  </si>
  <si>
    <t>ステップ番号</t>
    <rPh sb="4" eb="6">
      <t>バンゴウ</t>
    </rPh>
    <phoneticPr fontId="1"/>
  </si>
  <si>
    <t>ステップ名称</t>
    <rPh sb="4" eb="6">
      <t>メイショウ</t>
    </rPh>
    <phoneticPr fontId="1"/>
  </si>
  <si>
    <t>1PG</t>
    <phoneticPr fontId="1"/>
  </si>
  <si>
    <t>1PW</t>
    <phoneticPr fontId="1"/>
  </si>
  <si>
    <t>1 G</t>
    <phoneticPr fontId="1"/>
  </si>
  <si>
    <t>1 Y</t>
    <phoneticPr fontId="1"/>
  </si>
  <si>
    <t>1 R</t>
    <phoneticPr fontId="1"/>
  </si>
  <si>
    <t>2PG</t>
    <phoneticPr fontId="1"/>
  </si>
  <si>
    <t>2PW</t>
    <phoneticPr fontId="1"/>
  </si>
  <si>
    <t>2 G</t>
    <phoneticPr fontId="1"/>
  </si>
  <si>
    <t>2 Y</t>
    <phoneticPr fontId="1"/>
  </si>
  <si>
    <t>2 R</t>
    <phoneticPr fontId="1"/>
  </si>
  <si>
    <t xml:space="preserve"> 　（ １Ｐ ） </t>
    <phoneticPr fontId="1"/>
  </si>
  <si>
    <t>[ 1P ]</t>
    <phoneticPr fontId="1"/>
  </si>
  <si>
    <t>１</t>
    <phoneticPr fontId="1"/>
  </si>
  <si>
    <t>[ 1V ]</t>
    <phoneticPr fontId="1"/>
  </si>
  <si>
    <t xml:space="preserve">  ２Ｐ</t>
    <phoneticPr fontId="1"/>
  </si>
  <si>
    <t>[ 2P ]</t>
    <phoneticPr fontId="1"/>
  </si>
  <si>
    <t>２</t>
    <phoneticPr fontId="1"/>
  </si>
  <si>
    <t>[ 2V ]</t>
    <phoneticPr fontId="1"/>
  </si>
  <si>
    <t>保安秒時</t>
    <rPh sb="0" eb="2">
      <t>ホアン</t>
    </rPh>
    <rPh sb="2" eb="4">
      <t>ビョウジ</t>
    </rPh>
    <phoneticPr fontId="1"/>
  </si>
  <si>
    <t>(</t>
    <phoneticPr fontId="1"/>
  </si>
  <si>
    <t>)</t>
    <phoneticPr fontId="1"/>
  </si>
  <si>
    <t>最長時間（秒）</t>
    <rPh sb="0" eb="2">
      <t>サイチョウ</t>
    </rPh>
    <rPh sb="2" eb="4">
      <t>ジカン</t>
    </rPh>
    <rPh sb="5" eb="6">
      <t>ビョウ</t>
    </rPh>
    <phoneticPr fontId="1"/>
  </si>
  <si>
    <t>最短時間（秒）</t>
    <rPh sb="0" eb="2">
      <t>サイタン</t>
    </rPh>
    <rPh sb="2" eb="4">
      <t>ジカン</t>
    </rPh>
    <rPh sb="5" eb="6">
      <t>ビョウ</t>
    </rPh>
    <phoneticPr fontId="1"/>
  </si>
  <si>
    <t>ＡＢ連動出力</t>
    <rPh sb="2" eb="4">
      <t>レンドウ</t>
    </rPh>
    <rPh sb="4" eb="6">
      <t>シュツリョク</t>
    </rPh>
    <phoneticPr fontId="1"/>
  </si>
  <si>
    <t>A</t>
    <phoneticPr fontId="1"/>
  </si>
  <si>
    <t>B</t>
    <phoneticPr fontId="1"/>
  </si>
  <si>
    <t>4M0687</t>
  </si>
  <si>
    <t>～</t>
    <phoneticPr fontId="1"/>
  </si>
  <si>
    <t>(S9-TCU)</t>
    <phoneticPr fontId="1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</si>
  <si>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1"/>
  </si>
  <si>
    <t>1012号「版6」</t>
    <phoneticPr fontId="1"/>
  </si>
  <si>
    <t>Int№：</t>
    <phoneticPr fontId="1"/>
  </si>
  <si>
    <t>２Ｐ</t>
    <phoneticPr fontId="1"/>
  </si>
  <si>
    <t>ＰＵ</t>
    <phoneticPr fontId="1"/>
  </si>
  <si>
    <t>ＰＬ</t>
    <phoneticPr fontId="1"/>
  </si>
  <si>
    <t>07-0345</t>
    <phoneticPr fontId="1"/>
  </si>
  <si>
    <t>70345</t>
    <phoneticPr fontId="1"/>
  </si>
  <si>
    <t>新川崎橋</t>
    <rPh sb="0" eb="1">
      <t>シン</t>
    </rPh>
    <rPh sb="1" eb="3">
      <t>カワサキ</t>
    </rPh>
    <rPh sb="3" eb="4">
      <t>バシ</t>
    </rPh>
    <phoneticPr fontId="1"/>
  </si>
  <si>
    <t>（ １Ｐ ）</t>
    <phoneticPr fontId="1"/>
  </si>
  <si>
    <t>日本信号</t>
    <rPh sb="0" eb="4">
      <t>ニホンシンゴウ</t>
    </rPh>
    <phoneticPr fontId="1"/>
  </si>
  <si>
    <t>K0000018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</si>
</sst>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既&quot;&quot;存&quot;&quot;秒&quot;&quot;数&quot;\(###&quot;秒&quot;\)"/>
    <numFmt numFmtId="177" formatCode="&quot; Ｐ&quot;&quot;Ｌ&quot;\(\ ###&quot;秒&quot;\)"/>
    <numFmt numFmtId="178" formatCode="&quot;保&quot;&quot;安&quot;&quot;秒&quot;&quot;数&quot;\(###&quot;秒&quot;\)"/>
    <numFmt numFmtId="179" formatCode="###&quot;秒&quot;"/>
    <numFmt numFmtId="180" formatCode="#,##0_);\(#,##0\)"/>
    <numFmt numFmtId="181" formatCode="yyyy&quot;年&quot;m&quot;月&quot;d&quot;日&quot;;@"/>
    <numFmt numFmtId="182" formatCode="yyyy&quot;年&quot;m&quot;月&quot;;@"/>
    <numFmt numFmtId="183" formatCode="h&quot;時&quot;mm&quot;分&quot;;@"/>
    <numFmt numFmtId="184" formatCode="0.0"/>
  </numFmts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7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6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08">
    <xf numFmtId="0" fontId="0" fillId="0" borderId="0" xfId="0"/>
    <xf numFmtId="0" fontId="4" fillId="0" borderId="1" xfId="0" applyFont="1" applyBorder="1"/>
    <xf numFmtId="0" fontId="4" fillId="0" borderId="2" xfId="0" applyFont="1" applyBorder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5" fillId="0" borderId="4" xfId="0" applyFont="1" applyBorder="1"/>
    <xf numFmtId="0" fontId="5" fillId="0" borderId="0" xfId="0" applyFont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1" xfId="0" applyBorder="1"/>
    <xf numFmtId="0" fontId="3" fillId="0" borderId="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4" xfId="0" applyBorder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right"/>
    </xf>
    <xf numFmtId="0" fontId="0" fillId="0" borderId="13" xfId="0" applyBorder="1" applyAlignment="1">
      <alignment horizontal="center" textRotation="90"/>
    </xf>
    <xf numFmtId="0" fontId="5" fillId="0" borderId="0" xfId="0" applyFont="1" applyAlignment="1">
      <alignment horizontal="center" textRotation="90"/>
    </xf>
    <xf numFmtId="0" fontId="5" fillId="0" borderId="0" xfId="0" applyFont="1" applyAlignment="1">
      <alignment textRotation="90"/>
    </xf>
    <xf numFmtId="0" fontId="5" fillId="0" borderId="4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  <xf numFmtId="0" fontId="5" fillId="0" borderId="0" xfId="0" applyFont="1" applyAlignment="1">
      <alignment horizontal="right" vertical="center" textRotation="90"/>
    </xf>
    <xf numFmtId="0" fontId="3" fillId="0" borderId="13" xfId="0" applyFont="1" applyBorder="1" applyAlignment="1">
      <alignment textRotation="90"/>
    </xf>
    <xf numFmtId="0" fontId="0" fillId="0" borderId="4" xfId="0" applyBorder="1" applyAlignment="1">
      <alignment horizontal="center" vertical="top" textRotation="90"/>
    </xf>
    <xf numFmtId="0" fontId="0" fillId="0" borderId="0" xfId="0" applyAlignment="1">
      <alignment horizontal="center" vertical="top" textRotation="90"/>
    </xf>
    <xf numFmtId="0" fontId="0" fillId="0" borderId="13" xfId="0" applyBorder="1" applyAlignment="1">
      <alignment horizontal="center" vertical="top" textRotation="90"/>
    </xf>
    <xf numFmtId="0" fontId="0" fillId="0" borderId="0" xfId="0" applyAlignment="1">
      <alignment vertical="top" textRotation="90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6" xfId="0" applyBorder="1"/>
    <xf numFmtId="0" fontId="0" fillId="0" borderId="11" xfId="0" applyBorder="1" applyAlignment="1">
      <alignment horizontal="center" vertical="top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0" fillId="0" borderId="17" xfId="0" applyBorder="1"/>
    <xf numFmtId="0" fontId="0" fillId="0" borderId="13" xfId="0" applyBorder="1" applyAlignment="1">
      <alignment horizontal="center" vertical="top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3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5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9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13" xfId="0" applyFont="1" applyBorder="1" applyAlignment="1">
      <alignment vertical="center"/>
    </xf>
    <xf numFmtId="49" fontId="5" fillId="0" borderId="0" xfId="0" applyNumberFormat="1" applyFont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5" fillId="0" borderId="30" xfId="0" applyFont="1" applyBorder="1" applyAlignment="1">
      <alignment horizontal="left" vertical="center"/>
    </xf>
    <xf numFmtId="49" fontId="8" fillId="0" borderId="8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right" vertical="center"/>
    </xf>
    <xf numFmtId="179" fontId="5" fillId="0" borderId="6" xfId="0" applyNumberFormat="1" applyFont="1" applyBorder="1" applyAlignment="1">
      <alignment horizontal="center" vertical="center"/>
    </xf>
    <xf numFmtId="180" fontId="9" fillId="0" borderId="7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2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184" fontId="10" fillId="0" borderId="0" xfId="0" applyNumberFormat="1" applyFont="1" applyAlignment="1">
      <alignment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3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30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0" fillId="0" borderId="30" xfId="0" applyFont="1" applyBorder="1" applyAlignment="1">
      <alignment vertical="center"/>
    </xf>
    <xf numFmtId="0" fontId="10" fillId="0" borderId="30" xfId="0" applyFont="1" applyBorder="1" applyAlignment="1">
      <alignment horizontal="left" vertical="center"/>
    </xf>
    <xf numFmtId="49" fontId="11" fillId="0" borderId="20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right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left" vertical="center"/>
    </xf>
    <xf numFmtId="0" fontId="10" fillId="0" borderId="30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0" fillId="0" borderId="30" xfId="0" applyFont="1" applyBorder="1" applyAlignment="1">
      <alignment vertical="center" shrinkToFit="1"/>
    </xf>
    <xf numFmtId="49" fontId="11" fillId="0" borderId="8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right" vertical="center"/>
    </xf>
    <xf numFmtId="179" fontId="11" fillId="0" borderId="6" xfId="0" applyNumberFormat="1" applyFont="1" applyBorder="1" applyAlignment="1">
      <alignment horizontal="center" vertical="center"/>
    </xf>
    <xf numFmtId="180" fontId="11" fillId="0" borderId="7" xfId="0" applyNumberFormat="1" applyFont="1" applyBorder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10" fillId="0" borderId="30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82" fontId="10" fillId="0" borderId="25" xfId="0" applyNumberFormat="1" applyFont="1" applyBorder="1" applyAlignment="1">
      <alignment horizontal="center" vertical="center"/>
    </xf>
    <xf numFmtId="182" fontId="10" fillId="0" borderId="23" xfId="0" applyNumberFormat="1" applyFont="1" applyBorder="1" applyAlignment="1">
      <alignment horizontal="center" vertical="center"/>
    </xf>
    <xf numFmtId="182" fontId="10" fillId="0" borderId="24" xfId="0" applyNumberFormat="1" applyFont="1" applyBorder="1" applyAlignment="1">
      <alignment horizontal="center" vertical="center"/>
    </xf>
    <xf numFmtId="182" fontId="10" fillId="0" borderId="20" xfId="0" applyNumberFormat="1" applyFont="1" applyBorder="1" applyAlignment="1">
      <alignment horizontal="center" vertical="center"/>
    </xf>
    <xf numFmtId="182" fontId="10" fillId="0" borderId="3" xfId="0" applyNumberFormat="1" applyFont="1" applyBorder="1" applyAlignment="1">
      <alignment horizontal="center" vertical="center"/>
    </xf>
    <xf numFmtId="182" fontId="10" fillId="0" borderId="19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49" fontId="10" fillId="0" borderId="60" xfId="0" applyNumberFormat="1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6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1" xfId="0" applyFont="1" applyBorder="1" applyAlignment="1">
      <alignment horizontal="center" vertical="center" shrinkToFit="1"/>
    </xf>
    <xf numFmtId="0" fontId="10" fillId="0" borderId="62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183" fontId="10" fillId="0" borderId="60" xfId="0" applyNumberFormat="1" applyFont="1" applyBorder="1" applyAlignment="1">
      <alignment horizontal="center" vertical="center"/>
    </xf>
    <xf numFmtId="183" fontId="10" fillId="0" borderId="61" xfId="0" applyNumberFormat="1" applyFont="1" applyBorder="1" applyAlignment="1">
      <alignment horizontal="center" vertical="center"/>
    </xf>
    <xf numFmtId="183" fontId="10" fillId="0" borderId="20" xfId="0" applyNumberFormat="1" applyFont="1" applyBorder="1" applyAlignment="1">
      <alignment horizontal="center" vertical="center"/>
    </xf>
    <xf numFmtId="183" fontId="10" fillId="0" borderId="3" xfId="0" applyNumberFormat="1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49" fontId="10" fillId="0" borderId="25" xfId="0" quotePrefix="1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0" fontId="10" fillId="0" borderId="58" xfId="0" applyFont="1" applyBorder="1" applyAlignment="1">
      <alignment horizontal="left" vertical="center"/>
    </xf>
    <xf numFmtId="0" fontId="10" fillId="0" borderId="25" xfId="0" applyFont="1" applyBorder="1" applyAlignment="1">
      <alignment horizontal="center" vertical="center" wrapText="1"/>
    </xf>
    <xf numFmtId="181" fontId="10" fillId="0" borderId="25" xfId="0" applyNumberFormat="1" applyFont="1" applyBorder="1" applyAlignment="1">
      <alignment horizontal="center" vertical="center"/>
    </xf>
    <xf numFmtId="181" fontId="10" fillId="0" borderId="23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10" fillId="0" borderId="57" xfId="0" applyNumberFormat="1" applyFont="1" applyBorder="1" applyAlignment="1">
      <alignment horizontal="center" vertical="center"/>
    </xf>
    <xf numFmtId="181" fontId="10" fillId="0" borderId="58" xfId="0" applyNumberFormat="1" applyFont="1" applyBorder="1" applyAlignment="1">
      <alignment horizontal="center" vertical="center"/>
    </xf>
    <xf numFmtId="181" fontId="10" fillId="0" borderId="59" xfId="0" applyNumberFormat="1" applyFont="1" applyBorder="1" applyAlignment="1">
      <alignment horizontal="center" vertical="center"/>
    </xf>
    <xf numFmtId="49" fontId="10" fillId="0" borderId="25" xfId="0" applyNumberFormat="1" applyFont="1" applyBorder="1" applyAlignment="1">
      <alignment vertical="center"/>
    </xf>
    <xf numFmtId="49" fontId="10" fillId="0" borderId="23" xfId="0" applyNumberFormat="1" applyFont="1" applyBorder="1" applyAlignment="1">
      <alignment vertical="center"/>
    </xf>
    <xf numFmtId="49" fontId="10" fillId="0" borderId="17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right" vertical="center"/>
    </xf>
    <xf numFmtId="49" fontId="10" fillId="0" borderId="0" xfId="0" applyNumberFormat="1" applyFont="1" applyAlignment="1">
      <alignment horizontal="left" vertical="center"/>
    </xf>
    <xf numFmtId="49" fontId="10" fillId="0" borderId="20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vertical="center"/>
    </xf>
    <xf numFmtId="49" fontId="11" fillId="0" borderId="6" xfId="0" applyNumberFormat="1" applyFont="1" applyBorder="1" applyAlignment="1">
      <alignment vertical="center"/>
    </xf>
    <xf numFmtId="49" fontId="11" fillId="0" borderId="7" xfId="0" applyNumberFormat="1" applyFont="1" applyBorder="1" applyAlignment="1">
      <alignment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 shrinkToFit="1"/>
    </xf>
    <xf numFmtId="178" fontId="2" fillId="0" borderId="3" xfId="0" applyNumberFormat="1" applyFont="1" applyBorder="1" applyAlignment="1">
      <alignment horizontal="center" vertical="center" shrinkToFit="1"/>
    </xf>
    <xf numFmtId="178" fontId="2" fillId="0" borderId="21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0" xfId="0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8" xfId="0" applyBorder="1"/>
    <xf numFmtId="0" fontId="3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77" fontId="3" fillId="0" borderId="47" xfId="0" applyNumberFormat="1" applyFont="1" applyBorder="1" applyAlignment="1">
      <alignment horizontal="left" vertical="center"/>
    </xf>
    <xf numFmtId="177" fontId="0" fillId="0" borderId="45" xfId="0" applyNumberFormat="1" applyBorder="1" applyAlignment="1">
      <alignment horizontal="left" vertical="center"/>
    </xf>
    <xf numFmtId="177" fontId="0" fillId="0" borderId="48" xfId="0" applyNumberFormat="1" applyBorder="1" applyAlignment="1">
      <alignment horizontal="left" vertical="center"/>
    </xf>
    <xf numFmtId="0" fontId="5" fillId="0" borderId="47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0" fillId="0" borderId="20" xfId="0" applyBorder="1"/>
    <xf numFmtId="0" fontId="0" fillId="0" borderId="3" xfId="0" applyBorder="1"/>
    <xf numFmtId="0" fontId="0" fillId="0" borderId="19" xfId="0" applyBorder="1"/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1" xfId="0" applyBorder="1"/>
    <xf numFmtId="0" fontId="3" fillId="0" borderId="18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22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49" fontId="3" fillId="0" borderId="22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 shrinkToFit="1"/>
    </xf>
    <xf numFmtId="176" fontId="2" fillId="0" borderId="23" xfId="0" applyNumberFormat="1" applyFont="1" applyBorder="1" applyAlignment="1">
      <alignment horizontal="center" vertical="center" shrinkToFit="1"/>
    </xf>
    <xf numFmtId="176" fontId="2" fillId="0" borderId="26" xfId="0" applyNumberFormat="1" applyFont="1" applyBorder="1" applyAlignment="1">
      <alignment horizontal="center" vertical="center" shrinkToFit="1"/>
    </xf>
    <xf numFmtId="176" fontId="0" fillId="0" borderId="4" xfId="0" applyNumberForma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0" fillId="0" borderId="5" xfId="0" applyNumberFormat="1" applyBorder="1" applyAlignment="1">
      <alignment horizontal="center" vertical="center" shrinkToFit="1"/>
    </xf>
    <xf numFmtId="176" fontId="0" fillId="0" borderId="18" xfId="0" applyNumberFormat="1" applyBorder="1" applyAlignment="1">
      <alignment horizontal="center" vertical="center" shrinkToFit="1"/>
    </xf>
    <xf numFmtId="176" fontId="0" fillId="0" borderId="3" xfId="0" applyNumberFormat="1" applyBorder="1" applyAlignment="1">
      <alignment horizontal="center" vertical="center" shrinkToFit="1"/>
    </xf>
    <xf numFmtId="176" fontId="0" fillId="0" borderId="21" xfId="0" applyNumberForma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 textRotation="255"/>
    </xf>
    <xf numFmtId="0" fontId="6" fillId="0" borderId="12" xfId="0" applyFont="1" applyBorder="1" applyAlignment="1">
      <alignment horizontal="center" vertical="center" textRotation="255"/>
    </xf>
    <xf numFmtId="0" fontId="6" fillId="0" borderId="4" xfId="0" applyFont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6" fillId="0" borderId="27" xfId="0" applyFont="1" applyBorder="1" applyAlignment="1">
      <alignment horizontal="center" vertical="center" textRotation="255"/>
    </xf>
    <xf numFmtId="0" fontId="6" fillId="0" borderId="14" xfId="0" applyFont="1" applyBorder="1" applyAlignment="1">
      <alignment horizontal="center" vertical="center" textRotation="255"/>
    </xf>
    <xf numFmtId="0" fontId="6" fillId="0" borderId="29" xfId="0" applyFont="1" applyBorder="1" applyAlignment="1">
      <alignment horizontal="center" vertical="center" textRotation="255"/>
    </xf>
    <xf numFmtId="49" fontId="3" fillId="0" borderId="10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3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42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55" fontId="0" fillId="0" borderId="25" xfId="0" applyNumberFormat="1" applyBorder="1" applyAlignment="1">
      <alignment horizontal="center" vertical="center"/>
    </xf>
    <xf numFmtId="55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2" fontId="4" fillId="0" borderId="38" xfId="0" applyNumberFormat="1" applyFont="1" applyBorder="1" applyAlignment="1">
      <alignment horizontal="right" vertical="center"/>
    </xf>
    <xf numFmtId="32" fontId="4" fillId="0" borderId="39" xfId="0" applyNumberFormat="1" applyFont="1" applyBorder="1" applyAlignment="1">
      <alignment horizontal="right" vertical="center"/>
    </xf>
    <xf numFmtId="32" fontId="4" fillId="0" borderId="20" xfId="0" applyNumberFormat="1" applyFont="1" applyBorder="1" applyAlignment="1">
      <alignment horizontal="right" vertical="center"/>
    </xf>
    <xf numFmtId="32" fontId="4" fillId="0" borderId="3" xfId="0" applyNumberFormat="1" applyFont="1" applyBorder="1" applyAlignment="1">
      <alignment horizontal="right" vertical="center"/>
    </xf>
    <xf numFmtId="32" fontId="4" fillId="0" borderId="39" xfId="0" applyNumberFormat="1" applyFont="1" applyBorder="1" applyAlignment="1">
      <alignment horizontal="center" vertical="center"/>
    </xf>
    <xf numFmtId="32" fontId="4" fillId="0" borderId="40" xfId="0" applyNumberFormat="1" applyFont="1" applyBorder="1" applyAlignment="1">
      <alignment horizontal="center" vertical="center"/>
    </xf>
    <xf numFmtId="32" fontId="4" fillId="0" borderId="3" xfId="0" applyNumberFormat="1" applyFont="1" applyBorder="1" applyAlignment="1">
      <alignment horizontal="center" vertical="center"/>
    </xf>
    <xf numFmtId="32" fontId="4" fillId="0" borderId="1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3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39" xfId="0" applyFont="1" applyBorder="1" applyAlignment="1">
      <alignment horizontal="center" vertical="center" shrinkToFit="1"/>
    </xf>
    <xf numFmtId="0" fontId="4" fillId="0" borderId="40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3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9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58" fontId="4" fillId="0" borderId="16" xfId="0" applyNumberFormat="1" applyFont="1" applyBorder="1" applyAlignment="1">
      <alignment horizontal="center" vertical="center" shrinkToFit="1"/>
    </xf>
    <xf numFmtId="58" fontId="4" fillId="0" borderId="1" xfId="0" applyNumberFormat="1" applyFont="1" applyBorder="1" applyAlignment="1">
      <alignment horizontal="center" vertical="center" shrinkToFit="1"/>
    </xf>
    <xf numFmtId="58" fontId="4" fillId="0" borderId="11" xfId="0" applyNumberFormat="1" applyFont="1" applyBorder="1" applyAlignment="1">
      <alignment horizontal="center" vertical="center" shrinkToFit="1"/>
    </xf>
    <xf numFmtId="58" fontId="4" fillId="0" borderId="34" xfId="0" applyNumberFormat="1" applyFont="1" applyBorder="1" applyAlignment="1">
      <alignment horizontal="center" vertical="center" shrinkToFit="1"/>
    </xf>
    <xf numFmtId="58" fontId="4" fillId="0" borderId="2" xfId="0" applyNumberFormat="1" applyFont="1" applyBorder="1" applyAlignment="1">
      <alignment horizontal="center" vertical="center" shrinkToFit="1"/>
    </xf>
    <xf numFmtId="58" fontId="4" fillId="0" borderId="33" xfId="0" applyNumberFormat="1" applyFont="1" applyBorder="1" applyAlignment="1">
      <alignment horizontal="center" vertical="center" shrinkToFit="1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right" vertical="center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49" fontId="5" fillId="0" borderId="30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17" xfId="0" applyNumberFormat="1" applyFont="1" applyBorder="1" applyAlignment="1">
      <alignment vertical="center"/>
    </xf>
    <xf numFmtId="49" fontId="5" fillId="0" borderId="25" xfId="0" applyNumberFormat="1" applyFont="1" applyBorder="1" applyAlignment="1">
      <alignment vertical="center"/>
    </xf>
    <xf numFmtId="49" fontId="5" fillId="0" borderId="23" xfId="0" applyNumberFormat="1" applyFont="1" applyBorder="1" applyAlignment="1">
      <alignment vertical="center"/>
    </xf>
    <xf numFmtId="0" fontId="5" fillId="0" borderId="49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49" fontId="5" fillId="0" borderId="54" xfId="0" applyNumberFormat="1" applyFont="1" applyBorder="1" applyAlignment="1">
      <alignment horizontal="right" vertical="center"/>
    </xf>
    <xf numFmtId="49" fontId="5" fillId="0" borderId="20" xfId="0" applyNumberFormat="1" applyFont="1" applyBorder="1" applyAlignment="1">
      <alignment horizontal="right" vertical="center"/>
    </xf>
    <xf numFmtId="49" fontId="5" fillId="0" borderId="50" xfId="0" applyNumberFormat="1" applyFont="1" applyBorder="1" applyAlignment="1">
      <alignment horizontal="right" vertical="center"/>
    </xf>
    <xf numFmtId="49" fontId="5" fillId="0" borderId="51" xfId="0" applyNumberFormat="1" applyFont="1" applyBorder="1" applyAlignment="1">
      <alignment horizontal="right" vertical="center"/>
    </xf>
    <xf numFmtId="0" fontId="5" fillId="0" borderId="52" xfId="0" applyFont="1" applyBorder="1" applyAlignment="1">
      <alignment vertical="center"/>
    </xf>
    <xf numFmtId="0" fontId="5" fillId="0" borderId="49" xfId="0" applyFont="1" applyBorder="1" applyAlignment="1">
      <alignment vertical="center"/>
    </xf>
    <xf numFmtId="0" fontId="5" fillId="0" borderId="5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3" fillId="0" borderId="30" xfId="0" quotePrefix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4" xfId="0" applyFont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371476</xdr:colOff>
      <xdr:row>4</xdr:row>
      <xdr:rowOff>142876</xdr:rowOff>
    </xdr:from>
    <xdr:to>
      <xdr:col>22</xdr:col>
      <xdr:colOff>276225</xdr:colOff>
      <xdr:row>14</xdr:row>
      <xdr:rowOff>100870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EC13FC2E-BE0C-4155-8069-AF6E383A2D3B}"/>
            </a:ext>
          </a:extLst>
        </xdr:cNvPr>
        <xdr:cNvGrpSpPr>
          <a:grpSpLocks noChangeAspect="1"/>
        </xdr:cNvGrpSpPr>
      </xdr:nvGrpSpPr>
      <xdr:grpSpPr>
        <a:xfrm>
          <a:off x="371476" y="714376"/>
          <a:ext cx="6877049" cy="3891819"/>
          <a:chOff x="8286750" y="4276725"/>
          <a:chExt cx="13077825" cy="7400925"/>
        </a:xfrm>
      </xdr:grpSpPr>
      <xdr:pic>
        <xdr:nvPicPr>
          <xdr:cNvPr id="52" name="図 51">
            <a:extLst>
              <a:ext uri="{FF2B5EF4-FFF2-40B4-BE49-F238E27FC236}">
                <a16:creationId xmlns:a16="http://schemas.microsoft.com/office/drawing/2014/main" id="{0830B9D5-B027-4020-8F5B-6094416A91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86750" y="4276725"/>
            <a:ext cx="13077825" cy="7400925"/>
          </a:xfrm>
          <a:prstGeom prst="rect">
            <a:avLst/>
          </a:prstGeom>
        </xdr:spPr>
      </xdr:pic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4C1E8E6F-AD1A-4FBC-A22F-AA3D618C9369}"/>
              </a:ext>
            </a:extLst>
          </xdr:cNvPr>
          <xdr:cNvSpPr/>
        </xdr:nvSpPr>
        <xdr:spPr bwMode="auto">
          <a:xfrm>
            <a:off x="8296275" y="4276725"/>
            <a:ext cx="3857625" cy="135255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927CA752-E107-46A0-AB24-3D2E076410A5}"/>
              </a:ext>
            </a:extLst>
          </xdr:cNvPr>
          <xdr:cNvSpPr/>
        </xdr:nvSpPr>
        <xdr:spPr bwMode="auto">
          <a:xfrm>
            <a:off x="17926050" y="4276725"/>
            <a:ext cx="3076575" cy="55364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51FDDAF-41B1-4C80-9CE4-15E7406182EE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19050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26BFD95-278B-4D05-A3F4-28FDC4E44846}"/>
            </a:ext>
          </a:extLst>
        </xdr:cNvPr>
        <xdr:cNvSpPr>
          <a:spLocks noChangeShapeType="1"/>
        </xdr:cNvSpPr>
      </xdr:nvSpPr>
      <xdr:spPr bwMode="auto">
        <a:xfrm>
          <a:off x="1333500" y="6886575"/>
          <a:ext cx="2952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0A3DD9BA-0B0E-4199-9787-22EC6277E289}"/>
            </a:ext>
          </a:extLst>
        </xdr:cNvPr>
        <xdr:cNvSpPr>
          <a:spLocks/>
        </xdr:cNvSpPr>
      </xdr:nvSpPr>
      <xdr:spPr bwMode="auto">
        <a:xfrm>
          <a:off x="2266950" y="7048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5FCC133-2143-4C63-9B84-5D36B9494BCB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3F77B2DC-0B37-4ED3-93D5-6D7061B02BF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D0CD88F3-8D0D-47B0-B0FE-213B2F148AC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E68AE313-41CA-4C39-866A-741DF085221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2FDA9D11-99CE-4938-8C76-B2752878C7B9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D45162B-82BC-48C5-B7FB-A83C6F95E08C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2514600" cy="47625"/>
          <a:chOff x="158" y="715"/>
          <a:chExt cx="33" cy="5"/>
        </a:xfrm>
      </xdr:grpSpPr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B6D45149-6115-4D3B-9910-AB10A7E9FBE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E7AA09B2-26B0-4CD3-A695-87FA9968F03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70839A87-7BB4-4772-8709-9FF112217BA7}"/>
            </a:ext>
          </a:extLst>
        </xdr:cNvPr>
        <xdr:cNvSpPr>
          <a:spLocks noChangeShapeType="1"/>
        </xdr:cNvSpPr>
      </xdr:nvSpPr>
      <xdr:spPr bwMode="auto">
        <a:xfrm>
          <a:off x="1314450" y="71247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104775</xdr:rowOff>
    </xdr:from>
    <xdr:to>
      <xdr:col>14</xdr:col>
      <xdr:colOff>0</xdr:colOff>
      <xdr:row>19</xdr:row>
      <xdr:rowOff>152400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2ED1AB3-AC28-4406-80F9-35C5CE7B37BB}"/>
            </a:ext>
          </a:extLst>
        </xdr:cNvPr>
        <xdr:cNvGrpSpPr>
          <a:grpSpLocks/>
        </xdr:cNvGrpSpPr>
      </xdr:nvGrpSpPr>
      <xdr:grpSpPr bwMode="auto">
        <a:xfrm>
          <a:off x="2571750" y="7105650"/>
          <a:ext cx="1885950" cy="47625"/>
          <a:chOff x="158" y="715"/>
          <a:chExt cx="33" cy="5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608097C6-93A1-4FF6-ABB4-D80601C19A2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5DDBE122-4355-41F5-895C-D50853EE61F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21</xdr:row>
      <xdr:rowOff>47625</xdr:rowOff>
    </xdr:from>
    <xdr:to>
      <xdr:col>12</xdr:col>
      <xdr:colOff>304800</xdr:colOff>
      <xdr:row>21</xdr:row>
      <xdr:rowOff>190500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1BA99923-607F-4AED-9151-54BF2C2B5CB2}"/>
            </a:ext>
          </a:extLst>
        </xdr:cNvPr>
        <xdr:cNvSpPr>
          <a:spLocks/>
        </xdr:cNvSpPr>
      </xdr:nvSpPr>
      <xdr:spPr bwMode="auto">
        <a:xfrm>
          <a:off x="3838575" y="75057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20</xdr:row>
      <xdr:rowOff>47625</xdr:rowOff>
    </xdr:from>
    <xdr:to>
      <xdr:col>10</xdr:col>
      <xdr:colOff>266700</xdr:colOff>
      <xdr:row>20</xdr:row>
      <xdr:rowOff>200025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BE19B4F4-A508-416D-88D3-0AC285C671B9}"/>
            </a:ext>
          </a:extLst>
        </xdr:cNvPr>
        <xdr:cNvGrpSpPr>
          <a:grpSpLocks/>
        </xdr:cNvGrpSpPr>
      </xdr:nvGrpSpPr>
      <xdr:grpSpPr bwMode="auto">
        <a:xfrm>
          <a:off x="3248025" y="7277100"/>
          <a:ext cx="219075" cy="152400"/>
          <a:chOff x="132" y="708"/>
          <a:chExt cx="20" cy="14"/>
        </a:xfrm>
      </xdr:grpSpPr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0FD966E2-5F8B-421E-B626-7EAFDFFA22A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242E4AE6-0EF3-4B8D-8DA9-1A28E4FF3E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22F55F88-124F-4E50-B08A-D577E931872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B737DAF0-53A6-4C62-9128-51E20E527D0D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95250</xdr:rowOff>
    </xdr:from>
    <xdr:to>
      <xdr:col>14</xdr:col>
      <xdr:colOff>0</xdr:colOff>
      <xdr:row>20</xdr:row>
      <xdr:rowOff>142875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8347DECC-9756-4870-A439-F2B9606FE40F}"/>
            </a:ext>
          </a:extLst>
        </xdr:cNvPr>
        <xdr:cNvGrpSpPr>
          <a:grpSpLocks/>
        </xdr:cNvGrpSpPr>
      </xdr:nvGrpSpPr>
      <xdr:grpSpPr bwMode="auto">
        <a:xfrm>
          <a:off x="3514725" y="7324725"/>
          <a:ext cx="942975" cy="47625"/>
          <a:chOff x="158" y="715"/>
          <a:chExt cx="33" cy="5"/>
        </a:xfrm>
      </xdr:grpSpPr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9CA53746-17BF-4343-B023-816F44A89EE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39E99016-885A-4A48-ACD4-9E21DD695D3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14</xdr:col>
      <xdr:colOff>0</xdr:colOff>
      <xdr:row>21</xdr:row>
      <xdr:rowOff>142875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B758F11C-9725-4DBE-9CE0-CE3223174084}"/>
            </a:ext>
          </a:extLst>
        </xdr:cNvPr>
        <xdr:cNvGrpSpPr>
          <a:grpSpLocks/>
        </xdr:cNvGrpSpPr>
      </xdr:nvGrpSpPr>
      <xdr:grpSpPr bwMode="auto">
        <a:xfrm>
          <a:off x="4143375" y="7553325"/>
          <a:ext cx="314325" cy="47625"/>
          <a:chOff x="158" y="715"/>
          <a:chExt cx="33" cy="5"/>
        </a:xfrm>
      </xdr:grpSpPr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D02EA693-C0A9-44B4-87E7-BFACF981ECF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id="{697B3BAB-BFB6-4AF1-A6AA-E24ABE4E3A3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95250</xdr:rowOff>
    </xdr:from>
    <xdr:to>
      <xdr:col>9</xdr:col>
      <xdr:colOff>0</xdr:colOff>
      <xdr:row>20</xdr:row>
      <xdr:rowOff>142875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4E49E75-A19B-4302-96EE-98C6FF5D8E68}"/>
            </a:ext>
          </a:extLst>
        </xdr:cNvPr>
        <xdr:cNvGrpSpPr>
          <a:grpSpLocks/>
        </xdr:cNvGrpSpPr>
      </xdr:nvGrpSpPr>
      <xdr:grpSpPr bwMode="auto">
        <a:xfrm>
          <a:off x="1314450" y="7324725"/>
          <a:ext cx="1571625" cy="47625"/>
          <a:chOff x="158" y="715"/>
          <a:chExt cx="33" cy="5"/>
        </a:xfrm>
      </xdr:grpSpPr>
      <xdr:sp macro="" textlink="">
        <xdr:nvSpPr>
          <xdr:cNvPr id="30" name="Line 29">
            <a:extLst>
              <a:ext uri="{FF2B5EF4-FFF2-40B4-BE49-F238E27FC236}">
                <a16:creationId xmlns:a16="http://schemas.microsoft.com/office/drawing/2014/main" id="{681D0697-D6DD-4832-AD0A-C1DE27FEDF8A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CD9D4C70-AD0D-47C7-B306-72B40ACFC36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123825</xdr:rowOff>
    </xdr:from>
    <xdr:to>
      <xdr:col>10</xdr:col>
      <xdr:colOff>0</xdr:colOff>
      <xdr:row>20</xdr:row>
      <xdr:rowOff>123825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660F30E9-72E2-4D46-8F36-B069C900C16C}"/>
            </a:ext>
          </a:extLst>
        </xdr:cNvPr>
        <xdr:cNvSpPr>
          <a:spLocks noChangeShapeType="1"/>
        </xdr:cNvSpPr>
      </xdr:nvSpPr>
      <xdr:spPr bwMode="auto">
        <a:xfrm>
          <a:off x="2886075" y="73533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A94DE6AE-ECD8-43F7-9B37-B75D4F02ABED}"/>
            </a:ext>
          </a:extLst>
        </xdr:cNvPr>
        <xdr:cNvSpPr>
          <a:spLocks noChangeShapeType="1"/>
        </xdr:cNvSpPr>
      </xdr:nvSpPr>
      <xdr:spPr bwMode="auto">
        <a:xfrm>
          <a:off x="2886075" y="75819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21</xdr:row>
      <xdr:rowOff>104775</xdr:rowOff>
    </xdr:from>
    <xdr:to>
      <xdr:col>9</xdr:col>
      <xdr:colOff>0</xdr:colOff>
      <xdr:row>21</xdr:row>
      <xdr:rowOff>152400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C27F88CC-E5B8-4039-B08B-7A91CE9E320E}"/>
            </a:ext>
          </a:extLst>
        </xdr:cNvPr>
        <xdr:cNvGrpSpPr>
          <a:grpSpLocks/>
        </xdr:cNvGrpSpPr>
      </xdr:nvGrpSpPr>
      <xdr:grpSpPr bwMode="auto">
        <a:xfrm>
          <a:off x="1323975" y="7562850"/>
          <a:ext cx="1562100" cy="47625"/>
          <a:chOff x="158" y="715"/>
          <a:chExt cx="33" cy="5"/>
        </a:xfrm>
      </xdr:grpSpPr>
      <xdr:sp macro="" textlink="">
        <xdr:nvSpPr>
          <xdr:cNvPr id="35" name="Line 34">
            <a:extLst>
              <a:ext uri="{FF2B5EF4-FFF2-40B4-BE49-F238E27FC236}">
                <a16:creationId xmlns:a16="http://schemas.microsoft.com/office/drawing/2014/main" id="{002C20C5-86C0-4A74-8716-5B87BD111E0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id="{D6868FF7-1E54-4CBD-84DF-C1803AB6096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180975</xdr:colOff>
      <xdr:row>17</xdr:row>
      <xdr:rowOff>533400</xdr:rowOff>
    </xdr:from>
    <xdr:to>
      <xdr:col>7</xdr:col>
      <xdr:colOff>238125</xdr:colOff>
      <xdr:row>17</xdr:row>
      <xdr:rowOff>714375</xdr:rowOff>
    </xdr:to>
    <xdr:grpSp>
      <xdr:nvGrpSpPr>
        <xdr:cNvPr id="102" name="グループ化 101">
          <a:extLst>
            <a:ext uri="{FF2B5EF4-FFF2-40B4-BE49-F238E27FC236}">
              <a16:creationId xmlns:a16="http://schemas.microsoft.com/office/drawing/2014/main" id="{6BD48734-3BB9-440D-AE11-D686617B7089}"/>
            </a:ext>
          </a:extLst>
        </xdr:cNvPr>
        <xdr:cNvGrpSpPr/>
      </xdr:nvGrpSpPr>
      <xdr:grpSpPr>
        <a:xfrm flipV="1">
          <a:off x="1495425" y="5724525"/>
          <a:ext cx="1000125" cy="180975"/>
          <a:chOff x="1475014" y="5844268"/>
          <a:chExt cx="996043" cy="180975"/>
        </a:xfrm>
      </xdr:grpSpPr>
      <xdr:sp macro="" textlink="">
        <xdr:nvSpPr>
          <xdr:cNvPr id="38" name="Line 37">
            <a:extLst>
              <a:ext uri="{FF2B5EF4-FFF2-40B4-BE49-F238E27FC236}">
                <a16:creationId xmlns:a16="http://schemas.microsoft.com/office/drawing/2014/main" id="{9FE8D9D6-8CE4-4BA6-B3D4-ECEC3B14F0E0}"/>
              </a:ext>
            </a:extLst>
          </xdr:cNvPr>
          <xdr:cNvSpPr>
            <a:spLocks noChangeShapeType="1"/>
          </xdr:cNvSpPr>
        </xdr:nvSpPr>
        <xdr:spPr bwMode="auto">
          <a:xfrm>
            <a:off x="1475014" y="5872843"/>
            <a:ext cx="9865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Freeform 38">
            <a:extLst>
              <a:ext uri="{FF2B5EF4-FFF2-40B4-BE49-F238E27FC236}">
                <a16:creationId xmlns:a16="http://schemas.microsoft.com/office/drawing/2014/main" id="{3BD876F6-2994-4DA2-8DF4-CF3BC050553E}"/>
              </a:ext>
            </a:extLst>
          </xdr:cNvPr>
          <xdr:cNvSpPr>
            <a:spLocks/>
          </xdr:cNvSpPr>
        </xdr:nvSpPr>
        <xdr:spPr bwMode="auto">
          <a:xfrm>
            <a:off x="2404654" y="5844268"/>
            <a:ext cx="66403" cy="57150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3" name="Freeform 42">
            <a:extLst>
              <a:ext uri="{FF2B5EF4-FFF2-40B4-BE49-F238E27FC236}">
                <a16:creationId xmlns:a16="http://schemas.microsoft.com/office/drawing/2014/main" id="{843AD8DE-677C-44A1-8237-FA7F1798657B}"/>
              </a:ext>
            </a:extLst>
          </xdr:cNvPr>
          <xdr:cNvSpPr>
            <a:spLocks/>
          </xdr:cNvSpPr>
        </xdr:nvSpPr>
        <xdr:spPr bwMode="auto">
          <a:xfrm>
            <a:off x="1807028" y="5872843"/>
            <a:ext cx="75889" cy="66675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4" name="Line 43">
            <a:extLst>
              <a:ext uri="{FF2B5EF4-FFF2-40B4-BE49-F238E27FC236}">
                <a16:creationId xmlns:a16="http://schemas.microsoft.com/office/drawing/2014/main" id="{ED34D618-1615-45D0-9686-FE1F8C5F87BC}"/>
              </a:ext>
            </a:extLst>
          </xdr:cNvPr>
          <xdr:cNvSpPr>
            <a:spLocks noChangeShapeType="1"/>
          </xdr:cNvSpPr>
        </xdr:nvSpPr>
        <xdr:spPr bwMode="auto">
          <a:xfrm>
            <a:off x="1882917" y="5939518"/>
            <a:ext cx="0" cy="762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AEAB0A27-DC9D-4096-89A5-CA535B634375}"/>
              </a:ext>
            </a:extLst>
          </xdr:cNvPr>
          <xdr:cNvSpPr>
            <a:spLocks/>
          </xdr:cNvSpPr>
        </xdr:nvSpPr>
        <xdr:spPr bwMode="auto">
          <a:xfrm>
            <a:off x="1844973" y="5958568"/>
            <a:ext cx="75889" cy="66675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171450</xdr:colOff>
      <xdr:row>17</xdr:row>
      <xdr:rowOff>895350</xdr:rowOff>
    </xdr:from>
    <xdr:to>
      <xdr:col>7</xdr:col>
      <xdr:colOff>238125</xdr:colOff>
      <xdr:row>17</xdr:row>
      <xdr:rowOff>1076325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D9A73069-8AF3-415D-9F86-644E3DD7F9B0}"/>
            </a:ext>
          </a:extLst>
        </xdr:cNvPr>
        <xdr:cNvGrpSpPr/>
      </xdr:nvGrpSpPr>
      <xdr:grpSpPr>
        <a:xfrm flipV="1">
          <a:off x="1485900" y="6086475"/>
          <a:ext cx="1009650" cy="180975"/>
          <a:chOff x="1465489" y="6206218"/>
          <a:chExt cx="1005568" cy="180975"/>
        </a:xfrm>
      </xdr:grpSpPr>
      <xdr:sp macro="" textlink="">
        <xdr:nvSpPr>
          <xdr:cNvPr id="47" name="Line 46">
            <a:extLst>
              <a:ext uri="{FF2B5EF4-FFF2-40B4-BE49-F238E27FC236}">
                <a16:creationId xmlns:a16="http://schemas.microsoft.com/office/drawing/2014/main" id="{5E7FF5AA-22A9-4053-AD02-D4A3297AB6B3}"/>
              </a:ext>
            </a:extLst>
          </xdr:cNvPr>
          <xdr:cNvSpPr>
            <a:spLocks noChangeShapeType="1"/>
          </xdr:cNvSpPr>
        </xdr:nvSpPr>
        <xdr:spPr bwMode="auto">
          <a:xfrm rot="10800000">
            <a:off x="1484462" y="6234793"/>
            <a:ext cx="98659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Freeform 47">
            <a:extLst>
              <a:ext uri="{FF2B5EF4-FFF2-40B4-BE49-F238E27FC236}">
                <a16:creationId xmlns:a16="http://schemas.microsoft.com/office/drawing/2014/main" id="{0945381F-F268-407E-B29C-0E92D7FC27D8}"/>
              </a:ext>
            </a:extLst>
          </xdr:cNvPr>
          <xdr:cNvSpPr>
            <a:spLocks/>
          </xdr:cNvSpPr>
        </xdr:nvSpPr>
        <xdr:spPr bwMode="auto">
          <a:xfrm rot="10800000">
            <a:off x="1465489" y="6206218"/>
            <a:ext cx="66405" cy="57150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9" name="Freeform 48">
            <a:extLst>
              <a:ext uri="{FF2B5EF4-FFF2-40B4-BE49-F238E27FC236}">
                <a16:creationId xmlns:a16="http://schemas.microsoft.com/office/drawing/2014/main" id="{EE142724-2630-4ECC-8D25-AEB11B2A899F}"/>
              </a:ext>
            </a:extLst>
          </xdr:cNvPr>
          <xdr:cNvSpPr>
            <a:spLocks/>
          </xdr:cNvSpPr>
        </xdr:nvSpPr>
        <xdr:spPr bwMode="auto">
          <a:xfrm rot="10800000">
            <a:off x="2167489" y="6234793"/>
            <a:ext cx="66405" cy="76200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0" name="Line 49">
            <a:extLst>
              <a:ext uri="{FF2B5EF4-FFF2-40B4-BE49-F238E27FC236}">
                <a16:creationId xmlns:a16="http://schemas.microsoft.com/office/drawing/2014/main" id="{32E90547-7B53-4ECD-9BA4-3CCC38E3CA0A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167489" y="6310993"/>
            <a:ext cx="0" cy="762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D2B72F25-1FA8-4ED9-BEA2-7BCB82AF1196}"/>
              </a:ext>
            </a:extLst>
          </xdr:cNvPr>
          <xdr:cNvSpPr>
            <a:spLocks/>
          </xdr:cNvSpPr>
        </xdr:nvSpPr>
        <xdr:spPr bwMode="auto">
          <a:xfrm rot="10800000">
            <a:off x="2129543" y="6320518"/>
            <a:ext cx="75892" cy="66675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157845</xdr:colOff>
      <xdr:row>17</xdr:row>
      <xdr:rowOff>606195</xdr:rowOff>
    </xdr:from>
    <xdr:to>
      <xdr:col>11</xdr:col>
      <xdr:colOff>153082</xdr:colOff>
      <xdr:row>17</xdr:row>
      <xdr:rowOff>1276350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73468B07-578B-44A9-A763-0A6FA11952B2}"/>
            </a:ext>
          </a:extLst>
        </xdr:cNvPr>
        <xdr:cNvGrpSpPr/>
      </xdr:nvGrpSpPr>
      <xdr:grpSpPr>
        <a:xfrm>
          <a:off x="3358245" y="5797320"/>
          <a:ext cx="309562" cy="670155"/>
          <a:chOff x="3314700" y="5831338"/>
          <a:chExt cx="308201" cy="670155"/>
        </a:xfrm>
      </xdr:grpSpPr>
      <xdr:sp macro="" textlink="">
        <xdr:nvSpPr>
          <xdr:cNvPr id="66" name="Line 56">
            <a:extLst>
              <a:ext uri="{FF2B5EF4-FFF2-40B4-BE49-F238E27FC236}">
                <a16:creationId xmlns:a16="http://schemas.microsoft.com/office/drawing/2014/main" id="{DC8ECC5C-0B1D-4575-8E12-33D8F4C244B1}"/>
              </a:ext>
            </a:extLst>
          </xdr:cNvPr>
          <xdr:cNvSpPr>
            <a:spLocks noChangeShapeType="1"/>
          </xdr:cNvSpPr>
        </xdr:nvSpPr>
        <xdr:spPr bwMode="auto">
          <a:xfrm rot="16200000">
            <a:off x="3179100" y="6213493"/>
            <a:ext cx="576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Freeform 58">
            <a:extLst>
              <a:ext uri="{FF2B5EF4-FFF2-40B4-BE49-F238E27FC236}">
                <a16:creationId xmlns:a16="http://schemas.microsoft.com/office/drawing/2014/main" id="{B441FEA3-A9EF-4AF6-98BD-FCACF4B44A97}"/>
              </a:ext>
            </a:extLst>
          </xdr:cNvPr>
          <xdr:cNvSpPr>
            <a:spLocks/>
          </xdr:cNvSpPr>
        </xdr:nvSpPr>
        <xdr:spPr bwMode="auto">
          <a:xfrm rot="16200000">
            <a:off x="3390900" y="6196693"/>
            <a:ext cx="66675" cy="76200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9" name="Line 59">
            <a:extLst>
              <a:ext uri="{FF2B5EF4-FFF2-40B4-BE49-F238E27FC236}">
                <a16:creationId xmlns:a16="http://schemas.microsoft.com/office/drawing/2014/main" id="{BE1FABB3-9D1C-4429-8DB0-F63EFD72C57D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352800" y="6158593"/>
            <a:ext cx="0" cy="762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Freeform 60">
            <a:extLst>
              <a:ext uri="{FF2B5EF4-FFF2-40B4-BE49-F238E27FC236}">
                <a16:creationId xmlns:a16="http://schemas.microsoft.com/office/drawing/2014/main" id="{AF58ED65-F7BD-40AF-BC9E-B64E92A056B9}"/>
              </a:ext>
            </a:extLst>
          </xdr:cNvPr>
          <xdr:cNvSpPr>
            <a:spLocks/>
          </xdr:cNvSpPr>
        </xdr:nvSpPr>
        <xdr:spPr bwMode="auto">
          <a:xfrm rot="16200000">
            <a:off x="3314700" y="6158593"/>
            <a:ext cx="76200" cy="66675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1" name="Freeform 61">
            <a:extLst>
              <a:ext uri="{FF2B5EF4-FFF2-40B4-BE49-F238E27FC236}">
                <a16:creationId xmlns:a16="http://schemas.microsoft.com/office/drawing/2014/main" id="{AF8790D0-DC29-41F6-9B4F-93BEA3824D9C}"/>
              </a:ext>
            </a:extLst>
          </xdr:cNvPr>
          <xdr:cNvSpPr>
            <a:spLocks/>
          </xdr:cNvSpPr>
        </xdr:nvSpPr>
        <xdr:spPr bwMode="auto">
          <a:xfrm rot="16200000">
            <a:off x="3466419" y="5874881"/>
            <a:ext cx="76200" cy="65314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2" name="Line 62">
            <a:extLst>
              <a:ext uri="{FF2B5EF4-FFF2-40B4-BE49-F238E27FC236}">
                <a16:creationId xmlns:a16="http://schemas.microsoft.com/office/drawing/2014/main" id="{D76E7890-B842-465A-A3A5-188F80B0435F}"/>
              </a:ext>
            </a:extLst>
          </xdr:cNvPr>
          <xdr:cNvSpPr>
            <a:spLocks noChangeShapeType="1"/>
          </xdr:cNvSpPr>
        </xdr:nvSpPr>
        <xdr:spPr bwMode="auto">
          <a:xfrm rot="16200000">
            <a:off x="3570514" y="5836100"/>
            <a:ext cx="0" cy="762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63">
            <a:extLst>
              <a:ext uri="{FF2B5EF4-FFF2-40B4-BE49-F238E27FC236}">
                <a16:creationId xmlns:a16="http://schemas.microsoft.com/office/drawing/2014/main" id="{3EB72CEF-9B7D-476B-A2EA-9060CF764D01}"/>
              </a:ext>
            </a:extLst>
          </xdr:cNvPr>
          <xdr:cNvSpPr>
            <a:spLocks/>
          </xdr:cNvSpPr>
        </xdr:nvSpPr>
        <xdr:spPr bwMode="auto">
          <a:xfrm rot="16200000">
            <a:off x="3551464" y="5836100"/>
            <a:ext cx="76200" cy="66675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17</xdr:row>
      <xdr:rowOff>466725</xdr:rowOff>
    </xdr:from>
    <xdr:to>
      <xdr:col>10</xdr:col>
      <xdr:colOff>38100</xdr:colOff>
      <xdr:row>17</xdr:row>
      <xdr:rowOff>1200150</xdr:rowOff>
    </xdr:to>
    <xdr:grpSp>
      <xdr:nvGrpSpPr>
        <xdr:cNvPr id="74" name="Group 77">
          <a:extLst>
            <a:ext uri="{FF2B5EF4-FFF2-40B4-BE49-F238E27FC236}">
              <a16:creationId xmlns:a16="http://schemas.microsoft.com/office/drawing/2014/main" id="{69077706-78DB-4E8B-A8D2-1A83C9CE6815}"/>
            </a:ext>
          </a:extLst>
        </xdr:cNvPr>
        <xdr:cNvGrpSpPr>
          <a:grpSpLocks/>
        </xdr:cNvGrpSpPr>
      </xdr:nvGrpSpPr>
      <xdr:grpSpPr bwMode="auto">
        <a:xfrm rot="5400000">
          <a:off x="2843212" y="5995988"/>
          <a:ext cx="733425" cy="57150"/>
          <a:chOff x="123" y="549"/>
          <a:chExt cx="77" cy="6"/>
        </a:xfrm>
      </xdr:grpSpPr>
      <xdr:sp macro="" textlink="">
        <xdr:nvSpPr>
          <xdr:cNvPr id="75" name="Line 78">
            <a:extLst>
              <a:ext uri="{FF2B5EF4-FFF2-40B4-BE49-F238E27FC236}">
                <a16:creationId xmlns:a16="http://schemas.microsoft.com/office/drawing/2014/main" id="{36FDFBF7-A4B5-4798-8E56-0BA770C2172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Freeform 79">
            <a:extLst>
              <a:ext uri="{FF2B5EF4-FFF2-40B4-BE49-F238E27FC236}">
                <a16:creationId xmlns:a16="http://schemas.microsoft.com/office/drawing/2014/main" id="{32FE3203-9C95-40E8-87C7-2C6BCDE28AD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7" name="Freeform 80">
            <a:extLst>
              <a:ext uri="{FF2B5EF4-FFF2-40B4-BE49-F238E27FC236}">
                <a16:creationId xmlns:a16="http://schemas.microsoft.com/office/drawing/2014/main" id="{1E123069-9567-4223-97BE-C3A1254B3A1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17</xdr:row>
      <xdr:rowOff>466725</xdr:rowOff>
    </xdr:from>
    <xdr:to>
      <xdr:col>13</xdr:col>
      <xdr:colOff>38100</xdr:colOff>
      <xdr:row>17</xdr:row>
      <xdr:rowOff>1200150</xdr:rowOff>
    </xdr:to>
    <xdr:grpSp>
      <xdr:nvGrpSpPr>
        <xdr:cNvPr id="78" name="Group 82">
          <a:extLst>
            <a:ext uri="{FF2B5EF4-FFF2-40B4-BE49-F238E27FC236}">
              <a16:creationId xmlns:a16="http://schemas.microsoft.com/office/drawing/2014/main" id="{74B5FBC5-D884-46C2-8A66-77C6F910CF1A}"/>
            </a:ext>
          </a:extLst>
        </xdr:cNvPr>
        <xdr:cNvGrpSpPr>
          <a:grpSpLocks/>
        </xdr:cNvGrpSpPr>
      </xdr:nvGrpSpPr>
      <xdr:grpSpPr bwMode="auto">
        <a:xfrm rot="5400000">
          <a:off x="3786187" y="5995988"/>
          <a:ext cx="733425" cy="57150"/>
          <a:chOff x="123" y="549"/>
          <a:chExt cx="77" cy="6"/>
        </a:xfrm>
      </xdr:grpSpPr>
      <xdr:sp macro="" textlink="">
        <xdr:nvSpPr>
          <xdr:cNvPr id="79" name="Line 83">
            <a:extLst>
              <a:ext uri="{FF2B5EF4-FFF2-40B4-BE49-F238E27FC236}">
                <a16:creationId xmlns:a16="http://schemas.microsoft.com/office/drawing/2014/main" id="{617552EE-976F-4DA7-96B8-88A26899264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Freeform 84">
            <a:extLst>
              <a:ext uri="{FF2B5EF4-FFF2-40B4-BE49-F238E27FC236}">
                <a16:creationId xmlns:a16="http://schemas.microsoft.com/office/drawing/2014/main" id="{E5584C85-754F-4EDC-98A9-90A8D2D5054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1" name="Freeform 85">
            <a:extLst>
              <a:ext uri="{FF2B5EF4-FFF2-40B4-BE49-F238E27FC236}">
                <a16:creationId xmlns:a16="http://schemas.microsoft.com/office/drawing/2014/main" id="{4577B734-0748-4E88-B995-B39A517CF5A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66675</xdr:colOff>
      <xdr:row>17</xdr:row>
      <xdr:rowOff>247650</xdr:rowOff>
    </xdr:from>
    <xdr:to>
      <xdr:col>8</xdr:col>
      <xdr:colOff>19050</xdr:colOff>
      <xdr:row>17</xdr:row>
      <xdr:rowOff>457200</xdr:rowOff>
    </xdr:to>
    <xdr:sp macro="" textlink="">
      <xdr:nvSpPr>
        <xdr:cNvPr id="82" name="Text Box 89">
          <a:extLst>
            <a:ext uri="{FF2B5EF4-FFF2-40B4-BE49-F238E27FC236}">
              <a16:creationId xmlns:a16="http://schemas.microsoft.com/office/drawing/2014/main" id="{E64B8081-6683-4664-BA44-8851EE799C9E}"/>
            </a:ext>
          </a:extLst>
        </xdr:cNvPr>
        <xdr:cNvSpPr txBox="1">
          <a:spLocks noChangeArrowheads="1"/>
        </xdr:cNvSpPr>
      </xdr:nvSpPr>
      <xdr:spPr bwMode="auto">
        <a:xfrm>
          <a:off x="1381125" y="5438775"/>
          <a:ext cx="1209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  ）</a:t>
          </a:r>
        </a:p>
      </xdr:txBody>
    </xdr:sp>
    <xdr:clientData/>
  </xdr:twoCellAnchor>
  <xdr:twoCellAnchor>
    <xdr:from>
      <xdr:col>5</xdr:col>
      <xdr:colOff>66675</xdr:colOff>
      <xdr:row>17</xdr:row>
      <xdr:rowOff>323850</xdr:rowOff>
    </xdr:from>
    <xdr:to>
      <xdr:col>6</xdr:col>
      <xdr:colOff>304800</xdr:colOff>
      <xdr:row>17</xdr:row>
      <xdr:rowOff>361950</xdr:rowOff>
    </xdr:to>
    <xdr:grpSp>
      <xdr:nvGrpSpPr>
        <xdr:cNvPr id="84" name="Group 91">
          <a:extLst>
            <a:ext uri="{FF2B5EF4-FFF2-40B4-BE49-F238E27FC236}">
              <a16:creationId xmlns:a16="http://schemas.microsoft.com/office/drawing/2014/main" id="{143B614C-0686-47B9-81B4-0FEBA6B46CAE}"/>
            </a:ext>
          </a:extLst>
        </xdr:cNvPr>
        <xdr:cNvGrpSpPr>
          <a:grpSpLocks/>
        </xdr:cNvGrpSpPr>
      </xdr:nvGrpSpPr>
      <xdr:grpSpPr bwMode="auto">
        <a:xfrm>
          <a:off x="1695450" y="5514975"/>
          <a:ext cx="552450" cy="38100"/>
          <a:chOff x="123" y="549"/>
          <a:chExt cx="77" cy="6"/>
        </a:xfrm>
      </xdr:grpSpPr>
      <xdr:sp macro="" textlink="">
        <xdr:nvSpPr>
          <xdr:cNvPr id="85" name="Line 92">
            <a:extLst>
              <a:ext uri="{FF2B5EF4-FFF2-40B4-BE49-F238E27FC236}">
                <a16:creationId xmlns:a16="http://schemas.microsoft.com/office/drawing/2014/main" id="{A96DD2D2-08FF-448D-9B0F-A5DC7FDF9A7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Freeform 93">
            <a:extLst>
              <a:ext uri="{FF2B5EF4-FFF2-40B4-BE49-F238E27FC236}">
                <a16:creationId xmlns:a16="http://schemas.microsoft.com/office/drawing/2014/main" id="{D50420C6-0E32-4E78-A20B-753983EA74F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7" name="Freeform 94">
            <a:extLst>
              <a:ext uri="{FF2B5EF4-FFF2-40B4-BE49-F238E27FC236}">
                <a16:creationId xmlns:a16="http://schemas.microsoft.com/office/drawing/2014/main" id="{667B4591-5D14-4DF0-AB28-54CB399BF28D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9</xdr:col>
      <xdr:colOff>209550</xdr:colOff>
      <xdr:row>17</xdr:row>
      <xdr:rowOff>171450</xdr:rowOff>
    </xdr:from>
    <xdr:ext cx="288541" cy="150041"/>
    <xdr:sp macro="" textlink="">
      <xdr:nvSpPr>
        <xdr:cNvPr id="92" name="Text Box 99">
          <a:extLst>
            <a:ext uri="{FF2B5EF4-FFF2-40B4-BE49-F238E27FC236}">
              <a16:creationId xmlns:a16="http://schemas.microsoft.com/office/drawing/2014/main" id="{374747AE-638A-4B6D-9578-0343002FCB41}"/>
            </a:ext>
          </a:extLst>
        </xdr:cNvPr>
        <xdr:cNvSpPr txBox="1">
          <a:spLocks noChangeArrowheads="1"/>
        </xdr:cNvSpPr>
      </xdr:nvSpPr>
      <xdr:spPr bwMode="auto">
        <a:xfrm>
          <a:off x="3095625" y="53625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7</xdr:col>
      <xdr:colOff>133350</xdr:colOff>
      <xdr:row>17</xdr:row>
      <xdr:rowOff>66675</xdr:rowOff>
    </xdr:from>
    <xdr:ext cx="461665" cy="150041"/>
    <xdr:sp macro="" textlink="">
      <xdr:nvSpPr>
        <xdr:cNvPr id="93" name="Text Box 100">
          <a:extLst>
            <a:ext uri="{FF2B5EF4-FFF2-40B4-BE49-F238E27FC236}">
              <a16:creationId xmlns:a16="http://schemas.microsoft.com/office/drawing/2014/main" id="{801B12C5-72A6-4635-811A-AC7874A19988}"/>
            </a:ext>
          </a:extLst>
        </xdr:cNvPr>
        <xdr:cNvSpPr txBox="1">
          <a:spLocks noChangeArrowheads="1"/>
        </xdr:cNvSpPr>
      </xdr:nvSpPr>
      <xdr:spPr bwMode="auto">
        <a:xfrm>
          <a:off x="2390775" y="5257800"/>
          <a:ext cx="461665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歩灯なし</a:t>
          </a:r>
        </a:p>
      </xdr:txBody>
    </xdr:sp>
    <xdr:clientData/>
  </xdr:oneCellAnchor>
  <xdr:oneCellAnchor>
    <xdr:from>
      <xdr:col>12</xdr:col>
      <xdr:colOff>190500</xdr:colOff>
      <xdr:row>17</xdr:row>
      <xdr:rowOff>190500</xdr:rowOff>
    </xdr:from>
    <xdr:ext cx="288541" cy="150041"/>
    <xdr:sp macro="" textlink="">
      <xdr:nvSpPr>
        <xdr:cNvPr id="94" name="Text Box 101">
          <a:extLst>
            <a:ext uri="{FF2B5EF4-FFF2-40B4-BE49-F238E27FC236}">
              <a16:creationId xmlns:a16="http://schemas.microsoft.com/office/drawing/2014/main" id="{A088309B-958A-42E6-A29D-C99174C18601}"/>
            </a:ext>
          </a:extLst>
        </xdr:cNvPr>
        <xdr:cNvSpPr txBox="1">
          <a:spLocks noChangeArrowheads="1"/>
        </xdr:cNvSpPr>
      </xdr:nvSpPr>
      <xdr:spPr bwMode="auto">
        <a:xfrm>
          <a:off x="4019550" y="538162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5</xdr:col>
      <xdr:colOff>171450</xdr:colOff>
      <xdr:row>17</xdr:row>
      <xdr:rowOff>133350</xdr:rowOff>
    </xdr:from>
    <xdr:ext cx="288541" cy="150041"/>
    <xdr:sp macro="" textlink="">
      <xdr:nvSpPr>
        <xdr:cNvPr id="96" name="Text Box 103">
          <a:extLst>
            <a:ext uri="{FF2B5EF4-FFF2-40B4-BE49-F238E27FC236}">
              <a16:creationId xmlns:a16="http://schemas.microsoft.com/office/drawing/2014/main" id="{8F0B4A0C-798B-413A-A809-CF256522893F}"/>
            </a:ext>
          </a:extLst>
        </xdr:cNvPr>
        <xdr:cNvSpPr txBox="1">
          <a:spLocks noChangeArrowheads="1"/>
        </xdr:cNvSpPr>
      </xdr:nvSpPr>
      <xdr:spPr bwMode="auto">
        <a:xfrm>
          <a:off x="1800225" y="53244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9</xdr:col>
      <xdr:colOff>190500</xdr:colOff>
      <xdr:row>17</xdr:row>
      <xdr:rowOff>1276350</xdr:rowOff>
    </xdr:from>
    <xdr:ext cx="288541" cy="150041"/>
    <xdr:sp macro="" textlink="">
      <xdr:nvSpPr>
        <xdr:cNvPr id="97" name="Text Box 104">
          <a:extLst>
            <a:ext uri="{FF2B5EF4-FFF2-40B4-BE49-F238E27FC236}">
              <a16:creationId xmlns:a16="http://schemas.microsoft.com/office/drawing/2014/main" id="{D60202F8-FD43-416D-8A8D-E18F92E0C709}"/>
            </a:ext>
          </a:extLst>
        </xdr:cNvPr>
        <xdr:cNvSpPr txBox="1">
          <a:spLocks noChangeArrowheads="1"/>
        </xdr:cNvSpPr>
      </xdr:nvSpPr>
      <xdr:spPr bwMode="auto">
        <a:xfrm>
          <a:off x="3076575" y="64674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15.6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12</xdr:col>
      <xdr:colOff>171450</xdr:colOff>
      <xdr:row>17</xdr:row>
      <xdr:rowOff>1276350</xdr:rowOff>
    </xdr:from>
    <xdr:ext cx="288541" cy="150041"/>
    <xdr:sp macro="" textlink="">
      <xdr:nvSpPr>
        <xdr:cNvPr id="99" name="Text Box 104">
          <a:extLst>
            <a:ext uri="{FF2B5EF4-FFF2-40B4-BE49-F238E27FC236}">
              <a16:creationId xmlns:a16="http://schemas.microsoft.com/office/drawing/2014/main" id="{2A26CCC5-A812-4365-9695-D4D921C74C5B}"/>
            </a:ext>
          </a:extLst>
        </xdr:cNvPr>
        <xdr:cNvSpPr txBox="1">
          <a:spLocks noChangeArrowheads="1"/>
        </xdr:cNvSpPr>
      </xdr:nvSpPr>
      <xdr:spPr bwMode="auto">
        <a:xfrm>
          <a:off x="4000500" y="6467475"/>
          <a:ext cx="28854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5.3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11</xdr:col>
      <xdr:colOff>57150</xdr:colOff>
      <xdr:row>6</xdr:row>
      <xdr:rowOff>104775</xdr:rowOff>
    </xdr:from>
    <xdr:to>
      <xdr:col>11</xdr:col>
      <xdr:colOff>114300</xdr:colOff>
      <xdr:row>9</xdr:row>
      <xdr:rowOff>1752600</xdr:rowOff>
    </xdr:to>
    <xdr:cxnSp macro="">
      <xdr:nvCxnSpPr>
        <xdr:cNvPr id="91" name="直線矢印コネクタ 90">
          <a:extLst>
            <a:ext uri="{FF2B5EF4-FFF2-40B4-BE49-F238E27FC236}">
              <a16:creationId xmlns:a16="http://schemas.microsoft.com/office/drawing/2014/main" id="{F1E77268-0401-4341-9BF3-58DA7C854083}"/>
            </a:ext>
          </a:extLst>
        </xdr:cNvPr>
        <xdr:cNvCxnSpPr/>
      </xdr:nvCxnSpPr>
      <xdr:spPr bwMode="auto">
        <a:xfrm flipH="1">
          <a:off x="3571875" y="1133475"/>
          <a:ext cx="57150" cy="23336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 cap="flat" cmpd="sng" algn="ctr">
          <a:solidFill>
            <a:srgbClr val="00B050"/>
          </a:solidFill>
          <a:prstDash val="solid"/>
          <a:round/>
          <a:headEnd type="arrow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9</xdr:col>
      <xdr:colOff>190500</xdr:colOff>
      <xdr:row>9</xdr:row>
      <xdr:rowOff>304800</xdr:rowOff>
    </xdr:from>
    <xdr:ext cx="465952" cy="236090"/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C0A9069E-0A5D-459C-82AB-96FA87AD2FC2}"/>
            </a:ext>
          </a:extLst>
        </xdr:cNvPr>
        <xdr:cNvSpPr txBox="1"/>
      </xdr:nvSpPr>
      <xdr:spPr>
        <a:xfrm>
          <a:off x="3076575" y="2019300"/>
          <a:ext cx="465952" cy="23609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100">
              <a:solidFill>
                <a:srgbClr val="00B050"/>
              </a:solidFill>
              <a:latin typeface="+mn-ea"/>
              <a:ea typeface="+mn-ea"/>
            </a:rPr>
            <a:t>26.5m</a:t>
          </a:r>
          <a:endParaRPr kumimoji="1" lang="ja-JP" altLang="en-US" sz="1100">
            <a:solidFill>
              <a:srgbClr val="00B05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276225</xdr:colOff>
      <xdr:row>9</xdr:row>
      <xdr:rowOff>771525</xdr:rowOff>
    </xdr:from>
    <xdr:ext cx="465952" cy="236090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37BB07CB-ABF3-464A-A3DD-0526DBC69A9E}"/>
            </a:ext>
          </a:extLst>
        </xdr:cNvPr>
        <xdr:cNvSpPr txBox="1"/>
      </xdr:nvSpPr>
      <xdr:spPr>
        <a:xfrm>
          <a:off x="2847975" y="2486025"/>
          <a:ext cx="465952" cy="23609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100">
              <a:solidFill>
                <a:srgbClr val="00B050"/>
              </a:solidFill>
              <a:latin typeface="+mn-ea"/>
              <a:ea typeface="+mn-ea"/>
            </a:rPr>
            <a:t>28.7m</a:t>
          </a:r>
          <a:endParaRPr kumimoji="1" lang="ja-JP" altLang="en-US" sz="1100">
            <a:solidFill>
              <a:srgbClr val="00B050"/>
            </a:solidFill>
            <a:latin typeface="+mn-ea"/>
            <a:ea typeface="+mn-ea"/>
          </a:endParaRPr>
        </a:p>
      </xdr:txBody>
    </xdr:sp>
    <xdr:clientData/>
  </xdr:oneCellAnchor>
  <xdr:twoCellAnchor editAs="oneCell">
    <xdr:from>
      <xdr:col>10</xdr:col>
      <xdr:colOff>190500</xdr:colOff>
      <xdr:row>4</xdr:row>
      <xdr:rowOff>76200</xdr:rowOff>
    </xdr:from>
    <xdr:to>
      <xdr:col>11</xdr:col>
      <xdr:colOff>163427</xdr:colOff>
      <xdr:row>5</xdr:row>
      <xdr:rowOff>135600</xdr:rowOff>
    </xdr:to>
    <xdr:pic>
      <xdr:nvPicPr>
        <xdr:cNvPr id="104" name="図 103">
          <a:extLst>
            <a:ext uri="{FF2B5EF4-FFF2-40B4-BE49-F238E27FC236}">
              <a16:creationId xmlns:a16="http://schemas.microsoft.com/office/drawing/2014/main" id="{22EC6F9C-2DB0-4517-8328-D5A6A0800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0900" y="6477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9</xdr:row>
      <xdr:rowOff>723900</xdr:rowOff>
    </xdr:from>
    <xdr:to>
      <xdr:col>1</xdr:col>
      <xdr:colOff>1502</xdr:colOff>
      <xdr:row>9</xdr:row>
      <xdr:rowOff>1011900</xdr:rowOff>
    </xdr:to>
    <xdr:pic>
      <xdr:nvPicPr>
        <xdr:cNvPr id="105" name="図 104">
          <a:extLst>
            <a:ext uri="{FF2B5EF4-FFF2-40B4-BE49-F238E27FC236}">
              <a16:creationId xmlns:a16="http://schemas.microsoft.com/office/drawing/2014/main" id="{ED0BA67E-DD15-4E40-B86F-A9F435DFB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0" y="24384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20</xdr:col>
      <xdr:colOff>209550</xdr:colOff>
      <xdr:row>9</xdr:row>
      <xdr:rowOff>1581150</xdr:rowOff>
    </xdr:from>
    <xdr:to>
      <xdr:col>21</xdr:col>
      <xdr:colOff>182477</xdr:colOff>
      <xdr:row>9</xdr:row>
      <xdr:rowOff>1869150</xdr:rowOff>
    </xdr:to>
    <xdr:pic>
      <xdr:nvPicPr>
        <xdr:cNvPr id="106" name="図 105">
          <a:extLst>
            <a:ext uri="{FF2B5EF4-FFF2-40B4-BE49-F238E27FC236}">
              <a16:creationId xmlns:a16="http://schemas.microsoft.com/office/drawing/2014/main" id="{B85E2E59-EB75-476B-8576-782B269FC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3200" y="3295650"/>
          <a:ext cx="287252" cy="288000"/>
        </a:xfrm>
        <a:prstGeom prst="rect">
          <a:avLst/>
        </a:prstGeom>
      </xdr:spPr>
    </xdr:pic>
    <xdr:clientData/>
  </xdr:twoCellAnchor>
  <xdr:oneCellAnchor>
    <xdr:from>
      <xdr:col>0</xdr:col>
      <xdr:colOff>57150</xdr:colOff>
      <xdr:row>13</xdr:row>
      <xdr:rowOff>85725</xdr:rowOff>
    </xdr:from>
    <xdr:ext cx="844265" cy="336434"/>
    <xdr:sp macro="" textlink="">
      <xdr:nvSpPr>
        <xdr:cNvPr id="108" name="Text Box 91">
          <a:extLst>
            <a:ext uri="{FF2B5EF4-FFF2-40B4-BE49-F238E27FC236}">
              <a16:creationId xmlns:a16="http://schemas.microsoft.com/office/drawing/2014/main" id="{4CD5B69F-5DD6-4CB1-8452-2706A7CE40AD}"/>
            </a:ext>
          </a:extLst>
        </xdr:cNvPr>
        <xdr:cNvSpPr txBox="1">
          <a:spLocks noChangeArrowheads="1"/>
        </xdr:cNvSpPr>
      </xdr:nvSpPr>
      <xdr:spPr bwMode="auto">
        <a:xfrm>
          <a:off x="57150" y="4362450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twoCellAnchor>
    <xdr:from>
      <xdr:col>6</xdr:col>
      <xdr:colOff>291712</xdr:colOff>
      <xdr:row>9</xdr:row>
      <xdr:rowOff>358704</xdr:rowOff>
    </xdr:from>
    <xdr:to>
      <xdr:col>14</xdr:col>
      <xdr:colOff>220084</xdr:colOff>
      <xdr:row>9</xdr:row>
      <xdr:rowOff>1222493</xdr:rowOff>
    </xdr:to>
    <xdr:sp macro="" textlink="">
      <xdr:nvSpPr>
        <xdr:cNvPr id="109" name="フリーフォーム: 図形 108">
          <a:extLst>
            <a:ext uri="{FF2B5EF4-FFF2-40B4-BE49-F238E27FC236}">
              <a16:creationId xmlns:a16="http://schemas.microsoft.com/office/drawing/2014/main" id="{CDDFE826-DE3D-4EA7-B039-52A62DA98D40}"/>
            </a:ext>
          </a:extLst>
        </xdr:cNvPr>
        <xdr:cNvSpPr/>
      </xdr:nvSpPr>
      <xdr:spPr>
        <a:xfrm rot="1260578" flipH="1">
          <a:off x="2234812" y="2073204"/>
          <a:ext cx="2442972" cy="863789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2112453 w 2112453"/>
            <a:gd name="connsiteY0" fmla="*/ 21483883 h 21483875"/>
            <a:gd name="connsiteX1" fmla="*/ 0 w 2112453"/>
            <a:gd name="connsiteY1" fmla="*/ -7 h 21483875"/>
            <a:gd name="connsiteX0" fmla="*/ 2112453 w 2112453"/>
            <a:gd name="connsiteY0" fmla="*/ 21483883 h 21483875"/>
            <a:gd name="connsiteX1" fmla="*/ 0 w 2112453"/>
            <a:gd name="connsiteY1" fmla="*/ -7 h 21483875"/>
            <a:gd name="connsiteX0" fmla="*/ 2112453 w 2112453"/>
            <a:gd name="connsiteY0" fmla="*/ 21483883 h 21483875"/>
            <a:gd name="connsiteX1" fmla="*/ 0 w 2112453"/>
            <a:gd name="connsiteY1" fmla="*/ -7 h 21483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2112453" h="21483875">
              <a:moveTo>
                <a:pt x="2112453" y="21483883"/>
              </a:moveTo>
              <a:cubicBezTo>
                <a:pt x="1438941" y="13824218"/>
                <a:pt x="784794" y="5993273"/>
                <a:pt x="0" y="-7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20</xdr:col>
      <xdr:colOff>266700</xdr:colOff>
      <xdr:row>17</xdr:row>
      <xdr:rowOff>1066800</xdr:rowOff>
    </xdr:from>
    <xdr:ext cx="1015715" cy="666750"/>
    <xdr:sp macro="" textlink="">
      <xdr:nvSpPr>
        <xdr:cNvPr id="37" name="Text Box 91">
          <a:extLst>
            <a:ext uri="{FF2B5EF4-FFF2-40B4-BE49-F238E27FC236}">
              <a16:creationId xmlns:a16="http://schemas.microsoft.com/office/drawing/2014/main" id="{1DE7D3F3-5911-4A69-BA9C-87EAF43E234D}"/>
            </a:ext>
          </a:extLst>
        </xdr:cNvPr>
        <xdr:cNvSpPr txBox="1">
          <a:spLocks noChangeArrowheads="1"/>
        </xdr:cNvSpPr>
      </xdr:nvSpPr>
      <xdr:spPr bwMode="auto">
        <a:xfrm>
          <a:off x="6610350" y="6257925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EC6680K-6229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19050</xdr:colOff>
      <xdr:row>5</xdr:row>
      <xdr:rowOff>180975</xdr:rowOff>
    </xdr:from>
    <xdr:to>
      <xdr:col>74</xdr:col>
      <xdr:colOff>47625</xdr:colOff>
      <xdr:row>23</xdr:row>
      <xdr:rowOff>9525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9AF165C-51B9-49DC-96F6-F15D5B09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752475"/>
          <a:ext cx="4572000" cy="325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66675</xdr:colOff>
      <xdr:row>9</xdr:row>
      <xdr:rowOff>152400</xdr:rowOff>
    </xdr:from>
    <xdr:to>
      <xdr:col>20</xdr:col>
      <xdr:colOff>76200</xdr:colOff>
      <xdr:row>17</xdr:row>
      <xdr:rowOff>95250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99F6A348-9F24-4872-B6E1-81FA1F81F1D6}"/>
            </a:ext>
          </a:extLst>
        </xdr:cNvPr>
        <xdr:cNvSpPr txBox="1">
          <a:spLocks noChangeArrowheads="1"/>
        </xdr:cNvSpPr>
      </xdr:nvSpPr>
      <xdr:spPr bwMode="auto">
        <a:xfrm>
          <a:off x="1828800" y="1485900"/>
          <a:ext cx="180975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</a:t>
          </a:r>
        </a:p>
        <a:p>
          <a:pPr algn="l" rtl="0"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赤坂</a:t>
          </a:r>
        </a:p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バイパス</a:t>
          </a:r>
        </a:p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東口</a:t>
          </a:r>
        </a:p>
      </xdr:txBody>
    </xdr:sp>
    <xdr:clientData/>
  </xdr:twoCellAnchor>
  <xdr:twoCellAnchor>
    <xdr:from>
      <xdr:col>78</xdr:col>
      <xdr:colOff>0</xdr:colOff>
      <xdr:row>23</xdr:row>
      <xdr:rowOff>133350</xdr:rowOff>
    </xdr:from>
    <xdr:to>
      <xdr:col>84</xdr:col>
      <xdr:colOff>19050</xdr:colOff>
      <xdr:row>24</xdr:row>
      <xdr:rowOff>152400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8E3FC547-0F55-4C30-B1E8-C883E1D25C4C}"/>
            </a:ext>
          </a:extLst>
        </xdr:cNvPr>
        <xdr:cNvSpPr txBox="1">
          <a:spLocks noChangeArrowheads="1"/>
        </xdr:cNvSpPr>
      </xdr:nvSpPr>
      <xdr:spPr bwMode="auto">
        <a:xfrm>
          <a:off x="6905625" y="4133850"/>
          <a:ext cx="5334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50000"/>
          </a:srgbClr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INT39</a:t>
          </a:r>
        </a:p>
      </xdr:txBody>
    </xdr:sp>
    <xdr:clientData/>
  </xdr:twoCellAnchor>
  <xdr:twoCellAnchor>
    <xdr:from>
      <xdr:col>37</xdr:col>
      <xdr:colOff>38100</xdr:colOff>
      <xdr:row>10</xdr:row>
      <xdr:rowOff>161925</xdr:rowOff>
    </xdr:from>
    <xdr:to>
      <xdr:col>37</xdr:col>
      <xdr:colOff>38100</xdr:colOff>
      <xdr:row>15</xdr:row>
      <xdr:rowOff>133350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519B7353-4504-424D-BF85-7D9E345DBF03}"/>
            </a:ext>
          </a:extLst>
        </xdr:cNvPr>
        <xdr:cNvSpPr>
          <a:spLocks noChangeShapeType="1"/>
        </xdr:cNvSpPr>
      </xdr:nvSpPr>
      <xdr:spPr bwMode="auto">
        <a:xfrm flipH="1">
          <a:off x="3429000" y="1685925"/>
          <a:ext cx="0" cy="923925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44</xdr:col>
      <xdr:colOff>28575</xdr:colOff>
      <xdr:row>15</xdr:row>
      <xdr:rowOff>180975</xdr:rowOff>
    </xdr:from>
    <xdr:to>
      <xdr:col>47</xdr:col>
      <xdr:colOff>28575</xdr:colOff>
      <xdr:row>16</xdr:row>
      <xdr:rowOff>123825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DBF9E9C8-D6F4-4D14-88DE-FD498B6583BD}"/>
            </a:ext>
          </a:extLst>
        </xdr:cNvPr>
        <xdr:cNvSpPr txBox="1">
          <a:spLocks noChangeArrowheads="1"/>
        </xdr:cNvSpPr>
      </xdr:nvSpPr>
      <xdr:spPr bwMode="auto">
        <a:xfrm>
          <a:off x="4019550" y="2657475"/>
          <a:ext cx="2571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26.5m</a:t>
          </a:r>
        </a:p>
      </xdr:txBody>
    </xdr:sp>
    <xdr:clientData/>
  </xdr:twoCellAnchor>
  <xdr:twoCellAnchor editAs="oneCell">
    <xdr:from>
      <xdr:col>43</xdr:col>
      <xdr:colOff>76200</xdr:colOff>
      <xdr:row>13</xdr:row>
      <xdr:rowOff>76200</xdr:rowOff>
    </xdr:from>
    <xdr:to>
      <xdr:col>47</xdr:col>
      <xdr:colOff>0</xdr:colOff>
      <xdr:row>14</xdr:row>
      <xdr:rowOff>9525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3338548C-6334-4163-8A92-D85857CAE91F}"/>
            </a:ext>
          </a:extLst>
        </xdr:cNvPr>
        <xdr:cNvSpPr txBox="1">
          <a:spLocks noChangeArrowheads="1"/>
        </xdr:cNvSpPr>
      </xdr:nvSpPr>
      <xdr:spPr bwMode="auto">
        <a:xfrm>
          <a:off x="3981450" y="2171700"/>
          <a:ext cx="2667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34.6m</a:t>
          </a:r>
        </a:p>
      </xdr:txBody>
    </xdr:sp>
    <xdr:clientData/>
  </xdr:twoCellAnchor>
  <xdr:twoCellAnchor editAs="oneCell">
    <xdr:from>
      <xdr:col>47</xdr:col>
      <xdr:colOff>9525</xdr:colOff>
      <xdr:row>17</xdr:row>
      <xdr:rowOff>57150</xdr:rowOff>
    </xdr:from>
    <xdr:to>
      <xdr:col>50</xdr:col>
      <xdr:colOff>38100</xdr:colOff>
      <xdr:row>18</xdr:row>
      <xdr:rowOff>9525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F2D66234-11C9-4428-9C32-7C2F750FE7C2}"/>
            </a:ext>
          </a:extLst>
        </xdr:cNvPr>
        <xdr:cNvSpPr txBox="1">
          <a:spLocks noChangeArrowheads="1"/>
        </xdr:cNvSpPr>
      </xdr:nvSpPr>
      <xdr:spPr bwMode="auto">
        <a:xfrm>
          <a:off x="4257675" y="2914650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8.8m</a:t>
          </a:r>
        </a:p>
      </xdr:txBody>
    </xdr:sp>
    <xdr:clientData/>
  </xdr:twoCellAnchor>
  <xdr:twoCellAnchor editAs="oneCell">
    <xdr:from>
      <xdr:col>57</xdr:col>
      <xdr:colOff>38100</xdr:colOff>
      <xdr:row>17</xdr:row>
      <xdr:rowOff>47625</xdr:rowOff>
    </xdr:from>
    <xdr:to>
      <xdr:col>59</xdr:col>
      <xdr:colOff>9525</xdr:colOff>
      <xdr:row>17</xdr:row>
      <xdr:rowOff>161925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41F470DD-FAA8-42C2-95A3-27BBD1E396BD}"/>
            </a:ext>
          </a:extLst>
        </xdr:cNvPr>
        <xdr:cNvSpPr txBox="1">
          <a:spLocks noChangeArrowheads="1"/>
        </xdr:cNvSpPr>
      </xdr:nvSpPr>
      <xdr:spPr bwMode="auto">
        <a:xfrm>
          <a:off x="5143500" y="2905125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 editAs="oneCell">
    <xdr:from>
      <xdr:col>55</xdr:col>
      <xdr:colOff>66675</xdr:colOff>
      <xdr:row>9</xdr:row>
      <xdr:rowOff>142875</xdr:rowOff>
    </xdr:from>
    <xdr:to>
      <xdr:col>57</xdr:col>
      <xdr:colOff>38100</xdr:colOff>
      <xdr:row>10</xdr:row>
      <xdr:rowOff>66675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C32D5E70-0A6B-407E-BCA7-A17BDB2311CD}"/>
            </a:ext>
          </a:extLst>
        </xdr:cNvPr>
        <xdr:cNvSpPr txBox="1">
          <a:spLocks noChangeArrowheads="1"/>
        </xdr:cNvSpPr>
      </xdr:nvSpPr>
      <xdr:spPr bwMode="auto">
        <a:xfrm>
          <a:off x="5000625" y="1476375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 editAs="oneCell">
    <xdr:from>
      <xdr:col>33</xdr:col>
      <xdr:colOff>38100</xdr:colOff>
      <xdr:row>14</xdr:row>
      <xdr:rowOff>114300</xdr:rowOff>
    </xdr:from>
    <xdr:to>
      <xdr:col>34</xdr:col>
      <xdr:colOff>47625</xdr:colOff>
      <xdr:row>15</xdr:row>
      <xdr:rowOff>38100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49A2990A-B32D-459C-BCD2-A8B3AC0DD3FC}"/>
            </a:ext>
          </a:extLst>
        </xdr:cNvPr>
        <xdr:cNvSpPr txBox="1">
          <a:spLocks noChangeArrowheads="1"/>
        </xdr:cNvSpPr>
      </xdr:nvSpPr>
      <xdr:spPr bwMode="auto">
        <a:xfrm>
          <a:off x="3086100" y="2400300"/>
          <a:ext cx="952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 editAs="oneCell">
    <xdr:from>
      <xdr:col>57</xdr:col>
      <xdr:colOff>57150</xdr:colOff>
      <xdr:row>11</xdr:row>
      <xdr:rowOff>161925</xdr:rowOff>
    </xdr:from>
    <xdr:to>
      <xdr:col>58</xdr:col>
      <xdr:colOff>66675</xdr:colOff>
      <xdr:row>12</xdr:row>
      <xdr:rowOff>85725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7B0816E4-4DAA-4113-8FC6-8F49588BBFEC}"/>
            </a:ext>
          </a:extLst>
        </xdr:cNvPr>
        <xdr:cNvSpPr txBox="1">
          <a:spLocks noChangeArrowheads="1"/>
        </xdr:cNvSpPr>
      </xdr:nvSpPr>
      <xdr:spPr bwMode="auto">
        <a:xfrm>
          <a:off x="5162550" y="1876425"/>
          <a:ext cx="952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 editAs="oneCell">
    <xdr:from>
      <xdr:col>45</xdr:col>
      <xdr:colOff>57150</xdr:colOff>
      <xdr:row>10</xdr:row>
      <xdr:rowOff>161925</xdr:rowOff>
    </xdr:from>
    <xdr:to>
      <xdr:col>46</xdr:col>
      <xdr:colOff>66675</xdr:colOff>
      <xdr:row>11</xdr:row>
      <xdr:rowOff>85725</xdr:rowOff>
    </xdr:to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AE120F48-5292-489E-95BB-37FDF98DA331}"/>
            </a:ext>
          </a:extLst>
        </xdr:cNvPr>
        <xdr:cNvSpPr txBox="1">
          <a:spLocks noChangeArrowheads="1"/>
        </xdr:cNvSpPr>
      </xdr:nvSpPr>
      <xdr:spPr bwMode="auto">
        <a:xfrm>
          <a:off x="4133850" y="1685925"/>
          <a:ext cx="952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>
    <xdr:from>
      <xdr:col>1</xdr:col>
      <xdr:colOff>76200</xdr:colOff>
      <xdr:row>22</xdr:row>
      <xdr:rowOff>161925</xdr:rowOff>
    </xdr:from>
    <xdr:to>
      <xdr:col>23</xdr:col>
      <xdr:colOff>57150</xdr:colOff>
      <xdr:row>24</xdr:row>
      <xdr:rowOff>38100</xdr:rowOff>
    </xdr:to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68E1D065-800E-4B32-9FD9-5A50FC85E0B2}"/>
            </a:ext>
          </a:extLst>
        </xdr:cNvPr>
        <xdr:cNvSpPr txBox="1">
          <a:spLocks noChangeArrowheads="1"/>
        </xdr:cNvSpPr>
      </xdr:nvSpPr>
      <xdr:spPr bwMode="auto">
        <a:xfrm>
          <a:off x="76200" y="3971925"/>
          <a:ext cx="2171700" cy="257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35</xdr:col>
      <xdr:colOff>28575</xdr:colOff>
      <xdr:row>14</xdr:row>
      <xdr:rowOff>0</xdr:rowOff>
    </xdr:from>
    <xdr:to>
      <xdr:col>64</xdr:col>
      <xdr:colOff>57150</xdr:colOff>
      <xdr:row>14</xdr:row>
      <xdr:rowOff>28575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5A97B6D7-1A00-4538-977B-D4B232ACA652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4491037" y="1042988"/>
          <a:ext cx="28575" cy="251460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19050</xdr:colOff>
      <xdr:row>10</xdr:row>
      <xdr:rowOff>133350</xdr:rowOff>
    </xdr:from>
    <xdr:to>
      <xdr:col>45</xdr:col>
      <xdr:colOff>19050</xdr:colOff>
      <xdr:row>21</xdr:row>
      <xdr:rowOff>85725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E8FD0A84-D3F6-400F-BEE1-EBF75418599D}"/>
            </a:ext>
          </a:extLst>
        </xdr:cNvPr>
        <xdr:cNvSpPr>
          <a:spLocks noChangeShapeType="1"/>
        </xdr:cNvSpPr>
      </xdr:nvSpPr>
      <xdr:spPr bwMode="auto">
        <a:xfrm>
          <a:off x="3924300" y="1657350"/>
          <a:ext cx="171450" cy="2047875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76</xdr:col>
      <xdr:colOff>66675</xdr:colOff>
      <xdr:row>11</xdr:row>
      <xdr:rowOff>104775</xdr:rowOff>
    </xdr:from>
    <xdr:to>
      <xdr:col>78</xdr:col>
      <xdr:colOff>66675</xdr:colOff>
      <xdr:row>17</xdr:row>
      <xdr:rowOff>9525</xdr:rowOff>
    </xdr:to>
    <xdr:sp macro="" textlink="">
      <xdr:nvSpPr>
        <xdr:cNvPr id="1040" name="Text Box 16">
          <a:extLst>
            <a:ext uri="{FF2B5EF4-FFF2-40B4-BE49-F238E27FC236}">
              <a16:creationId xmlns:a16="http://schemas.microsoft.com/office/drawing/2014/main" id="{24F4F8AC-D611-44E1-90D1-32770D15BA33}"/>
            </a:ext>
          </a:extLst>
        </xdr:cNvPr>
        <xdr:cNvSpPr txBox="1">
          <a:spLocks noChangeArrowheads="1"/>
        </xdr:cNvSpPr>
      </xdr:nvSpPr>
      <xdr:spPr bwMode="auto">
        <a:xfrm>
          <a:off x="6800850" y="1819275"/>
          <a:ext cx="1714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8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</a:t>
          </a:r>
        </a:p>
        <a:p>
          <a:pPr algn="l" rtl="0">
            <a:lnSpc>
              <a:spcPts val="700"/>
            </a:lnSpc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700"/>
            </a:lnSpc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福山市</a:t>
          </a:r>
        </a:p>
      </xdr:txBody>
    </xdr:sp>
    <xdr:clientData/>
  </xdr:twoCellAnchor>
  <xdr:twoCellAnchor>
    <xdr:from>
      <xdr:col>5</xdr:col>
      <xdr:colOff>0</xdr:colOff>
      <xdr:row>38</xdr:row>
      <xdr:rowOff>38100</xdr:rowOff>
    </xdr:from>
    <xdr:to>
      <xdr:col>9</xdr:col>
      <xdr:colOff>0</xdr:colOff>
      <xdr:row>38</xdr:row>
      <xdr:rowOff>38100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659AA936-BEFA-4359-B865-4EBB60663C23}"/>
            </a:ext>
          </a:extLst>
        </xdr:cNvPr>
        <xdr:cNvSpPr>
          <a:spLocks noChangeShapeType="1"/>
        </xdr:cNvSpPr>
      </xdr:nvSpPr>
      <xdr:spPr bwMode="auto">
        <a:xfrm>
          <a:off x="647700" y="67722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57150</xdr:colOff>
      <xdr:row>37</xdr:row>
      <xdr:rowOff>0</xdr:rowOff>
    </xdr:from>
    <xdr:to>
      <xdr:col>9</xdr:col>
      <xdr:colOff>57150</xdr:colOff>
      <xdr:row>40</xdr:row>
      <xdr:rowOff>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EEDA362B-0DBF-4593-974E-7346F9ABE88C}"/>
            </a:ext>
          </a:extLst>
        </xdr:cNvPr>
        <xdr:cNvSpPr>
          <a:spLocks noChangeShapeType="1"/>
        </xdr:cNvSpPr>
      </xdr:nvSpPr>
      <xdr:spPr bwMode="auto">
        <a:xfrm>
          <a:off x="1047750" y="666750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28575</xdr:colOff>
      <xdr:row>37</xdr:row>
      <xdr:rowOff>0</xdr:rowOff>
    </xdr:from>
    <xdr:to>
      <xdr:col>10</xdr:col>
      <xdr:colOff>28575</xdr:colOff>
      <xdr:row>40</xdr:row>
      <xdr:rowOff>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2A3CA91A-E1D3-49DE-A619-7B93897A7AF0}"/>
            </a:ext>
          </a:extLst>
        </xdr:cNvPr>
        <xdr:cNvSpPr>
          <a:spLocks noChangeShapeType="1"/>
        </xdr:cNvSpPr>
      </xdr:nvSpPr>
      <xdr:spPr bwMode="auto">
        <a:xfrm>
          <a:off x="1104900" y="666750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0</xdr:colOff>
      <xdr:row>40</xdr:row>
      <xdr:rowOff>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5A1C25D8-B4E4-4EE3-8A8E-D70045451625}"/>
            </a:ext>
          </a:extLst>
        </xdr:cNvPr>
        <xdr:cNvSpPr>
          <a:spLocks noChangeShapeType="1"/>
        </xdr:cNvSpPr>
      </xdr:nvSpPr>
      <xdr:spPr bwMode="auto">
        <a:xfrm>
          <a:off x="1162050" y="666750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37</xdr:row>
      <xdr:rowOff>0</xdr:rowOff>
    </xdr:from>
    <xdr:to>
      <xdr:col>11</xdr:col>
      <xdr:colOff>57150</xdr:colOff>
      <xdr:row>40</xdr:row>
      <xdr:rowOff>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08E3DAB3-9AEB-4407-A04A-BFDBDBC220AA}"/>
            </a:ext>
          </a:extLst>
        </xdr:cNvPr>
        <xdr:cNvSpPr>
          <a:spLocks noChangeShapeType="1"/>
        </xdr:cNvSpPr>
      </xdr:nvSpPr>
      <xdr:spPr bwMode="auto">
        <a:xfrm>
          <a:off x="1219200" y="666750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28575</xdr:colOff>
      <xdr:row>37</xdr:row>
      <xdr:rowOff>0</xdr:rowOff>
    </xdr:from>
    <xdr:to>
      <xdr:col>12</xdr:col>
      <xdr:colOff>28575</xdr:colOff>
      <xdr:row>40</xdr:row>
      <xdr:rowOff>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A8C06DDF-E8BD-45E8-BAF9-2D4F378CB46C}"/>
            </a:ext>
          </a:extLst>
        </xdr:cNvPr>
        <xdr:cNvSpPr>
          <a:spLocks noChangeShapeType="1"/>
        </xdr:cNvSpPr>
      </xdr:nvSpPr>
      <xdr:spPr bwMode="auto">
        <a:xfrm>
          <a:off x="1276350" y="666750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38</xdr:row>
      <xdr:rowOff>0</xdr:rowOff>
    </xdr:from>
    <xdr:to>
      <xdr:col>17</xdr:col>
      <xdr:colOff>0</xdr:colOff>
      <xdr:row>38</xdr:row>
      <xdr:rowOff>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51E60621-96D4-47E7-A5FB-D125A1ED57F4}"/>
            </a:ext>
          </a:extLst>
        </xdr:cNvPr>
        <xdr:cNvSpPr>
          <a:spLocks noChangeShapeType="1"/>
        </xdr:cNvSpPr>
      </xdr:nvSpPr>
      <xdr:spPr bwMode="auto">
        <a:xfrm>
          <a:off x="13335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39</xdr:row>
      <xdr:rowOff>0</xdr:rowOff>
    </xdr:from>
    <xdr:to>
      <xdr:col>17</xdr:col>
      <xdr:colOff>0</xdr:colOff>
      <xdr:row>39</xdr:row>
      <xdr:rowOff>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ACC9F26C-7B7C-403D-BB49-11B20A2AF2DB}"/>
            </a:ext>
          </a:extLst>
        </xdr:cNvPr>
        <xdr:cNvSpPr>
          <a:spLocks noChangeShapeType="1"/>
        </xdr:cNvSpPr>
      </xdr:nvSpPr>
      <xdr:spPr bwMode="auto">
        <a:xfrm>
          <a:off x="13335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38</xdr:row>
      <xdr:rowOff>0</xdr:rowOff>
    </xdr:from>
    <xdr:to>
      <xdr:col>21</xdr:col>
      <xdr:colOff>0</xdr:colOff>
      <xdr:row>38</xdr:row>
      <xdr:rowOff>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DEBC2CAC-51EC-4960-9B79-E99EBF488F45}"/>
            </a:ext>
          </a:extLst>
        </xdr:cNvPr>
        <xdr:cNvSpPr>
          <a:spLocks noChangeShapeType="1"/>
        </xdr:cNvSpPr>
      </xdr:nvSpPr>
      <xdr:spPr bwMode="auto">
        <a:xfrm>
          <a:off x="16764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39</xdr:row>
      <xdr:rowOff>0</xdr:rowOff>
    </xdr:from>
    <xdr:to>
      <xdr:col>21</xdr:col>
      <xdr:colOff>0</xdr:colOff>
      <xdr:row>39</xdr:row>
      <xdr:rowOff>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084DE302-6936-454B-A398-396F30A51029}"/>
            </a:ext>
          </a:extLst>
        </xdr:cNvPr>
        <xdr:cNvSpPr>
          <a:spLocks noChangeShapeType="1"/>
        </xdr:cNvSpPr>
      </xdr:nvSpPr>
      <xdr:spPr bwMode="auto">
        <a:xfrm>
          <a:off x="16764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38</xdr:row>
      <xdr:rowOff>0</xdr:rowOff>
    </xdr:from>
    <xdr:to>
      <xdr:col>25</xdr:col>
      <xdr:colOff>0</xdr:colOff>
      <xdr:row>38</xdr:row>
      <xdr:rowOff>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D0C001D0-B3CE-4420-92DE-7E9585A77C94}"/>
            </a:ext>
          </a:extLst>
        </xdr:cNvPr>
        <xdr:cNvSpPr>
          <a:spLocks noChangeShapeType="1"/>
        </xdr:cNvSpPr>
      </xdr:nvSpPr>
      <xdr:spPr bwMode="auto">
        <a:xfrm>
          <a:off x="20193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39</xdr:row>
      <xdr:rowOff>0</xdr:rowOff>
    </xdr:from>
    <xdr:to>
      <xdr:col>25</xdr:col>
      <xdr:colOff>0</xdr:colOff>
      <xdr:row>39</xdr:row>
      <xdr:rowOff>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A68B997F-8996-4910-98BB-1619870168AF}"/>
            </a:ext>
          </a:extLst>
        </xdr:cNvPr>
        <xdr:cNvSpPr>
          <a:spLocks noChangeShapeType="1"/>
        </xdr:cNvSpPr>
      </xdr:nvSpPr>
      <xdr:spPr bwMode="auto">
        <a:xfrm>
          <a:off x="20193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38</xdr:row>
      <xdr:rowOff>0</xdr:rowOff>
    </xdr:from>
    <xdr:to>
      <xdr:col>29</xdr:col>
      <xdr:colOff>0</xdr:colOff>
      <xdr:row>38</xdr:row>
      <xdr:rowOff>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8C5060A8-1C97-4A82-A998-EA648A4D988F}"/>
            </a:ext>
          </a:extLst>
        </xdr:cNvPr>
        <xdr:cNvSpPr>
          <a:spLocks noChangeShapeType="1"/>
        </xdr:cNvSpPr>
      </xdr:nvSpPr>
      <xdr:spPr bwMode="auto">
        <a:xfrm>
          <a:off x="23622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39</xdr:row>
      <xdr:rowOff>0</xdr:rowOff>
    </xdr:from>
    <xdr:to>
      <xdr:col>29</xdr:col>
      <xdr:colOff>0</xdr:colOff>
      <xdr:row>39</xdr:row>
      <xdr:rowOff>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E1EB3404-E0C6-419D-8B8F-57E00A2FA615}"/>
            </a:ext>
          </a:extLst>
        </xdr:cNvPr>
        <xdr:cNvSpPr>
          <a:spLocks noChangeShapeType="1"/>
        </xdr:cNvSpPr>
      </xdr:nvSpPr>
      <xdr:spPr bwMode="auto">
        <a:xfrm>
          <a:off x="23622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38</xdr:row>
      <xdr:rowOff>0</xdr:rowOff>
    </xdr:from>
    <xdr:to>
      <xdr:col>33</xdr:col>
      <xdr:colOff>0</xdr:colOff>
      <xdr:row>38</xdr:row>
      <xdr:rowOff>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72574255-C23E-4C4F-8379-5A1A37987B08}"/>
            </a:ext>
          </a:extLst>
        </xdr:cNvPr>
        <xdr:cNvSpPr>
          <a:spLocks noChangeShapeType="1"/>
        </xdr:cNvSpPr>
      </xdr:nvSpPr>
      <xdr:spPr bwMode="auto">
        <a:xfrm>
          <a:off x="27051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39</xdr:row>
      <xdr:rowOff>0</xdr:rowOff>
    </xdr:from>
    <xdr:to>
      <xdr:col>33</xdr:col>
      <xdr:colOff>0</xdr:colOff>
      <xdr:row>39</xdr:row>
      <xdr:rowOff>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7023278F-0907-4D0F-9FC8-E007E6436E1F}"/>
            </a:ext>
          </a:extLst>
        </xdr:cNvPr>
        <xdr:cNvSpPr>
          <a:spLocks noChangeShapeType="1"/>
        </xdr:cNvSpPr>
      </xdr:nvSpPr>
      <xdr:spPr bwMode="auto">
        <a:xfrm>
          <a:off x="27051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38</xdr:row>
      <xdr:rowOff>0</xdr:rowOff>
    </xdr:from>
    <xdr:to>
      <xdr:col>37</xdr:col>
      <xdr:colOff>0</xdr:colOff>
      <xdr:row>38</xdr:row>
      <xdr:rowOff>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BFF06B94-C52B-4D30-9124-18300F5480AB}"/>
            </a:ext>
          </a:extLst>
        </xdr:cNvPr>
        <xdr:cNvSpPr>
          <a:spLocks noChangeShapeType="1"/>
        </xdr:cNvSpPr>
      </xdr:nvSpPr>
      <xdr:spPr bwMode="auto">
        <a:xfrm>
          <a:off x="30480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39</xdr:row>
      <xdr:rowOff>0</xdr:rowOff>
    </xdr:from>
    <xdr:to>
      <xdr:col>37</xdr:col>
      <xdr:colOff>0</xdr:colOff>
      <xdr:row>39</xdr:row>
      <xdr:rowOff>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40EE6026-72F6-4551-9FA2-49694D4FCDEB}"/>
            </a:ext>
          </a:extLst>
        </xdr:cNvPr>
        <xdr:cNvSpPr>
          <a:spLocks noChangeShapeType="1"/>
        </xdr:cNvSpPr>
      </xdr:nvSpPr>
      <xdr:spPr bwMode="auto">
        <a:xfrm>
          <a:off x="30480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38</xdr:row>
      <xdr:rowOff>0</xdr:rowOff>
    </xdr:from>
    <xdr:to>
      <xdr:col>41</xdr:col>
      <xdr:colOff>0</xdr:colOff>
      <xdr:row>38</xdr:row>
      <xdr:rowOff>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89EBF1FC-4C7B-4AC7-8A97-A29C1A74D89C}"/>
            </a:ext>
          </a:extLst>
        </xdr:cNvPr>
        <xdr:cNvSpPr>
          <a:spLocks noChangeShapeType="1"/>
        </xdr:cNvSpPr>
      </xdr:nvSpPr>
      <xdr:spPr bwMode="auto">
        <a:xfrm>
          <a:off x="33909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39</xdr:row>
      <xdr:rowOff>0</xdr:rowOff>
    </xdr:from>
    <xdr:to>
      <xdr:col>41</xdr:col>
      <xdr:colOff>0</xdr:colOff>
      <xdr:row>39</xdr:row>
      <xdr:rowOff>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6F55FEE2-377E-451C-83F7-AC19B6DD0F15}"/>
            </a:ext>
          </a:extLst>
        </xdr:cNvPr>
        <xdr:cNvSpPr>
          <a:spLocks noChangeShapeType="1"/>
        </xdr:cNvSpPr>
      </xdr:nvSpPr>
      <xdr:spPr bwMode="auto">
        <a:xfrm>
          <a:off x="33909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38</xdr:row>
      <xdr:rowOff>0</xdr:rowOff>
    </xdr:from>
    <xdr:to>
      <xdr:col>45</xdr:col>
      <xdr:colOff>0</xdr:colOff>
      <xdr:row>38</xdr:row>
      <xdr:rowOff>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1C5E4797-0FBD-415F-91F2-7590BDB40BBB}"/>
            </a:ext>
          </a:extLst>
        </xdr:cNvPr>
        <xdr:cNvSpPr>
          <a:spLocks noChangeShapeType="1"/>
        </xdr:cNvSpPr>
      </xdr:nvSpPr>
      <xdr:spPr bwMode="auto">
        <a:xfrm>
          <a:off x="37338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39</xdr:row>
      <xdr:rowOff>0</xdr:rowOff>
    </xdr:from>
    <xdr:to>
      <xdr:col>45</xdr:col>
      <xdr:colOff>0</xdr:colOff>
      <xdr:row>39</xdr:row>
      <xdr:rowOff>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A79174C9-7A8D-4497-9AE2-F968A710E1B8}"/>
            </a:ext>
          </a:extLst>
        </xdr:cNvPr>
        <xdr:cNvSpPr>
          <a:spLocks noChangeShapeType="1"/>
        </xdr:cNvSpPr>
      </xdr:nvSpPr>
      <xdr:spPr bwMode="auto">
        <a:xfrm>
          <a:off x="37338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41</xdr:row>
      <xdr:rowOff>38100</xdr:rowOff>
    </xdr:from>
    <xdr:to>
      <xdr:col>9</xdr:col>
      <xdr:colOff>0</xdr:colOff>
      <xdr:row>41</xdr:row>
      <xdr:rowOff>38100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D24996AB-4FB5-439B-BF0C-146360361059}"/>
            </a:ext>
          </a:extLst>
        </xdr:cNvPr>
        <xdr:cNvSpPr>
          <a:spLocks noChangeShapeType="1"/>
        </xdr:cNvSpPr>
      </xdr:nvSpPr>
      <xdr:spPr bwMode="auto">
        <a:xfrm>
          <a:off x="647700" y="69723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41</xdr:row>
      <xdr:rowOff>38100</xdr:rowOff>
    </xdr:from>
    <xdr:to>
      <xdr:col>13</xdr:col>
      <xdr:colOff>0</xdr:colOff>
      <xdr:row>41</xdr:row>
      <xdr:rowOff>38100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9BA5EBA0-09D6-4752-947A-A2DEA7BBAD43}"/>
            </a:ext>
          </a:extLst>
        </xdr:cNvPr>
        <xdr:cNvSpPr>
          <a:spLocks noChangeShapeType="1"/>
        </xdr:cNvSpPr>
      </xdr:nvSpPr>
      <xdr:spPr bwMode="auto">
        <a:xfrm>
          <a:off x="990600" y="69723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38100</xdr:rowOff>
    </xdr:from>
    <xdr:to>
      <xdr:col>17</xdr:col>
      <xdr:colOff>0</xdr:colOff>
      <xdr:row>41</xdr:row>
      <xdr:rowOff>38100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B398A2DD-3B0E-4737-82ED-179BE0B2C72E}"/>
            </a:ext>
          </a:extLst>
        </xdr:cNvPr>
        <xdr:cNvSpPr>
          <a:spLocks noChangeShapeType="1"/>
        </xdr:cNvSpPr>
      </xdr:nvSpPr>
      <xdr:spPr bwMode="auto">
        <a:xfrm>
          <a:off x="1333500" y="69723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0</xdr:rowOff>
    </xdr:from>
    <xdr:to>
      <xdr:col>17</xdr:col>
      <xdr:colOff>28575</xdr:colOff>
      <xdr:row>41</xdr:row>
      <xdr:rowOff>38100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A0182A02-9013-4DEA-B6CD-66C9D7417977}"/>
            </a:ext>
          </a:extLst>
        </xdr:cNvPr>
        <xdr:cNvSpPr>
          <a:spLocks noChangeShapeType="1"/>
        </xdr:cNvSpPr>
      </xdr:nvSpPr>
      <xdr:spPr bwMode="auto">
        <a:xfrm flipV="1">
          <a:off x="1676400" y="6867525"/>
          <a:ext cx="28575" cy="10477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28575</xdr:colOff>
      <xdr:row>40</xdr:row>
      <xdr:rowOff>0</xdr:rowOff>
    </xdr:from>
    <xdr:to>
      <xdr:col>18</xdr:col>
      <xdr:colOff>0</xdr:colOff>
      <xdr:row>43</xdr:row>
      <xdr:rowOff>0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520409E8-BBB5-4DC4-830C-F1F5AB4A647D}"/>
            </a:ext>
          </a:extLst>
        </xdr:cNvPr>
        <xdr:cNvSpPr>
          <a:spLocks noChangeShapeType="1"/>
        </xdr:cNvSpPr>
      </xdr:nvSpPr>
      <xdr:spPr bwMode="auto">
        <a:xfrm>
          <a:off x="1704975" y="686752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40</xdr:row>
      <xdr:rowOff>0</xdr:rowOff>
    </xdr:from>
    <xdr:to>
      <xdr:col>18</xdr:col>
      <xdr:colOff>57150</xdr:colOff>
      <xdr:row>43</xdr:row>
      <xdr:rowOff>0</xdr:rowOff>
    </xdr:to>
    <xdr:sp macro="" textlink="">
      <xdr:nvSpPr>
        <xdr:cNvPr id="1068" name="Line 44">
          <a:extLst>
            <a:ext uri="{FF2B5EF4-FFF2-40B4-BE49-F238E27FC236}">
              <a16:creationId xmlns:a16="http://schemas.microsoft.com/office/drawing/2014/main" id="{BE561F06-A5A8-4777-A00E-646AD4554A37}"/>
            </a:ext>
          </a:extLst>
        </xdr:cNvPr>
        <xdr:cNvSpPr>
          <a:spLocks noChangeShapeType="1"/>
        </xdr:cNvSpPr>
      </xdr:nvSpPr>
      <xdr:spPr bwMode="auto">
        <a:xfrm flipV="1">
          <a:off x="1762125" y="686752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</xdr:colOff>
      <xdr:row>40</xdr:row>
      <xdr:rowOff>0</xdr:rowOff>
    </xdr:from>
    <xdr:to>
      <xdr:col>19</xdr:col>
      <xdr:colOff>28575</xdr:colOff>
      <xdr:row>43</xdr:row>
      <xdr:rowOff>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74655066-606B-4E37-BF53-80043EC2BF8F}"/>
            </a:ext>
          </a:extLst>
        </xdr:cNvPr>
        <xdr:cNvSpPr>
          <a:spLocks noChangeShapeType="1"/>
        </xdr:cNvSpPr>
      </xdr:nvSpPr>
      <xdr:spPr bwMode="auto">
        <a:xfrm>
          <a:off x="1819275" y="686752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28575</xdr:colOff>
      <xdr:row>40</xdr:row>
      <xdr:rowOff>0</xdr:rowOff>
    </xdr:from>
    <xdr:to>
      <xdr:col>20</xdr:col>
      <xdr:colOff>0</xdr:colOff>
      <xdr:row>43</xdr:row>
      <xdr:rowOff>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94B53BDE-F0D5-4DC2-904D-C4A985388443}"/>
            </a:ext>
          </a:extLst>
        </xdr:cNvPr>
        <xdr:cNvSpPr>
          <a:spLocks noChangeShapeType="1"/>
        </xdr:cNvSpPr>
      </xdr:nvSpPr>
      <xdr:spPr bwMode="auto">
        <a:xfrm flipV="1">
          <a:off x="1876425" y="686752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40</xdr:row>
      <xdr:rowOff>0</xdr:rowOff>
    </xdr:from>
    <xdr:to>
      <xdr:col>20</xdr:col>
      <xdr:colOff>57150</xdr:colOff>
      <xdr:row>43</xdr:row>
      <xdr:rowOff>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073A555E-0671-42C2-B6C9-D505FA47306D}"/>
            </a:ext>
          </a:extLst>
        </xdr:cNvPr>
        <xdr:cNvSpPr>
          <a:spLocks noChangeShapeType="1"/>
        </xdr:cNvSpPr>
      </xdr:nvSpPr>
      <xdr:spPr bwMode="auto">
        <a:xfrm>
          <a:off x="1933575" y="686752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57150</xdr:colOff>
      <xdr:row>41</xdr:row>
      <xdr:rowOff>38100</xdr:rowOff>
    </xdr:from>
    <xdr:to>
      <xdr:col>21</xdr:col>
      <xdr:colOff>0</xdr:colOff>
      <xdr:row>43</xdr:row>
      <xdr:rowOff>0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4C368A8E-650F-4EB4-86C1-C3C23FF33298}"/>
            </a:ext>
          </a:extLst>
        </xdr:cNvPr>
        <xdr:cNvSpPr>
          <a:spLocks noChangeShapeType="1"/>
        </xdr:cNvSpPr>
      </xdr:nvSpPr>
      <xdr:spPr bwMode="auto">
        <a:xfrm flipV="1">
          <a:off x="1990725" y="6972300"/>
          <a:ext cx="28575" cy="95250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41</xdr:row>
      <xdr:rowOff>0</xdr:rowOff>
    </xdr:from>
    <xdr:to>
      <xdr:col>25</xdr:col>
      <xdr:colOff>0</xdr:colOff>
      <xdr:row>41</xdr:row>
      <xdr:rowOff>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FC5EBCF6-4E6E-4FE9-8823-F48012F4250E}"/>
            </a:ext>
          </a:extLst>
        </xdr:cNvPr>
        <xdr:cNvSpPr>
          <a:spLocks noChangeShapeType="1"/>
        </xdr:cNvSpPr>
      </xdr:nvSpPr>
      <xdr:spPr bwMode="auto">
        <a:xfrm>
          <a:off x="20193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42</xdr:row>
      <xdr:rowOff>0</xdr:rowOff>
    </xdr:from>
    <xdr:to>
      <xdr:col>25</xdr:col>
      <xdr:colOff>0</xdr:colOff>
      <xdr:row>42</xdr:row>
      <xdr:rowOff>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67AA1D1B-5490-4B3B-B59B-B1E1BD42546B}"/>
            </a:ext>
          </a:extLst>
        </xdr:cNvPr>
        <xdr:cNvSpPr>
          <a:spLocks noChangeShapeType="1"/>
        </xdr:cNvSpPr>
      </xdr:nvSpPr>
      <xdr:spPr bwMode="auto">
        <a:xfrm>
          <a:off x="20193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41</xdr:row>
      <xdr:rowOff>0</xdr:rowOff>
    </xdr:from>
    <xdr:to>
      <xdr:col>29</xdr:col>
      <xdr:colOff>0</xdr:colOff>
      <xdr:row>41</xdr:row>
      <xdr:rowOff>0</xdr:rowOff>
    </xdr:to>
    <xdr:sp macro="" textlink="">
      <xdr:nvSpPr>
        <xdr:cNvPr id="1075" name="Line 51">
          <a:extLst>
            <a:ext uri="{FF2B5EF4-FFF2-40B4-BE49-F238E27FC236}">
              <a16:creationId xmlns:a16="http://schemas.microsoft.com/office/drawing/2014/main" id="{9784CE1A-B19A-44EC-B00A-F905A8EBB749}"/>
            </a:ext>
          </a:extLst>
        </xdr:cNvPr>
        <xdr:cNvSpPr>
          <a:spLocks noChangeShapeType="1"/>
        </xdr:cNvSpPr>
      </xdr:nvSpPr>
      <xdr:spPr bwMode="auto">
        <a:xfrm>
          <a:off x="23622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42</xdr:row>
      <xdr:rowOff>0</xdr:rowOff>
    </xdr:from>
    <xdr:to>
      <xdr:col>29</xdr:col>
      <xdr:colOff>0</xdr:colOff>
      <xdr:row>42</xdr:row>
      <xdr:rowOff>0</xdr:rowOff>
    </xdr:to>
    <xdr:sp macro="" textlink="">
      <xdr:nvSpPr>
        <xdr:cNvPr id="1076" name="Line 52">
          <a:extLst>
            <a:ext uri="{FF2B5EF4-FFF2-40B4-BE49-F238E27FC236}">
              <a16:creationId xmlns:a16="http://schemas.microsoft.com/office/drawing/2014/main" id="{F9780EB5-1625-4E5F-9C4E-CA30EBCD26D9}"/>
            </a:ext>
          </a:extLst>
        </xdr:cNvPr>
        <xdr:cNvSpPr>
          <a:spLocks noChangeShapeType="1"/>
        </xdr:cNvSpPr>
      </xdr:nvSpPr>
      <xdr:spPr bwMode="auto">
        <a:xfrm>
          <a:off x="23622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33</xdr:col>
      <xdr:colOff>0</xdr:colOff>
      <xdr:row>41</xdr:row>
      <xdr:rowOff>0</xdr:rowOff>
    </xdr:to>
    <xdr:sp macro="" textlink="">
      <xdr:nvSpPr>
        <xdr:cNvPr id="1077" name="Line 53">
          <a:extLst>
            <a:ext uri="{FF2B5EF4-FFF2-40B4-BE49-F238E27FC236}">
              <a16:creationId xmlns:a16="http://schemas.microsoft.com/office/drawing/2014/main" id="{7F8FA471-33F5-4E28-A00C-F81D5E509A8D}"/>
            </a:ext>
          </a:extLst>
        </xdr:cNvPr>
        <xdr:cNvSpPr>
          <a:spLocks noChangeShapeType="1"/>
        </xdr:cNvSpPr>
      </xdr:nvSpPr>
      <xdr:spPr bwMode="auto">
        <a:xfrm>
          <a:off x="27051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42</xdr:row>
      <xdr:rowOff>0</xdr:rowOff>
    </xdr:from>
    <xdr:to>
      <xdr:col>33</xdr:col>
      <xdr:colOff>0</xdr:colOff>
      <xdr:row>42</xdr:row>
      <xdr:rowOff>0</xdr:rowOff>
    </xdr:to>
    <xdr:sp macro="" textlink="">
      <xdr:nvSpPr>
        <xdr:cNvPr id="1078" name="Line 54">
          <a:extLst>
            <a:ext uri="{FF2B5EF4-FFF2-40B4-BE49-F238E27FC236}">
              <a16:creationId xmlns:a16="http://schemas.microsoft.com/office/drawing/2014/main" id="{5B09E03E-A3F5-434C-9B7D-117741A28604}"/>
            </a:ext>
          </a:extLst>
        </xdr:cNvPr>
        <xdr:cNvSpPr>
          <a:spLocks noChangeShapeType="1"/>
        </xdr:cNvSpPr>
      </xdr:nvSpPr>
      <xdr:spPr bwMode="auto">
        <a:xfrm>
          <a:off x="27051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37</xdr:col>
      <xdr:colOff>0</xdr:colOff>
      <xdr:row>41</xdr:row>
      <xdr:rowOff>0</xdr:rowOff>
    </xdr:to>
    <xdr:sp macro="" textlink="">
      <xdr:nvSpPr>
        <xdr:cNvPr id="1079" name="Line 55">
          <a:extLst>
            <a:ext uri="{FF2B5EF4-FFF2-40B4-BE49-F238E27FC236}">
              <a16:creationId xmlns:a16="http://schemas.microsoft.com/office/drawing/2014/main" id="{A1D6EEAE-36C6-4B7B-95B4-6B432EDA6EBF}"/>
            </a:ext>
          </a:extLst>
        </xdr:cNvPr>
        <xdr:cNvSpPr>
          <a:spLocks noChangeShapeType="1"/>
        </xdr:cNvSpPr>
      </xdr:nvSpPr>
      <xdr:spPr bwMode="auto">
        <a:xfrm>
          <a:off x="30480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42</xdr:row>
      <xdr:rowOff>0</xdr:rowOff>
    </xdr:from>
    <xdr:to>
      <xdr:col>37</xdr:col>
      <xdr:colOff>0</xdr:colOff>
      <xdr:row>42</xdr:row>
      <xdr:rowOff>0</xdr:rowOff>
    </xdr:to>
    <xdr:sp macro="" textlink="">
      <xdr:nvSpPr>
        <xdr:cNvPr id="1080" name="Line 56">
          <a:extLst>
            <a:ext uri="{FF2B5EF4-FFF2-40B4-BE49-F238E27FC236}">
              <a16:creationId xmlns:a16="http://schemas.microsoft.com/office/drawing/2014/main" id="{847ABE37-34D3-4DA0-8510-8BEA3D74D7C7}"/>
            </a:ext>
          </a:extLst>
        </xdr:cNvPr>
        <xdr:cNvSpPr>
          <a:spLocks noChangeShapeType="1"/>
        </xdr:cNvSpPr>
      </xdr:nvSpPr>
      <xdr:spPr bwMode="auto">
        <a:xfrm>
          <a:off x="30480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41</xdr:row>
      <xdr:rowOff>0</xdr:rowOff>
    </xdr:from>
    <xdr:to>
      <xdr:col>41</xdr:col>
      <xdr:colOff>0</xdr:colOff>
      <xdr:row>41</xdr:row>
      <xdr:rowOff>0</xdr:rowOff>
    </xdr:to>
    <xdr:sp macro="" textlink="">
      <xdr:nvSpPr>
        <xdr:cNvPr id="1081" name="Line 57">
          <a:extLst>
            <a:ext uri="{FF2B5EF4-FFF2-40B4-BE49-F238E27FC236}">
              <a16:creationId xmlns:a16="http://schemas.microsoft.com/office/drawing/2014/main" id="{8B57443B-CCEF-4F3F-885A-577F0CD16036}"/>
            </a:ext>
          </a:extLst>
        </xdr:cNvPr>
        <xdr:cNvSpPr>
          <a:spLocks noChangeShapeType="1"/>
        </xdr:cNvSpPr>
      </xdr:nvSpPr>
      <xdr:spPr bwMode="auto">
        <a:xfrm>
          <a:off x="33909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42</xdr:row>
      <xdr:rowOff>0</xdr:rowOff>
    </xdr:from>
    <xdr:to>
      <xdr:col>41</xdr:col>
      <xdr:colOff>0</xdr:colOff>
      <xdr:row>42</xdr:row>
      <xdr:rowOff>0</xdr:rowOff>
    </xdr:to>
    <xdr:sp macro="" textlink="">
      <xdr:nvSpPr>
        <xdr:cNvPr id="1082" name="Line 58">
          <a:extLst>
            <a:ext uri="{FF2B5EF4-FFF2-40B4-BE49-F238E27FC236}">
              <a16:creationId xmlns:a16="http://schemas.microsoft.com/office/drawing/2014/main" id="{E616228F-5423-42A0-9985-D05B8FE0C1AA}"/>
            </a:ext>
          </a:extLst>
        </xdr:cNvPr>
        <xdr:cNvSpPr>
          <a:spLocks noChangeShapeType="1"/>
        </xdr:cNvSpPr>
      </xdr:nvSpPr>
      <xdr:spPr bwMode="auto">
        <a:xfrm>
          <a:off x="33909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41</xdr:row>
      <xdr:rowOff>0</xdr:rowOff>
    </xdr:from>
    <xdr:to>
      <xdr:col>45</xdr:col>
      <xdr:colOff>0</xdr:colOff>
      <xdr:row>41</xdr:row>
      <xdr:rowOff>0</xdr:rowOff>
    </xdr:to>
    <xdr:sp macro="" textlink="">
      <xdr:nvSpPr>
        <xdr:cNvPr id="1083" name="Line 59">
          <a:extLst>
            <a:ext uri="{FF2B5EF4-FFF2-40B4-BE49-F238E27FC236}">
              <a16:creationId xmlns:a16="http://schemas.microsoft.com/office/drawing/2014/main" id="{86183386-B091-4D01-BCC2-90D44FB15024}"/>
            </a:ext>
          </a:extLst>
        </xdr:cNvPr>
        <xdr:cNvSpPr>
          <a:spLocks noChangeShapeType="1"/>
        </xdr:cNvSpPr>
      </xdr:nvSpPr>
      <xdr:spPr bwMode="auto">
        <a:xfrm>
          <a:off x="37338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42</xdr:row>
      <xdr:rowOff>0</xdr:rowOff>
    </xdr:from>
    <xdr:to>
      <xdr:col>45</xdr:col>
      <xdr:colOff>0</xdr:colOff>
      <xdr:row>42</xdr:row>
      <xdr:rowOff>0</xdr:rowOff>
    </xdr:to>
    <xdr:sp macro="" textlink="">
      <xdr:nvSpPr>
        <xdr:cNvPr id="1084" name="Line 60">
          <a:extLst>
            <a:ext uri="{FF2B5EF4-FFF2-40B4-BE49-F238E27FC236}">
              <a16:creationId xmlns:a16="http://schemas.microsoft.com/office/drawing/2014/main" id="{3883DCC4-D4F8-400E-9530-02C2D8328187}"/>
            </a:ext>
          </a:extLst>
        </xdr:cNvPr>
        <xdr:cNvSpPr>
          <a:spLocks noChangeShapeType="1"/>
        </xdr:cNvSpPr>
      </xdr:nvSpPr>
      <xdr:spPr bwMode="auto">
        <a:xfrm>
          <a:off x="37338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0</xdr:rowOff>
    </xdr:from>
    <xdr:to>
      <xdr:col>9</xdr:col>
      <xdr:colOff>0</xdr:colOff>
      <xdr:row>44</xdr:row>
      <xdr:rowOff>0</xdr:rowOff>
    </xdr:to>
    <xdr:sp macro="" textlink="">
      <xdr:nvSpPr>
        <xdr:cNvPr id="1085" name="Line 61">
          <a:extLst>
            <a:ext uri="{FF2B5EF4-FFF2-40B4-BE49-F238E27FC236}">
              <a16:creationId xmlns:a16="http://schemas.microsoft.com/office/drawing/2014/main" id="{543552D1-4342-43CA-8DF1-3A01A9203031}"/>
            </a:ext>
          </a:extLst>
        </xdr:cNvPr>
        <xdr:cNvSpPr>
          <a:spLocks noChangeShapeType="1"/>
        </xdr:cNvSpPr>
      </xdr:nvSpPr>
      <xdr:spPr bwMode="auto">
        <a:xfrm>
          <a:off x="6477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0</xdr:rowOff>
    </xdr:from>
    <xdr:to>
      <xdr:col>9</xdr:col>
      <xdr:colOff>0</xdr:colOff>
      <xdr:row>45</xdr:row>
      <xdr:rowOff>0</xdr:rowOff>
    </xdr:to>
    <xdr:sp macro="" textlink="">
      <xdr:nvSpPr>
        <xdr:cNvPr id="1086" name="Line 62">
          <a:extLst>
            <a:ext uri="{FF2B5EF4-FFF2-40B4-BE49-F238E27FC236}">
              <a16:creationId xmlns:a16="http://schemas.microsoft.com/office/drawing/2014/main" id="{1BF9C62E-D046-41A4-9D6D-C8BFF2887A99}"/>
            </a:ext>
          </a:extLst>
        </xdr:cNvPr>
        <xdr:cNvSpPr>
          <a:spLocks noChangeShapeType="1"/>
        </xdr:cNvSpPr>
      </xdr:nvSpPr>
      <xdr:spPr bwMode="auto">
        <a:xfrm>
          <a:off x="6477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13</xdr:col>
      <xdr:colOff>0</xdr:colOff>
      <xdr:row>44</xdr:row>
      <xdr:rowOff>0</xdr:rowOff>
    </xdr:to>
    <xdr:sp macro="" textlink="">
      <xdr:nvSpPr>
        <xdr:cNvPr id="1087" name="Line 63">
          <a:extLst>
            <a:ext uri="{FF2B5EF4-FFF2-40B4-BE49-F238E27FC236}">
              <a16:creationId xmlns:a16="http://schemas.microsoft.com/office/drawing/2014/main" id="{FA2D0A46-B6E7-4380-BD5E-FBD51BA705E9}"/>
            </a:ext>
          </a:extLst>
        </xdr:cNvPr>
        <xdr:cNvSpPr>
          <a:spLocks noChangeShapeType="1"/>
        </xdr:cNvSpPr>
      </xdr:nvSpPr>
      <xdr:spPr bwMode="auto">
        <a:xfrm>
          <a:off x="9906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1088" name="Line 64">
          <a:extLst>
            <a:ext uri="{FF2B5EF4-FFF2-40B4-BE49-F238E27FC236}">
              <a16:creationId xmlns:a16="http://schemas.microsoft.com/office/drawing/2014/main" id="{864B41DA-C59A-4CC7-8E1B-8A7E95207185}"/>
            </a:ext>
          </a:extLst>
        </xdr:cNvPr>
        <xdr:cNvSpPr>
          <a:spLocks noChangeShapeType="1"/>
        </xdr:cNvSpPr>
      </xdr:nvSpPr>
      <xdr:spPr bwMode="auto">
        <a:xfrm>
          <a:off x="9906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17</xdr:col>
      <xdr:colOff>0</xdr:colOff>
      <xdr:row>44</xdr:row>
      <xdr:rowOff>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039D1636-CDA2-4A5C-93FF-D1094F69BA2F}"/>
            </a:ext>
          </a:extLst>
        </xdr:cNvPr>
        <xdr:cNvSpPr>
          <a:spLocks noChangeShapeType="1"/>
        </xdr:cNvSpPr>
      </xdr:nvSpPr>
      <xdr:spPr bwMode="auto">
        <a:xfrm>
          <a:off x="13335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17</xdr:col>
      <xdr:colOff>0</xdr:colOff>
      <xdr:row>45</xdr:row>
      <xdr:rowOff>0</xdr:rowOff>
    </xdr:to>
    <xdr:sp macro="" textlink="">
      <xdr:nvSpPr>
        <xdr:cNvPr id="1090" name="Line 66">
          <a:extLst>
            <a:ext uri="{FF2B5EF4-FFF2-40B4-BE49-F238E27FC236}">
              <a16:creationId xmlns:a16="http://schemas.microsoft.com/office/drawing/2014/main" id="{7E5A9A5D-399F-4D1A-ABFA-9F24A6BC4030}"/>
            </a:ext>
          </a:extLst>
        </xdr:cNvPr>
        <xdr:cNvSpPr>
          <a:spLocks noChangeShapeType="1"/>
        </xdr:cNvSpPr>
      </xdr:nvSpPr>
      <xdr:spPr bwMode="auto">
        <a:xfrm>
          <a:off x="13335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0</xdr:rowOff>
    </xdr:from>
    <xdr:to>
      <xdr:col>21</xdr:col>
      <xdr:colOff>0</xdr:colOff>
      <xdr:row>44</xdr:row>
      <xdr:rowOff>0</xdr:rowOff>
    </xdr:to>
    <xdr:sp macro="" textlink="">
      <xdr:nvSpPr>
        <xdr:cNvPr id="1091" name="Line 67">
          <a:extLst>
            <a:ext uri="{FF2B5EF4-FFF2-40B4-BE49-F238E27FC236}">
              <a16:creationId xmlns:a16="http://schemas.microsoft.com/office/drawing/2014/main" id="{BC23D38A-AADA-4CB6-AF67-E12AC8DAD01D}"/>
            </a:ext>
          </a:extLst>
        </xdr:cNvPr>
        <xdr:cNvSpPr>
          <a:spLocks noChangeShapeType="1"/>
        </xdr:cNvSpPr>
      </xdr:nvSpPr>
      <xdr:spPr bwMode="auto">
        <a:xfrm>
          <a:off x="16764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0</xdr:rowOff>
    </xdr:from>
    <xdr:to>
      <xdr:col>21</xdr:col>
      <xdr:colOff>0</xdr:colOff>
      <xdr:row>45</xdr:row>
      <xdr:rowOff>0</xdr:rowOff>
    </xdr:to>
    <xdr:sp macro="" textlink="">
      <xdr:nvSpPr>
        <xdr:cNvPr id="1092" name="Line 68">
          <a:extLst>
            <a:ext uri="{FF2B5EF4-FFF2-40B4-BE49-F238E27FC236}">
              <a16:creationId xmlns:a16="http://schemas.microsoft.com/office/drawing/2014/main" id="{679FFB3C-E9A9-40BA-8A6E-538A395DBCB0}"/>
            </a:ext>
          </a:extLst>
        </xdr:cNvPr>
        <xdr:cNvSpPr>
          <a:spLocks noChangeShapeType="1"/>
        </xdr:cNvSpPr>
      </xdr:nvSpPr>
      <xdr:spPr bwMode="auto">
        <a:xfrm>
          <a:off x="16764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0</xdr:rowOff>
    </xdr:from>
    <xdr:to>
      <xdr:col>25</xdr:col>
      <xdr:colOff>0</xdr:colOff>
      <xdr:row>44</xdr:row>
      <xdr:rowOff>0</xdr:rowOff>
    </xdr:to>
    <xdr:sp macro="" textlink="">
      <xdr:nvSpPr>
        <xdr:cNvPr id="1093" name="Line 69">
          <a:extLst>
            <a:ext uri="{FF2B5EF4-FFF2-40B4-BE49-F238E27FC236}">
              <a16:creationId xmlns:a16="http://schemas.microsoft.com/office/drawing/2014/main" id="{AF825608-F5B1-4E06-A4D1-4EBE59BBF619}"/>
            </a:ext>
          </a:extLst>
        </xdr:cNvPr>
        <xdr:cNvSpPr>
          <a:spLocks noChangeShapeType="1"/>
        </xdr:cNvSpPr>
      </xdr:nvSpPr>
      <xdr:spPr bwMode="auto">
        <a:xfrm>
          <a:off x="20193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0</xdr:rowOff>
    </xdr:from>
    <xdr:to>
      <xdr:col>25</xdr:col>
      <xdr:colOff>0</xdr:colOff>
      <xdr:row>45</xdr:row>
      <xdr:rowOff>0</xdr:rowOff>
    </xdr:to>
    <xdr:sp macro="" textlink="">
      <xdr:nvSpPr>
        <xdr:cNvPr id="1094" name="Line 70">
          <a:extLst>
            <a:ext uri="{FF2B5EF4-FFF2-40B4-BE49-F238E27FC236}">
              <a16:creationId xmlns:a16="http://schemas.microsoft.com/office/drawing/2014/main" id="{E468A0BF-E159-45C5-B9F7-6EFB54D0090C}"/>
            </a:ext>
          </a:extLst>
        </xdr:cNvPr>
        <xdr:cNvSpPr>
          <a:spLocks noChangeShapeType="1"/>
        </xdr:cNvSpPr>
      </xdr:nvSpPr>
      <xdr:spPr bwMode="auto">
        <a:xfrm>
          <a:off x="20193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38100</xdr:rowOff>
    </xdr:from>
    <xdr:to>
      <xdr:col>29</xdr:col>
      <xdr:colOff>0</xdr:colOff>
      <xdr:row>44</xdr:row>
      <xdr:rowOff>38100</xdr:rowOff>
    </xdr:to>
    <xdr:sp macro="" textlink="">
      <xdr:nvSpPr>
        <xdr:cNvPr id="1095" name="Line 71">
          <a:extLst>
            <a:ext uri="{FF2B5EF4-FFF2-40B4-BE49-F238E27FC236}">
              <a16:creationId xmlns:a16="http://schemas.microsoft.com/office/drawing/2014/main" id="{3737C2AD-2F12-49C8-BC02-FA2904B69FAF}"/>
            </a:ext>
          </a:extLst>
        </xdr:cNvPr>
        <xdr:cNvSpPr>
          <a:spLocks noChangeShapeType="1"/>
        </xdr:cNvSpPr>
      </xdr:nvSpPr>
      <xdr:spPr bwMode="auto">
        <a:xfrm>
          <a:off x="2362200" y="71723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57150</xdr:colOff>
      <xdr:row>43</xdr:row>
      <xdr:rowOff>0</xdr:rowOff>
    </xdr:from>
    <xdr:to>
      <xdr:col>29</xdr:col>
      <xdr:colOff>57150</xdr:colOff>
      <xdr:row>46</xdr:row>
      <xdr:rowOff>0</xdr:rowOff>
    </xdr:to>
    <xdr:sp macro="" textlink="">
      <xdr:nvSpPr>
        <xdr:cNvPr id="1096" name="Line 72">
          <a:extLst>
            <a:ext uri="{FF2B5EF4-FFF2-40B4-BE49-F238E27FC236}">
              <a16:creationId xmlns:a16="http://schemas.microsoft.com/office/drawing/2014/main" id="{408EC0D2-977E-4192-A773-66A3221BC456}"/>
            </a:ext>
          </a:extLst>
        </xdr:cNvPr>
        <xdr:cNvSpPr>
          <a:spLocks noChangeShapeType="1"/>
        </xdr:cNvSpPr>
      </xdr:nvSpPr>
      <xdr:spPr bwMode="auto">
        <a:xfrm>
          <a:off x="2762250" y="706755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43</xdr:row>
      <xdr:rowOff>0</xdr:rowOff>
    </xdr:from>
    <xdr:to>
      <xdr:col>30</xdr:col>
      <xdr:colOff>28575</xdr:colOff>
      <xdr:row>46</xdr:row>
      <xdr:rowOff>0</xdr:rowOff>
    </xdr:to>
    <xdr:sp macro="" textlink="">
      <xdr:nvSpPr>
        <xdr:cNvPr id="1097" name="Line 73">
          <a:extLst>
            <a:ext uri="{FF2B5EF4-FFF2-40B4-BE49-F238E27FC236}">
              <a16:creationId xmlns:a16="http://schemas.microsoft.com/office/drawing/2014/main" id="{CC4CB38C-8322-46DE-8E0C-398A71717D06}"/>
            </a:ext>
          </a:extLst>
        </xdr:cNvPr>
        <xdr:cNvSpPr>
          <a:spLocks noChangeShapeType="1"/>
        </xdr:cNvSpPr>
      </xdr:nvSpPr>
      <xdr:spPr bwMode="auto">
        <a:xfrm>
          <a:off x="2819400" y="706755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43</xdr:row>
      <xdr:rowOff>0</xdr:rowOff>
    </xdr:from>
    <xdr:to>
      <xdr:col>31</xdr:col>
      <xdr:colOff>0</xdr:colOff>
      <xdr:row>46</xdr:row>
      <xdr:rowOff>0</xdr:rowOff>
    </xdr:to>
    <xdr:sp macro="" textlink="">
      <xdr:nvSpPr>
        <xdr:cNvPr id="1098" name="Line 74">
          <a:extLst>
            <a:ext uri="{FF2B5EF4-FFF2-40B4-BE49-F238E27FC236}">
              <a16:creationId xmlns:a16="http://schemas.microsoft.com/office/drawing/2014/main" id="{FE05DDBC-28B3-4DB4-BDF9-DEC23DB3B5D4}"/>
            </a:ext>
          </a:extLst>
        </xdr:cNvPr>
        <xdr:cNvSpPr>
          <a:spLocks noChangeShapeType="1"/>
        </xdr:cNvSpPr>
      </xdr:nvSpPr>
      <xdr:spPr bwMode="auto">
        <a:xfrm>
          <a:off x="2876550" y="706755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57150</xdr:colOff>
      <xdr:row>43</xdr:row>
      <xdr:rowOff>0</xdr:rowOff>
    </xdr:from>
    <xdr:to>
      <xdr:col>31</xdr:col>
      <xdr:colOff>57150</xdr:colOff>
      <xdr:row>46</xdr:row>
      <xdr:rowOff>0</xdr:rowOff>
    </xdr:to>
    <xdr:sp macro="" textlink="">
      <xdr:nvSpPr>
        <xdr:cNvPr id="1099" name="Line 75">
          <a:extLst>
            <a:ext uri="{FF2B5EF4-FFF2-40B4-BE49-F238E27FC236}">
              <a16:creationId xmlns:a16="http://schemas.microsoft.com/office/drawing/2014/main" id="{7466F352-8FDC-4338-BCF0-8BBF3A066681}"/>
            </a:ext>
          </a:extLst>
        </xdr:cNvPr>
        <xdr:cNvSpPr>
          <a:spLocks noChangeShapeType="1"/>
        </xdr:cNvSpPr>
      </xdr:nvSpPr>
      <xdr:spPr bwMode="auto">
        <a:xfrm>
          <a:off x="2933700" y="706755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28575</xdr:colOff>
      <xdr:row>43</xdr:row>
      <xdr:rowOff>0</xdr:rowOff>
    </xdr:from>
    <xdr:to>
      <xdr:col>32</xdr:col>
      <xdr:colOff>28575</xdr:colOff>
      <xdr:row>46</xdr:row>
      <xdr:rowOff>0</xdr:rowOff>
    </xdr:to>
    <xdr:sp macro="" textlink="">
      <xdr:nvSpPr>
        <xdr:cNvPr id="1100" name="Line 76">
          <a:extLst>
            <a:ext uri="{FF2B5EF4-FFF2-40B4-BE49-F238E27FC236}">
              <a16:creationId xmlns:a16="http://schemas.microsoft.com/office/drawing/2014/main" id="{1EBCA563-72D0-4B99-8A75-0CF723B8D943}"/>
            </a:ext>
          </a:extLst>
        </xdr:cNvPr>
        <xdr:cNvSpPr>
          <a:spLocks noChangeShapeType="1"/>
        </xdr:cNvSpPr>
      </xdr:nvSpPr>
      <xdr:spPr bwMode="auto">
        <a:xfrm>
          <a:off x="2990850" y="706755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44</xdr:row>
      <xdr:rowOff>0</xdr:rowOff>
    </xdr:from>
    <xdr:to>
      <xdr:col>37</xdr:col>
      <xdr:colOff>0</xdr:colOff>
      <xdr:row>44</xdr:row>
      <xdr:rowOff>0</xdr:rowOff>
    </xdr:to>
    <xdr:sp macro="" textlink="">
      <xdr:nvSpPr>
        <xdr:cNvPr id="1101" name="Line 77">
          <a:extLst>
            <a:ext uri="{FF2B5EF4-FFF2-40B4-BE49-F238E27FC236}">
              <a16:creationId xmlns:a16="http://schemas.microsoft.com/office/drawing/2014/main" id="{61F897DA-FE59-4E36-A50A-CFE58E5E8C15}"/>
            </a:ext>
          </a:extLst>
        </xdr:cNvPr>
        <xdr:cNvSpPr>
          <a:spLocks noChangeShapeType="1"/>
        </xdr:cNvSpPr>
      </xdr:nvSpPr>
      <xdr:spPr bwMode="auto">
        <a:xfrm>
          <a:off x="30480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37</xdr:col>
      <xdr:colOff>0</xdr:colOff>
      <xdr:row>45</xdr:row>
      <xdr:rowOff>0</xdr:rowOff>
    </xdr:to>
    <xdr:sp macro="" textlink="">
      <xdr:nvSpPr>
        <xdr:cNvPr id="1102" name="Line 78">
          <a:extLst>
            <a:ext uri="{FF2B5EF4-FFF2-40B4-BE49-F238E27FC236}">
              <a16:creationId xmlns:a16="http://schemas.microsoft.com/office/drawing/2014/main" id="{EF6E8BBA-EC73-4C35-B07C-DC1ECA0953F5}"/>
            </a:ext>
          </a:extLst>
        </xdr:cNvPr>
        <xdr:cNvSpPr>
          <a:spLocks noChangeShapeType="1"/>
        </xdr:cNvSpPr>
      </xdr:nvSpPr>
      <xdr:spPr bwMode="auto">
        <a:xfrm>
          <a:off x="30480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44</xdr:row>
      <xdr:rowOff>0</xdr:rowOff>
    </xdr:from>
    <xdr:to>
      <xdr:col>41</xdr:col>
      <xdr:colOff>0</xdr:colOff>
      <xdr:row>44</xdr:row>
      <xdr:rowOff>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C1B7F056-E40F-4708-BCE9-A36972EDE608}"/>
            </a:ext>
          </a:extLst>
        </xdr:cNvPr>
        <xdr:cNvSpPr>
          <a:spLocks noChangeShapeType="1"/>
        </xdr:cNvSpPr>
      </xdr:nvSpPr>
      <xdr:spPr bwMode="auto">
        <a:xfrm>
          <a:off x="33909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45</xdr:row>
      <xdr:rowOff>0</xdr:rowOff>
    </xdr:from>
    <xdr:to>
      <xdr:col>41</xdr:col>
      <xdr:colOff>0</xdr:colOff>
      <xdr:row>45</xdr:row>
      <xdr:rowOff>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15BF4787-62F6-4B9F-A24D-FFF80375E714}"/>
            </a:ext>
          </a:extLst>
        </xdr:cNvPr>
        <xdr:cNvSpPr>
          <a:spLocks noChangeShapeType="1"/>
        </xdr:cNvSpPr>
      </xdr:nvSpPr>
      <xdr:spPr bwMode="auto">
        <a:xfrm>
          <a:off x="33909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0</xdr:rowOff>
    </xdr:from>
    <xdr:to>
      <xdr:col>45</xdr:col>
      <xdr:colOff>0</xdr:colOff>
      <xdr:row>44</xdr:row>
      <xdr:rowOff>0</xdr:rowOff>
    </xdr:to>
    <xdr:sp macro="" textlink="">
      <xdr:nvSpPr>
        <xdr:cNvPr id="1105" name="Line 81">
          <a:extLst>
            <a:ext uri="{FF2B5EF4-FFF2-40B4-BE49-F238E27FC236}">
              <a16:creationId xmlns:a16="http://schemas.microsoft.com/office/drawing/2014/main" id="{DC57024B-C366-40F2-A9F1-44DC290A1EF3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0</xdr:rowOff>
    </xdr:from>
    <xdr:to>
      <xdr:col>45</xdr:col>
      <xdr:colOff>0</xdr:colOff>
      <xdr:row>45</xdr:row>
      <xdr:rowOff>0</xdr:rowOff>
    </xdr:to>
    <xdr:sp macro="" textlink="">
      <xdr:nvSpPr>
        <xdr:cNvPr id="1106" name="Line 82">
          <a:extLst>
            <a:ext uri="{FF2B5EF4-FFF2-40B4-BE49-F238E27FC236}">
              <a16:creationId xmlns:a16="http://schemas.microsoft.com/office/drawing/2014/main" id="{F29C39B9-FEC0-4066-AFD8-EB5CA74C8F26}"/>
            </a:ext>
          </a:extLst>
        </xdr:cNvPr>
        <xdr:cNvSpPr>
          <a:spLocks noChangeShapeType="1"/>
        </xdr:cNvSpPr>
      </xdr:nvSpPr>
      <xdr:spPr bwMode="auto">
        <a:xfrm>
          <a:off x="37338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0</xdr:rowOff>
    </xdr:from>
    <xdr:to>
      <xdr:col>9</xdr:col>
      <xdr:colOff>0</xdr:colOff>
      <xdr:row>47</xdr:row>
      <xdr:rowOff>0</xdr:rowOff>
    </xdr:to>
    <xdr:sp macro="" textlink="">
      <xdr:nvSpPr>
        <xdr:cNvPr id="1107" name="Line 83">
          <a:extLst>
            <a:ext uri="{FF2B5EF4-FFF2-40B4-BE49-F238E27FC236}">
              <a16:creationId xmlns:a16="http://schemas.microsoft.com/office/drawing/2014/main" id="{4A675A5C-C2ED-4238-B3CC-E736CD0B678A}"/>
            </a:ext>
          </a:extLst>
        </xdr:cNvPr>
        <xdr:cNvSpPr>
          <a:spLocks noChangeShapeType="1"/>
        </xdr:cNvSpPr>
      </xdr:nvSpPr>
      <xdr:spPr bwMode="auto">
        <a:xfrm>
          <a:off x="6477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48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1108" name="Line 84">
          <a:extLst>
            <a:ext uri="{FF2B5EF4-FFF2-40B4-BE49-F238E27FC236}">
              <a16:creationId xmlns:a16="http://schemas.microsoft.com/office/drawing/2014/main" id="{AAA16D04-2E41-410E-A0F0-DD726EBF23C8}"/>
            </a:ext>
          </a:extLst>
        </xdr:cNvPr>
        <xdr:cNvSpPr>
          <a:spLocks noChangeShapeType="1"/>
        </xdr:cNvSpPr>
      </xdr:nvSpPr>
      <xdr:spPr bwMode="auto">
        <a:xfrm>
          <a:off x="6477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47</xdr:row>
      <xdr:rowOff>0</xdr:rowOff>
    </xdr:from>
    <xdr:to>
      <xdr:col>13</xdr:col>
      <xdr:colOff>0</xdr:colOff>
      <xdr:row>47</xdr:row>
      <xdr:rowOff>0</xdr:rowOff>
    </xdr:to>
    <xdr:sp macro="" textlink="">
      <xdr:nvSpPr>
        <xdr:cNvPr id="1109" name="Line 85">
          <a:extLst>
            <a:ext uri="{FF2B5EF4-FFF2-40B4-BE49-F238E27FC236}">
              <a16:creationId xmlns:a16="http://schemas.microsoft.com/office/drawing/2014/main" id="{BF42C621-8E0C-4D9C-8D8E-6235805293B8}"/>
            </a:ext>
          </a:extLst>
        </xdr:cNvPr>
        <xdr:cNvSpPr>
          <a:spLocks noChangeShapeType="1"/>
        </xdr:cNvSpPr>
      </xdr:nvSpPr>
      <xdr:spPr bwMode="auto">
        <a:xfrm>
          <a:off x="9906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48</xdr:row>
      <xdr:rowOff>0</xdr:rowOff>
    </xdr:from>
    <xdr:to>
      <xdr:col>13</xdr:col>
      <xdr:colOff>0</xdr:colOff>
      <xdr:row>48</xdr:row>
      <xdr:rowOff>0</xdr:rowOff>
    </xdr:to>
    <xdr:sp macro="" textlink="">
      <xdr:nvSpPr>
        <xdr:cNvPr id="1110" name="Line 86">
          <a:extLst>
            <a:ext uri="{FF2B5EF4-FFF2-40B4-BE49-F238E27FC236}">
              <a16:creationId xmlns:a16="http://schemas.microsoft.com/office/drawing/2014/main" id="{D0F94AB5-3AF0-45CE-947D-B1D9A3A416F1}"/>
            </a:ext>
          </a:extLst>
        </xdr:cNvPr>
        <xdr:cNvSpPr>
          <a:spLocks noChangeShapeType="1"/>
        </xdr:cNvSpPr>
      </xdr:nvSpPr>
      <xdr:spPr bwMode="auto">
        <a:xfrm>
          <a:off x="9906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47</xdr:row>
      <xdr:rowOff>0</xdr:rowOff>
    </xdr:from>
    <xdr:to>
      <xdr:col>17</xdr:col>
      <xdr:colOff>0</xdr:colOff>
      <xdr:row>47</xdr:row>
      <xdr:rowOff>0</xdr:rowOff>
    </xdr:to>
    <xdr:sp macro="" textlink="">
      <xdr:nvSpPr>
        <xdr:cNvPr id="1111" name="Line 87">
          <a:extLst>
            <a:ext uri="{FF2B5EF4-FFF2-40B4-BE49-F238E27FC236}">
              <a16:creationId xmlns:a16="http://schemas.microsoft.com/office/drawing/2014/main" id="{DB04DD5C-C4A0-4780-ABBC-2659542BBBDF}"/>
            </a:ext>
          </a:extLst>
        </xdr:cNvPr>
        <xdr:cNvSpPr>
          <a:spLocks noChangeShapeType="1"/>
        </xdr:cNvSpPr>
      </xdr:nvSpPr>
      <xdr:spPr bwMode="auto">
        <a:xfrm>
          <a:off x="13335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17</xdr:col>
      <xdr:colOff>0</xdr:colOff>
      <xdr:row>48</xdr:row>
      <xdr:rowOff>0</xdr:rowOff>
    </xdr:to>
    <xdr:sp macro="" textlink="">
      <xdr:nvSpPr>
        <xdr:cNvPr id="1112" name="Line 88">
          <a:extLst>
            <a:ext uri="{FF2B5EF4-FFF2-40B4-BE49-F238E27FC236}">
              <a16:creationId xmlns:a16="http://schemas.microsoft.com/office/drawing/2014/main" id="{13D75985-ADA9-4765-B25A-BCD74D340F6A}"/>
            </a:ext>
          </a:extLst>
        </xdr:cNvPr>
        <xdr:cNvSpPr>
          <a:spLocks noChangeShapeType="1"/>
        </xdr:cNvSpPr>
      </xdr:nvSpPr>
      <xdr:spPr bwMode="auto">
        <a:xfrm>
          <a:off x="13335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47</xdr:row>
      <xdr:rowOff>0</xdr:rowOff>
    </xdr:from>
    <xdr:to>
      <xdr:col>21</xdr:col>
      <xdr:colOff>0</xdr:colOff>
      <xdr:row>47</xdr:row>
      <xdr:rowOff>0</xdr:rowOff>
    </xdr:to>
    <xdr:sp macro="" textlink="">
      <xdr:nvSpPr>
        <xdr:cNvPr id="1113" name="Line 89">
          <a:extLst>
            <a:ext uri="{FF2B5EF4-FFF2-40B4-BE49-F238E27FC236}">
              <a16:creationId xmlns:a16="http://schemas.microsoft.com/office/drawing/2014/main" id="{6C24D7D0-7C60-45F8-B718-2A830CBDB22A}"/>
            </a:ext>
          </a:extLst>
        </xdr:cNvPr>
        <xdr:cNvSpPr>
          <a:spLocks noChangeShapeType="1"/>
        </xdr:cNvSpPr>
      </xdr:nvSpPr>
      <xdr:spPr bwMode="auto">
        <a:xfrm>
          <a:off x="16764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48</xdr:row>
      <xdr:rowOff>0</xdr:rowOff>
    </xdr:from>
    <xdr:to>
      <xdr:col>21</xdr:col>
      <xdr:colOff>0</xdr:colOff>
      <xdr:row>48</xdr:row>
      <xdr:rowOff>0</xdr:rowOff>
    </xdr:to>
    <xdr:sp macro="" textlink="">
      <xdr:nvSpPr>
        <xdr:cNvPr id="1114" name="Line 90">
          <a:extLst>
            <a:ext uri="{FF2B5EF4-FFF2-40B4-BE49-F238E27FC236}">
              <a16:creationId xmlns:a16="http://schemas.microsoft.com/office/drawing/2014/main" id="{68425AAC-D490-4D1F-969E-8C39B0B36873}"/>
            </a:ext>
          </a:extLst>
        </xdr:cNvPr>
        <xdr:cNvSpPr>
          <a:spLocks noChangeShapeType="1"/>
        </xdr:cNvSpPr>
      </xdr:nvSpPr>
      <xdr:spPr bwMode="auto">
        <a:xfrm>
          <a:off x="16764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47</xdr:row>
      <xdr:rowOff>0</xdr:rowOff>
    </xdr:from>
    <xdr:to>
      <xdr:col>25</xdr:col>
      <xdr:colOff>0</xdr:colOff>
      <xdr:row>47</xdr:row>
      <xdr:rowOff>0</xdr:rowOff>
    </xdr:to>
    <xdr:sp macro="" textlink="">
      <xdr:nvSpPr>
        <xdr:cNvPr id="1115" name="Line 91">
          <a:extLst>
            <a:ext uri="{FF2B5EF4-FFF2-40B4-BE49-F238E27FC236}">
              <a16:creationId xmlns:a16="http://schemas.microsoft.com/office/drawing/2014/main" id="{5862E808-AA0E-487D-97AA-D23BC7840978}"/>
            </a:ext>
          </a:extLst>
        </xdr:cNvPr>
        <xdr:cNvSpPr>
          <a:spLocks noChangeShapeType="1"/>
        </xdr:cNvSpPr>
      </xdr:nvSpPr>
      <xdr:spPr bwMode="auto">
        <a:xfrm>
          <a:off x="20193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25</xdr:col>
      <xdr:colOff>0</xdr:colOff>
      <xdr:row>48</xdr:row>
      <xdr:rowOff>0</xdr:rowOff>
    </xdr:to>
    <xdr:sp macro="" textlink="">
      <xdr:nvSpPr>
        <xdr:cNvPr id="1116" name="Line 92">
          <a:extLst>
            <a:ext uri="{FF2B5EF4-FFF2-40B4-BE49-F238E27FC236}">
              <a16:creationId xmlns:a16="http://schemas.microsoft.com/office/drawing/2014/main" id="{91D3E539-C0B6-47F2-BE6A-D6D48C621037}"/>
            </a:ext>
          </a:extLst>
        </xdr:cNvPr>
        <xdr:cNvSpPr>
          <a:spLocks noChangeShapeType="1"/>
        </xdr:cNvSpPr>
      </xdr:nvSpPr>
      <xdr:spPr bwMode="auto">
        <a:xfrm>
          <a:off x="20193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47</xdr:row>
      <xdr:rowOff>38100</xdr:rowOff>
    </xdr:from>
    <xdr:to>
      <xdr:col>29</xdr:col>
      <xdr:colOff>0</xdr:colOff>
      <xdr:row>47</xdr:row>
      <xdr:rowOff>38100</xdr:rowOff>
    </xdr:to>
    <xdr:sp macro="" textlink="">
      <xdr:nvSpPr>
        <xdr:cNvPr id="1117" name="Line 93">
          <a:extLst>
            <a:ext uri="{FF2B5EF4-FFF2-40B4-BE49-F238E27FC236}">
              <a16:creationId xmlns:a16="http://schemas.microsoft.com/office/drawing/2014/main" id="{299C72BB-FF77-420E-A552-75975DF592E8}"/>
            </a:ext>
          </a:extLst>
        </xdr:cNvPr>
        <xdr:cNvSpPr>
          <a:spLocks noChangeShapeType="1"/>
        </xdr:cNvSpPr>
      </xdr:nvSpPr>
      <xdr:spPr bwMode="auto">
        <a:xfrm>
          <a:off x="2362200" y="73723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47</xdr:row>
      <xdr:rowOff>38100</xdr:rowOff>
    </xdr:from>
    <xdr:to>
      <xdr:col>33</xdr:col>
      <xdr:colOff>0</xdr:colOff>
      <xdr:row>47</xdr:row>
      <xdr:rowOff>38100</xdr:rowOff>
    </xdr:to>
    <xdr:sp macro="" textlink="">
      <xdr:nvSpPr>
        <xdr:cNvPr id="1118" name="Line 94">
          <a:extLst>
            <a:ext uri="{FF2B5EF4-FFF2-40B4-BE49-F238E27FC236}">
              <a16:creationId xmlns:a16="http://schemas.microsoft.com/office/drawing/2014/main" id="{0481EEF2-67B4-4646-8EB2-547C1CA2AD57}"/>
            </a:ext>
          </a:extLst>
        </xdr:cNvPr>
        <xdr:cNvSpPr>
          <a:spLocks noChangeShapeType="1"/>
        </xdr:cNvSpPr>
      </xdr:nvSpPr>
      <xdr:spPr bwMode="auto">
        <a:xfrm>
          <a:off x="2705100" y="73723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47</xdr:row>
      <xdr:rowOff>38100</xdr:rowOff>
    </xdr:from>
    <xdr:to>
      <xdr:col>37</xdr:col>
      <xdr:colOff>0</xdr:colOff>
      <xdr:row>47</xdr:row>
      <xdr:rowOff>38100</xdr:rowOff>
    </xdr:to>
    <xdr:sp macro="" textlink="">
      <xdr:nvSpPr>
        <xdr:cNvPr id="1119" name="Line 95">
          <a:extLst>
            <a:ext uri="{FF2B5EF4-FFF2-40B4-BE49-F238E27FC236}">
              <a16:creationId xmlns:a16="http://schemas.microsoft.com/office/drawing/2014/main" id="{1619AD61-2987-4690-9794-11D645E71B53}"/>
            </a:ext>
          </a:extLst>
        </xdr:cNvPr>
        <xdr:cNvSpPr>
          <a:spLocks noChangeShapeType="1"/>
        </xdr:cNvSpPr>
      </xdr:nvSpPr>
      <xdr:spPr bwMode="auto">
        <a:xfrm>
          <a:off x="3048000" y="73723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37</xdr:col>
      <xdr:colOff>28575</xdr:colOff>
      <xdr:row>47</xdr:row>
      <xdr:rowOff>38100</xdr:rowOff>
    </xdr:to>
    <xdr:sp macro="" textlink="">
      <xdr:nvSpPr>
        <xdr:cNvPr id="1120" name="Line 96">
          <a:extLst>
            <a:ext uri="{FF2B5EF4-FFF2-40B4-BE49-F238E27FC236}">
              <a16:creationId xmlns:a16="http://schemas.microsoft.com/office/drawing/2014/main" id="{80EE2B71-D3D0-479D-9E05-1667C6514917}"/>
            </a:ext>
          </a:extLst>
        </xdr:cNvPr>
        <xdr:cNvSpPr>
          <a:spLocks noChangeShapeType="1"/>
        </xdr:cNvSpPr>
      </xdr:nvSpPr>
      <xdr:spPr bwMode="auto">
        <a:xfrm flipV="1">
          <a:off x="3390900" y="7267575"/>
          <a:ext cx="28575" cy="10477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28575</xdr:colOff>
      <xdr:row>46</xdr:row>
      <xdr:rowOff>0</xdr:rowOff>
    </xdr:from>
    <xdr:to>
      <xdr:col>38</xdr:col>
      <xdr:colOff>0</xdr:colOff>
      <xdr:row>49</xdr:row>
      <xdr:rowOff>0</xdr:rowOff>
    </xdr:to>
    <xdr:sp macro="" textlink="">
      <xdr:nvSpPr>
        <xdr:cNvPr id="1121" name="Line 97">
          <a:extLst>
            <a:ext uri="{FF2B5EF4-FFF2-40B4-BE49-F238E27FC236}">
              <a16:creationId xmlns:a16="http://schemas.microsoft.com/office/drawing/2014/main" id="{A1869A05-B277-4EE0-A31E-10167A5809C0}"/>
            </a:ext>
          </a:extLst>
        </xdr:cNvPr>
        <xdr:cNvSpPr>
          <a:spLocks noChangeShapeType="1"/>
        </xdr:cNvSpPr>
      </xdr:nvSpPr>
      <xdr:spPr bwMode="auto">
        <a:xfrm>
          <a:off x="3419475" y="726757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0</xdr:colOff>
      <xdr:row>46</xdr:row>
      <xdr:rowOff>0</xdr:rowOff>
    </xdr:from>
    <xdr:to>
      <xdr:col>38</xdr:col>
      <xdr:colOff>57150</xdr:colOff>
      <xdr:row>49</xdr:row>
      <xdr:rowOff>0</xdr:rowOff>
    </xdr:to>
    <xdr:sp macro="" textlink="">
      <xdr:nvSpPr>
        <xdr:cNvPr id="1122" name="Line 98">
          <a:extLst>
            <a:ext uri="{FF2B5EF4-FFF2-40B4-BE49-F238E27FC236}">
              <a16:creationId xmlns:a16="http://schemas.microsoft.com/office/drawing/2014/main" id="{C85E4D5A-7FEF-4B10-A990-632B7874931B}"/>
            </a:ext>
          </a:extLst>
        </xdr:cNvPr>
        <xdr:cNvSpPr>
          <a:spLocks noChangeShapeType="1"/>
        </xdr:cNvSpPr>
      </xdr:nvSpPr>
      <xdr:spPr bwMode="auto">
        <a:xfrm flipV="1">
          <a:off x="3476625" y="726757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57150</xdr:colOff>
      <xdr:row>46</xdr:row>
      <xdr:rowOff>0</xdr:rowOff>
    </xdr:from>
    <xdr:to>
      <xdr:col>39</xdr:col>
      <xdr:colOff>28575</xdr:colOff>
      <xdr:row>49</xdr:row>
      <xdr:rowOff>0</xdr:rowOff>
    </xdr:to>
    <xdr:sp macro="" textlink="">
      <xdr:nvSpPr>
        <xdr:cNvPr id="1123" name="Line 99">
          <a:extLst>
            <a:ext uri="{FF2B5EF4-FFF2-40B4-BE49-F238E27FC236}">
              <a16:creationId xmlns:a16="http://schemas.microsoft.com/office/drawing/2014/main" id="{A72D786E-D376-4EDF-882B-F96323C7B3E6}"/>
            </a:ext>
          </a:extLst>
        </xdr:cNvPr>
        <xdr:cNvSpPr>
          <a:spLocks noChangeShapeType="1"/>
        </xdr:cNvSpPr>
      </xdr:nvSpPr>
      <xdr:spPr bwMode="auto">
        <a:xfrm>
          <a:off x="3533775" y="726757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28575</xdr:colOff>
      <xdr:row>46</xdr:row>
      <xdr:rowOff>0</xdr:rowOff>
    </xdr:from>
    <xdr:to>
      <xdr:col>40</xdr:col>
      <xdr:colOff>0</xdr:colOff>
      <xdr:row>49</xdr:row>
      <xdr:rowOff>0</xdr:rowOff>
    </xdr:to>
    <xdr:sp macro="" textlink="">
      <xdr:nvSpPr>
        <xdr:cNvPr id="1124" name="Line 100">
          <a:extLst>
            <a:ext uri="{FF2B5EF4-FFF2-40B4-BE49-F238E27FC236}">
              <a16:creationId xmlns:a16="http://schemas.microsoft.com/office/drawing/2014/main" id="{1BCC9485-2446-44AA-BC78-FA1C75C5BD00}"/>
            </a:ext>
          </a:extLst>
        </xdr:cNvPr>
        <xdr:cNvSpPr>
          <a:spLocks noChangeShapeType="1"/>
        </xdr:cNvSpPr>
      </xdr:nvSpPr>
      <xdr:spPr bwMode="auto">
        <a:xfrm flipV="1">
          <a:off x="3590925" y="726757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46</xdr:row>
      <xdr:rowOff>0</xdr:rowOff>
    </xdr:from>
    <xdr:to>
      <xdr:col>40</xdr:col>
      <xdr:colOff>57150</xdr:colOff>
      <xdr:row>49</xdr:row>
      <xdr:rowOff>0</xdr:rowOff>
    </xdr:to>
    <xdr:sp macro="" textlink="">
      <xdr:nvSpPr>
        <xdr:cNvPr id="1125" name="Line 101">
          <a:extLst>
            <a:ext uri="{FF2B5EF4-FFF2-40B4-BE49-F238E27FC236}">
              <a16:creationId xmlns:a16="http://schemas.microsoft.com/office/drawing/2014/main" id="{221C176C-62FC-4D74-ACEE-958807C11271}"/>
            </a:ext>
          </a:extLst>
        </xdr:cNvPr>
        <xdr:cNvSpPr>
          <a:spLocks noChangeShapeType="1"/>
        </xdr:cNvSpPr>
      </xdr:nvSpPr>
      <xdr:spPr bwMode="auto">
        <a:xfrm>
          <a:off x="3648075" y="726757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57150</xdr:colOff>
      <xdr:row>47</xdr:row>
      <xdr:rowOff>38100</xdr:rowOff>
    </xdr:from>
    <xdr:to>
      <xdr:col>41</xdr:col>
      <xdr:colOff>0</xdr:colOff>
      <xdr:row>49</xdr:row>
      <xdr:rowOff>0</xdr:rowOff>
    </xdr:to>
    <xdr:sp macro="" textlink="">
      <xdr:nvSpPr>
        <xdr:cNvPr id="1126" name="Line 102">
          <a:extLst>
            <a:ext uri="{FF2B5EF4-FFF2-40B4-BE49-F238E27FC236}">
              <a16:creationId xmlns:a16="http://schemas.microsoft.com/office/drawing/2014/main" id="{8539D0A0-1D15-4CDC-90BA-83307525A766}"/>
            </a:ext>
          </a:extLst>
        </xdr:cNvPr>
        <xdr:cNvSpPr>
          <a:spLocks noChangeShapeType="1"/>
        </xdr:cNvSpPr>
      </xdr:nvSpPr>
      <xdr:spPr bwMode="auto">
        <a:xfrm flipV="1">
          <a:off x="3705225" y="7372350"/>
          <a:ext cx="28575" cy="95250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47</xdr:row>
      <xdr:rowOff>0</xdr:rowOff>
    </xdr:from>
    <xdr:to>
      <xdr:col>45</xdr:col>
      <xdr:colOff>0</xdr:colOff>
      <xdr:row>47</xdr:row>
      <xdr:rowOff>0</xdr:rowOff>
    </xdr:to>
    <xdr:sp macro="" textlink="">
      <xdr:nvSpPr>
        <xdr:cNvPr id="1127" name="Line 103">
          <a:extLst>
            <a:ext uri="{FF2B5EF4-FFF2-40B4-BE49-F238E27FC236}">
              <a16:creationId xmlns:a16="http://schemas.microsoft.com/office/drawing/2014/main" id="{549C8679-098E-4151-837A-FBA515A10BFA}"/>
            </a:ext>
          </a:extLst>
        </xdr:cNvPr>
        <xdr:cNvSpPr>
          <a:spLocks noChangeShapeType="1"/>
        </xdr:cNvSpPr>
      </xdr:nvSpPr>
      <xdr:spPr bwMode="auto">
        <a:xfrm>
          <a:off x="37338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48</xdr:row>
      <xdr:rowOff>0</xdr:rowOff>
    </xdr:from>
    <xdr:to>
      <xdr:col>45</xdr:col>
      <xdr:colOff>0</xdr:colOff>
      <xdr:row>48</xdr:row>
      <xdr:rowOff>0</xdr:rowOff>
    </xdr:to>
    <xdr:sp macro="" textlink="">
      <xdr:nvSpPr>
        <xdr:cNvPr id="1128" name="Line 104">
          <a:extLst>
            <a:ext uri="{FF2B5EF4-FFF2-40B4-BE49-F238E27FC236}">
              <a16:creationId xmlns:a16="http://schemas.microsoft.com/office/drawing/2014/main" id="{0FCABCD4-6C79-4E05-8021-83D4B665CF61}"/>
            </a:ext>
          </a:extLst>
        </xdr:cNvPr>
        <xdr:cNvSpPr>
          <a:spLocks noChangeShapeType="1"/>
        </xdr:cNvSpPr>
      </xdr:nvSpPr>
      <xdr:spPr bwMode="auto">
        <a:xfrm>
          <a:off x="37338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28575</xdr:colOff>
      <xdr:row>10</xdr:row>
      <xdr:rowOff>114300</xdr:rowOff>
    </xdr:from>
    <xdr:to>
      <xdr:col>56</xdr:col>
      <xdr:colOff>19050</xdr:colOff>
      <xdr:row>15</xdr:row>
      <xdr:rowOff>85725</xdr:rowOff>
    </xdr:to>
    <xdr:sp macro="" textlink="">
      <xdr:nvSpPr>
        <xdr:cNvPr id="1129" name="Line 105">
          <a:extLst>
            <a:ext uri="{FF2B5EF4-FFF2-40B4-BE49-F238E27FC236}">
              <a16:creationId xmlns:a16="http://schemas.microsoft.com/office/drawing/2014/main" id="{941BFC02-91A2-42A9-99BB-DEF051A214EC}"/>
            </a:ext>
          </a:extLst>
        </xdr:cNvPr>
        <xdr:cNvSpPr>
          <a:spLocks noChangeShapeType="1"/>
        </xdr:cNvSpPr>
      </xdr:nvSpPr>
      <xdr:spPr bwMode="auto">
        <a:xfrm>
          <a:off x="4962525" y="1638300"/>
          <a:ext cx="76200" cy="923925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34</xdr:col>
      <xdr:colOff>28575</xdr:colOff>
      <xdr:row>17</xdr:row>
      <xdr:rowOff>47625</xdr:rowOff>
    </xdr:from>
    <xdr:to>
      <xdr:col>36</xdr:col>
      <xdr:colOff>0</xdr:colOff>
      <xdr:row>17</xdr:row>
      <xdr:rowOff>161925</xdr:rowOff>
    </xdr:to>
    <xdr:sp macro="" textlink="">
      <xdr:nvSpPr>
        <xdr:cNvPr id="1130" name="Text Box 106">
          <a:extLst>
            <a:ext uri="{FF2B5EF4-FFF2-40B4-BE49-F238E27FC236}">
              <a16:creationId xmlns:a16="http://schemas.microsoft.com/office/drawing/2014/main" id="{6275B062-4991-4C1D-9142-2F1B9D42AAA8}"/>
            </a:ext>
          </a:extLst>
        </xdr:cNvPr>
        <xdr:cNvSpPr txBox="1">
          <a:spLocks noChangeArrowheads="1"/>
        </xdr:cNvSpPr>
      </xdr:nvSpPr>
      <xdr:spPr bwMode="auto">
        <a:xfrm>
          <a:off x="3162300" y="2905125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 editAs="oneCell">
    <xdr:from>
      <xdr:col>38</xdr:col>
      <xdr:colOff>47625</xdr:colOff>
      <xdr:row>9</xdr:row>
      <xdr:rowOff>171450</xdr:rowOff>
    </xdr:from>
    <xdr:to>
      <xdr:col>40</xdr:col>
      <xdr:colOff>19050</xdr:colOff>
      <xdr:row>10</xdr:row>
      <xdr:rowOff>95250</xdr:rowOff>
    </xdr:to>
    <xdr:sp macro="" textlink="">
      <xdr:nvSpPr>
        <xdr:cNvPr id="1131" name="Text Box 107">
          <a:extLst>
            <a:ext uri="{FF2B5EF4-FFF2-40B4-BE49-F238E27FC236}">
              <a16:creationId xmlns:a16="http://schemas.microsoft.com/office/drawing/2014/main" id="{FB4841F2-1CC6-4205-97BC-583C87E998E3}"/>
            </a:ext>
          </a:extLst>
        </xdr:cNvPr>
        <xdr:cNvSpPr txBox="1">
          <a:spLocks noChangeArrowheads="1"/>
        </xdr:cNvSpPr>
      </xdr:nvSpPr>
      <xdr:spPr bwMode="auto">
        <a:xfrm>
          <a:off x="3524250" y="1504950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 editAs="oneCell">
    <xdr:from>
      <xdr:col>58</xdr:col>
      <xdr:colOff>76200</xdr:colOff>
      <xdr:row>15</xdr:row>
      <xdr:rowOff>85725</xdr:rowOff>
    </xdr:from>
    <xdr:to>
      <xdr:col>60</xdr:col>
      <xdr:colOff>0</xdr:colOff>
      <xdr:row>16</xdr:row>
      <xdr:rowOff>9525</xdr:rowOff>
    </xdr:to>
    <xdr:sp macro="" textlink="">
      <xdr:nvSpPr>
        <xdr:cNvPr id="1132" name="Text Box 108">
          <a:extLst>
            <a:ext uri="{FF2B5EF4-FFF2-40B4-BE49-F238E27FC236}">
              <a16:creationId xmlns:a16="http://schemas.microsoft.com/office/drawing/2014/main" id="{9CDCDAFA-A03A-4BF3-90CD-90323DA21083}"/>
            </a:ext>
          </a:extLst>
        </xdr:cNvPr>
        <xdr:cNvSpPr txBox="1">
          <a:spLocks noChangeArrowheads="1"/>
        </xdr:cNvSpPr>
      </xdr:nvSpPr>
      <xdr:spPr bwMode="auto">
        <a:xfrm>
          <a:off x="5267325" y="2562225"/>
          <a:ext cx="952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 editAs="oneCell">
    <xdr:from>
      <xdr:col>51</xdr:col>
      <xdr:colOff>57150</xdr:colOff>
      <xdr:row>12</xdr:row>
      <xdr:rowOff>76200</xdr:rowOff>
    </xdr:from>
    <xdr:to>
      <xdr:col>55</xdr:col>
      <xdr:colOff>0</xdr:colOff>
      <xdr:row>13</xdr:row>
      <xdr:rowOff>28575</xdr:rowOff>
    </xdr:to>
    <xdr:sp macro="" textlink="">
      <xdr:nvSpPr>
        <xdr:cNvPr id="1133" name="Text Box 109">
          <a:extLst>
            <a:ext uri="{FF2B5EF4-FFF2-40B4-BE49-F238E27FC236}">
              <a16:creationId xmlns:a16="http://schemas.microsoft.com/office/drawing/2014/main" id="{DD8C5298-A8A3-4BB1-9820-D1F8E0613FF6}"/>
            </a:ext>
          </a:extLst>
        </xdr:cNvPr>
        <xdr:cNvSpPr txBox="1">
          <a:spLocks noChangeArrowheads="1"/>
        </xdr:cNvSpPr>
      </xdr:nvSpPr>
      <xdr:spPr bwMode="auto">
        <a:xfrm>
          <a:off x="4648200" y="1981200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13.7m</a:t>
          </a:r>
        </a:p>
      </xdr:txBody>
    </xdr:sp>
    <xdr:clientData/>
  </xdr:twoCellAnchor>
  <xdr:twoCellAnchor editAs="oneCell">
    <xdr:from>
      <xdr:col>39</xdr:col>
      <xdr:colOff>0</xdr:colOff>
      <xdr:row>12</xdr:row>
      <xdr:rowOff>9525</xdr:rowOff>
    </xdr:from>
    <xdr:to>
      <xdr:col>42</xdr:col>
      <xdr:colOff>28575</xdr:colOff>
      <xdr:row>12</xdr:row>
      <xdr:rowOff>152400</xdr:rowOff>
    </xdr:to>
    <xdr:sp macro="" textlink="">
      <xdr:nvSpPr>
        <xdr:cNvPr id="1134" name="Text Box 110">
          <a:extLst>
            <a:ext uri="{FF2B5EF4-FFF2-40B4-BE49-F238E27FC236}">
              <a16:creationId xmlns:a16="http://schemas.microsoft.com/office/drawing/2014/main" id="{402BEC91-3296-41F3-96E1-286F4102F90E}"/>
            </a:ext>
          </a:extLst>
        </xdr:cNvPr>
        <xdr:cNvSpPr txBox="1">
          <a:spLocks noChangeArrowheads="1"/>
        </xdr:cNvSpPr>
      </xdr:nvSpPr>
      <xdr:spPr bwMode="auto">
        <a:xfrm>
          <a:off x="3562350" y="1914525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0" bIns="18288" anchor="ctr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13.6m</a:t>
          </a:r>
        </a:p>
      </xdr:txBody>
    </xdr:sp>
    <xdr:clientData/>
  </xdr:twoCellAnchor>
  <xdr:twoCellAnchor>
    <xdr:from>
      <xdr:col>9</xdr:col>
      <xdr:colOff>28575</xdr:colOff>
      <xdr:row>29</xdr:row>
      <xdr:rowOff>161925</xdr:rowOff>
    </xdr:from>
    <xdr:to>
      <xdr:col>21</xdr:col>
      <xdr:colOff>0</xdr:colOff>
      <xdr:row>30</xdr:row>
      <xdr:rowOff>152400</xdr:rowOff>
    </xdr:to>
    <xdr:grpSp>
      <xdr:nvGrpSpPr>
        <xdr:cNvPr id="1135" name="Group 111">
          <a:extLst>
            <a:ext uri="{FF2B5EF4-FFF2-40B4-BE49-F238E27FC236}">
              <a16:creationId xmlns:a16="http://schemas.microsoft.com/office/drawing/2014/main" id="{CD7C4363-CF78-40E1-BD7D-6F441BD6B5E2}"/>
            </a:ext>
          </a:extLst>
        </xdr:cNvPr>
        <xdr:cNvGrpSpPr>
          <a:grpSpLocks/>
        </xdr:cNvGrpSpPr>
      </xdr:nvGrpSpPr>
      <xdr:grpSpPr bwMode="auto">
        <a:xfrm>
          <a:off x="1019175" y="5305425"/>
          <a:ext cx="1000125" cy="180975"/>
          <a:chOff x="140" y="598"/>
          <a:chExt cx="105" cy="19"/>
        </a:xfrm>
      </xdr:grpSpPr>
      <xdr:sp macro="" textlink="">
        <xdr:nvSpPr>
          <xdr:cNvPr id="1136" name="Line 112">
            <a:extLst>
              <a:ext uri="{FF2B5EF4-FFF2-40B4-BE49-F238E27FC236}">
                <a16:creationId xmlns:a16="http://schemas.microsoft.com/office/drawing/2014/main" id="{07CBDEAE-1490-4462-8955-29660E63550F}"/>
              </a:ext>
            </a:extLst>
          </xdr:cNvPr>
          <xdr:cNvSpPr>
            <a:spLocks noChangeShapeType="1"/>
          </xdr:cNvSpPr>
        </xdr:nvSpPr>
        <xdr:spPr bwMode="auto">
          <a:xfrm>
            <a:off x="140" y="60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7" name="Freeform 113">
            <a:extLst>
              <a:ext uri="{FF2B5EF4-FFF2-40B4-BE49-F238E27FC236}">
                <a16:creationId xmlns:a16="http://schemas.microsoft.com/office/drawing/2014/main" id="{9515B7E5-596D-4D2F-AABC-1F4142582A23}"/>
              </a:ext>
            </a:extLst>
          </xdr:cNvPr>
          <xdr:cNvSpPr>
            <a:spLocks/>
          </xdr:cNvSpPr>
        </xdr:nvSpPr>
        <xdr:spPr bwMode="auto">
          <a:xfrm>
            <a:off x="238" y="59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8" name="Freeform 114">
            <a:extLst>
              <a:ext uri="{FF2B5EF4-FFF2-40B4-BE49-F238E27FC236}">
                <a16:creationId xmlns:a16="http://schemas.microsoft.com/office/drawing/2014/main" id="{AF4CF6D2-0964-4012-A64E-679CFF51F48D}"/>
              </a:ext>
            </a:extLst>
          </xdr:cNvPr>
          <xdr:cNvSpPr>
            <a:spLocks/>
          </xdr:cNvSpPr>
        </xdr:nvSpPr>
        <xdr:spPr bwMode="auto">
          <a:xfrm>
            <a:off x="175" y="60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9" name="Line 115">
            <a:extLst>
              <a:ext uri="{FF2B5EF4-FFF2-40B4-BE49-F238E27FC236}">
                <a16:creationId xmlns:a16="http://schemas.microsoft.com/office/drawing/2014/main" id="{E6D6465B-DEA8-4C37-B27C-DD874762F068}"/>
              </a:ext>
            </a:extLst>
          </xdr:cNvPr>
          <xdr:cNvSpPr>
            <a:spLocks noChangeShapeType="1"/>
          </xdr:cNvSpPr>
        </xdr:nvSpPr>
        <xdr:spPr bwMode="auto">
          <a:xfrm>
            <a:off x="183" y="60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0" name="Freeform 116">
            <a:extLst>
              <a:ext uri="{FF2B5EF4-FFF2-40B4-BE49-F238E27FC236}">
                <a16:creationId xmlns:a16="http://schemas.microsoft.com/office/drawing/2014/main" id="{2CB0000C-DF16-4679-B4AF-93ACD3960F87}"/>
              </a:ext>
            </a:extLst>
          </xdr:cNvPr>
          <xdr:cNvSpPr>
            <a:spLocks/>
          </xdr:cNvSpPr>
        </xdr:nvSpPr>
        <xdr:spPr bwMode="auto">
          <a:xfrm>
            <a:off x="179" y="610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76200</xdr:colOff>
      <xdr:row>31</xdr:row>
      <xdr:rowOff>152400</xdr:rowOff>
    </xdr:from>
    <xdr:to>
      <xdr:col>20</xdr:col>
      <xdr:colOff>57150</xdr:colOff>
      <xdr:row>32</xdr:row>
      <xdr:rowOff>142875</xdr:rowOff>
    </xdr:to>
    <xdr:grpSp>
      <xdr:nvGrpSpPr>
        <xdr:cNvPr id="1141" name="Group 117">
          <a:extLst>
            <a:ext uri="{FF2B5EF4-FFF2-40B4-BE49-F238E27FC236}">
              <a16:creationId xmlns:a16="http://schemas.microsoft.com/office/drawing/2014/main" id="{05CAABBE-4AC9-4A09-93D1-A585257B07E7}"/>
            </a:ext>
          </a:extLst>
        </xdr:cNvPr>
        <xdr:cNvGrpSpPr>
          <a:grpSpLocks/>
        </xdr:cNvGrpSpPr>
      </xdr:nvGrpSpPr>
      <xdr:grpSpPr bwMode="auto">
        <a:xfrm>
          <a:off x="981075" y="5676900"/>
          <a:ext cx="1009650" cy="180975"/>
          <a:chOff x="139" y="636"/>
          <a:chExt cx="106" cy="19"/>
        </a:xfrm>
      </xdr:grpSpPr>
      <xdr:sp macro="" textlink="">
        <xdr:nvSpPr>
          <xdr:cNvPr id="1142" name="Line 118">
            <a:extLst>
              <a:ext uri="{FF2B5EF4-FFF2-40B4-BE49-F238E27FC236}">
                <a16:creationId xmlns:a16="http://schemas.microsoft.com/office/drawing/2014/main" id="{C6CB46C6-B1FF-498D-B719-4C06124285A8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41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3" name="Freeform 119">
            <a:extLst>
              <a:ext uri="{FF2B5EF4-FFF2-40B4-BE49-F238E27FC236}">
                <a16:creationId xmlns:a16="http://schemas.microsoft.com/office/drawing/2014/main" id="{80D84C4A-2F1C-458F-87D6-E4223E0F23E1}"/>
              </a:ext>
            </a:extLst>
          </xdr:cNvPr>
          <xdr:cNvSpPr>
            <a:spLocks/>
          </xdr:cNvSpPr>
        </xdr:nvSpPr>
        <xdr:spPr bwMode="auto">
          <a:xfrm rot="-10800000">
            <a:off x="139" y="63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4" name="Freeform 120">
            <a:extLst>
              <a:ext uri="{FF2B5EF4-FFF2-40B4-BE49-F238E27FC236}">
                <a16:creationId xmlns:a16="http://schemas.microsoft.com/office/drawing/2014/main" id="{AF51100D-9F9B-4C23-93D8-E3ACEB942A9A}"/>
              </a:ext>
            </a:extLst>
          </xdr:cNvPr>
          <xdr:cNvSpPr>
            <a:spLocks/>
          </xdr:cNvSpPr>
        </xdr:nvSpPr>
        <xdr:spPr bwMode="auto">
          <a:xfrm rot="-10800000">
            <a:off x="213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45" name="Line 121">
            <a:extLst>
              <a:ext uri="{FF2B5EF4-FFF2-40B4-BE49-F238E27FC236}">
                <a16:creationId xmlns:a16="http://schemas.microsoft.com/office/drawing/2014/main" id="{A896A228-FE5B-4F93-A304-2609BA2BBEE3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13" y="64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6" name="Freeform 122">
            <a:extLst>
              <a:ext uri="{FF2B5EF4-FFF2-40B4-BE49-F238E27FC236}">
                <a16:creationId xmlns:a16="http://schemas.microsoft.com/office/drawing/2014/main" id="{CE3E06DC-2A23-4384-95BF-2895A335196B}"/>
              </a:ext>
            </a:extLst>
          </xdr:cNvPr>
          <xdr:cNvSpPr>
            <a:spLocks/>
          </xdr:cNvSpPr>
        </xdr:nvSpPr>
        <xdr:spPr bwMode="auto">
          <a:xfrm rot="-10800000">
            <a:off x="209" y="648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66675</xdr:colOff>
      <xdr:row>33</xdr:row>
      <xdr:rowOff>161925</xdr:rowOff>
    </xdr:from>
    <xdr:to>
      <xdr:col>23</xdr:col>
      <xdr:colOff>76200</xdr:colOff>
      <xdr:row>34</xdr:row>
      <xdr:rowOff>161925</xdr:rowOff>
    </xdr:to>
    <xdr:sp macro="" textlink="">
      <xdr:nvSpPr>
        <xdr:cNvPr id="1147" name="Text Box 123">
          <a:extLst>
            <a:ext uri="{FF2B5EF4-FFF2-40B4-BE49-F238E27FC236}">
              <a16:creationId xmlns:a16="http://schemas.microsoft.com/office/drawing/2014/main" id="{081B002D-11E8-4D88-BEB6-B3D9BDBA6C49}"/>
            </a:ext>
          </a:extLst>
        </xdr:cNvPr>
        <xdr:cNvSpPr txBox="1">
          <a:spLocks noChangeArrowheads="1"/>
        </xdr:cNvSpPr>
      </xdr:nvSpPr>
      <xdr:spPr bwMode="auto">
        <a:xfrm>
          <a:off x="714375" y="6067425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）</a:t>
          </a:r>
        </a:p>
      </xdr:txBody>
    </xdr:sp>
    <xdr:clientData/>
  </xdr:twoCellAnchor>
  <xdr:twoCellAnchor>
    <xdr:from>
      <xdr:col>12</xdr:col>
      <xdr:colOff>66675</xdr:colOff>
      <xdr:row>34</xdr:row>
      <xdr:rowOff>104775</xdr:rowOff>
    </xdr:from>
    <xdr:to>
      <xdr:col>16</xdr:col>
      <xdr:colOff>66675</xdr:colOff>
      <xdr:row>35</xdr:row>
      <xdr:rowOff>57150</xdr:rowOff>
    </xdr:to>
    <xdr:sp macro="" textlink="">
      <xdr:nvSpPr>
        <xdr:cNvPr id="1148" name="Text Box 124">
          <a:extLst>
            <a:ext uri="{FF2B5EF4-FFF2-40B4-BE49-F238E27FC236}">
              <a16:creationId xmlns:a16="http://schemas.microsoft.com/office/drawing/2014/main" id="{00052BD3-FE3E-4FF9-9476-2FF43DD5F162}"/>
            </a:ext>
          </a:extLst>
        </xdr:cNvPr>
        <xdr:cNvSpPr txBox="1">
          <a:spLocks noChangeArrowheads="1"/>
        </xdr:cNvSpPr>
      </xdr:nvSpPr>
      <xdr:spPr bwMode="auto">
        <a:xfrm>
          <a:off x="1314450" y="6200775"/>
          <a:ext cx="342900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9.4m</a:t>
          </a:r>
        </a:p>
      </xdr:txBody>
    </xdr:sp>
    <xdr:clientData/>
  </xdr:twoCellAnchor>
  <xdr:twoCellAnchor>
    <xdr:from>
      <xdr:col>10</xdr:col>
      <xdr:colOff>38100</xdr:colOff>
      <xdr:row>34</xdr:row>
      <xdr:rowOff>38100</xdr:rowOff>
    </xdr:from>
    <xdr:to>
      <xdr:col>19</xdr:col>
      <xdr:colOff>0</xdr:colOff>
      <xdr:row>34</xdr:row>
      <xdr:rowOff>95250</xdr:rowOff>
    </xdr:to>
    <xdr:grpSp>
      <xdr:nvGrpSpPr>
        <xdr:cNvPr id="1149" name="Group 125">
          <a:extLst>
            <a:ext uri="{FF2B5EF4-FFF2-40B4-BE49-F238E27FC236}">
              <a16:creationId xmlns:a16="http://schemas.microsoft.com/office/drawing/2014/main" id="{64DA0F64-21A2-472B-B4F6-7901B25E0516}"/>
            </a:ext>
          </a:extLst>
        </xdr:cNvPr>
        <xdr:cNvGrpSpPr>
          <a:grpSpLocks/>
        </xdr:cNvGrpSpPr>
      </xdr:nvGrpSpPr>
      <xdr:grpSpPr bwMode="auto">
        <a:xfrm>
          <a:off x="1114425" y="6134100"/>
          <a:ext cx="733425" cy="57150"/>
          <a:chOff x="123" y="549"/>
          <a:chExt cx="77" cy="6"/>
        </a:xfrm>
      </xdr:grpSpPr>
      <xdr:sp macro="" textlink="">
        <xdr:nvSpPr>
          <xdr:cNvPr id="1150" name="Line 126">
            <a:extLst>
              <a:ext uri="{FF2B5EF4-FFF2-40B4-BE49-F238E27FC236}">
                <a16:creationId xmlns:a16="http://schemas.microsoft.com/office/drawing/2014/main" id="{97EBE64A-A931-4332-B9CD-8FE3295E93C6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1" name="Freeform 127">
            <a:extLst>
              <a:ext uri="{FF2B5EF4-FFF2-40B4-BE49-F238E27FC236}">
                <a16:creationId xmlns:a16="http://schemas.microsoft.com/office/drawing/2014/main" id="{9BBA1154-F723-4960-97CE-2F9E78EDAF8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2" name="Freeform 128">
            <a:extLst>
              <a:ext uri="{FF2B5EF4-FFF2-40B4-BE49-F238E27FC236}">
                <a16:creationId xmlns:a16="http://schemas.microsoft.com/office/drawing/2014/main" id="{9F9A9965-21C2-418E-B75B-99BF5255007F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20</xdr:col>
      <xdr:colOff>19050</xdr:colOff>
      <xdr:row>34</xdr:row>
      <xdr:rowOff>0</xdr:rowOff>
    </xdr:from>
    <xdr:to>
      <xdr:col>26</xdr:col>
      <xdr:colOff>0</xdr:colOff>
      <xdr:row>34</xdr:row>
      <xdr:rowOff>180975</xdr:rowOff>
    </xdr:to>
    <xdr:sp macro="" textlink="">
      <xdr:nvSpPr>
        <xdr:cNvPr id="1153" name="Text Box 129">
          <a:extLst>
            <a:ext uri="{FF2B5EF4-FFF2-40B4-BE49-F238E27FC236}">
              <a16:creationId xmlns:a16="http://schemas.microsoft.com/office/drawing/2014/main" id="{F74B73F4-75FD-437F-A8CE-59FAB3DAF58D}"/>
            </a:ext>
          </a:extLst>
        </xdr:cNvPr>
        <xdr:cNvSpPr txBox="1">
          <a:spLocks noChangeArrowheads="1"/>
        </xdr:cNvSpPr>
      </xdr:nvSpPr>
      <xdr:spPr bwMode="auto">
        <a:xfrm>
          <a:off x="1952625" y="6096000"/>
          <a:ext cx="495300" cy="180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  <xdr:twoCellAnchor>
    <xdr:from>
      <xdr:col>33</xdr:col>
      <xdr:colOff>0</xdr:colOff>
      <xdr:row>30</xdr:row>
      <xdr:rowOff>152400</xdr:rowOff>
    </xdr:from>
    <xdr:to>
      <xdr:col>36</xdr:col>
      <xdr:colOff>47625</xdr:colOff>
      <xdr:row>34</xdr:row>
      <xdr:rowOff>133350</xdr:rowOff>
    </xdr:to>
    <xdr:grpSp>
      <xdr:nvGrpSpPr>
        <xdr:cNvPr id="1154" name="Group 130">
          <a:extLst>
            <a:ext uri="{FF2B5EF4-FFF2-40B4-BE49-F238E27FC236}">
              <a16:creationId xmlns:a16="http://schemas.microsoft.com/office/drawing/2014/main" id="{DEEF552B-A950-4154-BBDC-49462C6F74C2}"/>
            </a:ext>
          </a:extLst>
        </xdr:cNvPr>
        <xdr:cNvGrpSpPr>
          <a:grpSpLocks/>
        </xdr:cNvGrpSpPr>
      </xdr:nvGrpSpPr>
      <xdr:grpSpPr bwMode="auto">
        <a:xfrm flipH="1" flipV="1">
          <a:off x="3048000" y="5486400"/>
          <a:ext cx="304800" cy="742950"/>
          <a:chOff x="424" y="565"/>
          <a:chExt cx="32" cy="78"/>
        </a:xfrm>
      </xdr:grpSpPr>
      <xdr:sp macro="" textlink="">
        <xdr:nvSpPr>
          <xdr:cNvPr id="1155" name="Line 131">
            <a:extLst>
              <a:ext uri="{FF2B5EF4-FFF2-40B4-BE49-F238E27FC236}">
                <a16:creationId xmlns:a16="http://schemas.microsoft.com/office/drawing/2014/main" id="{53F38E28-8B5E-41CC-9970-57A9A6B66BA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6" name="Freeform 132">
            <a:extLst>
              <a:ext uri="{FF2B5EF4-FFF2-40B4-BE49-F238E27FC236}">
                <a16:creationId xmlns:a16="http://schemas.microsoft.com/office/drawing/2014/main" id="{5B0410E6-590C-4186-BA45-2AECDB6C2B60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7" name="Line 133">
            <a:extLst>
              <a:ext uri="{FF2B5EF4-FFF2-40B4-BE49-F238E27FC236}">
                <a16:creationId xmlns:a16="http://schemas.microsoft.com/office/drawing/2014/main" id="{47CCE4ED-F96C-4AD8-85CC-AE10E28E7F1E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58" name="Freeform 134">
            <a:extLst>
              <a:ext uri="{FF2B5EF4-FFF2-40B4-BE49-F238E27FC236}">
                <a16:creationId xmlns:a16="http://schemas.microsoft.com/office/drawing/2014/main" id="{CB1BC7EE-1221-45E7-9BC2-0B49C1BE31C1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59" name="Freeform 135">
            <a:extLst>
              <a:ext uri="{FF2B5EF4-FFF2-40B4-BE49-F238E27FC236}">
                <a16:creationId xmlns:a16="http://schemas.microsoft.com/office/drawing/2014/main" id="{DF1492A3-456D-455F-BDAE-F52433E989DA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0" name="Line 136">
            <a:extLst>
              <a:ext uri="{FF2B5EF4-FFF2-40B4-BE49-F238E27FC236}">
                <a16:creationId xmlns:a16="http://schemas.microsoft.com/office/drawing/2014/main" id="{0F1EB4F9-8B21-4889-AA34-25283080C54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1" name="Freeform 137">
            <a:extLst>
              <a:ext uri="{FF2B5EF4-FFF2-40B4-BE49-F238E27FC236}">
                <a16:creationId xmlns:a16="http://schemas.microsoft.com/office/drawing/2014/main" id="{199EDF63-E843-4EA1-BAE3-8E2BEDDCD4F7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40</xdr:col>
      <xdr:colOff>28575</xdr:colOff>
      <xdr:row>30</xdr:row>
      <xdr:rowOff>0</xdr:rowOff>
    </xdr:from>
    <xdr:to>
      <xdr:col>41</xdr:col>
      <xdr:colOff>0</xdr:colOff>
      <xdr:row>33</xdr:row>
      <xdr:rowOff>161925</xdr:rowOff>
    </xdr:to>
    <xdr:grpSp>
      <xdr:nvGrpSpPr>
        <xdr:cNvPr id="1162" name="Group 138">
          <a:extLst>
            <a:ext uri="{FF2B5EF4-FFF2-40B4-BE49-F238E27FC236}">
              <a16:creationId xmlns:a16="http://schemas.microsoft.com/office/drawing/2014/main" id="{06C5B44F-599E-49B0-A694-EBA095B67A5D}"/>
            </a:ext>
          </a:extLst>
        </xdr:cNvPr>
        <xdr:cNvGrpSpPr>
          <a:grpSpLocks/>
        </xdr:cNvGrpSpPr>
      </xdr:nvGrpSpPr>
      <xdr:grpSpPr bwMode="auto">
        <a:xfrm rot="5400000">
          <a:off x="3338512" y="5672138"/>
          <a:ext cx="733425" cy="57150"/>
          <a:chOff x="123" y="549"/>
          <a:chExt cx="77" cy="6"/>
        </a:xfrm>
      </xdr:grpSpPr>
      <xdr:sp macro="" textlink="">
        <xdr:nvSpPr>
          <xdr:cNvPr id="1163" name="Line 139">
            <a:extLst>
              <a:ext uri="{FF2B5EF4-FFF2-40B4-BE49-F238E27FC236}">
                <a16:creationId xmlns:a16="http://schemas.microsoft.com/office/drawing/2014/main" id="{C37F23B3-EBCB-4AF8-8714-7CCBF5B525A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4" name="Freeform 140">
            <a:extLst>
              <a:ext uri="{FF2B5EF4-FFF2-40B4-BE49-F238E27FC236}">
                <a16:creationId xmlns:a16="http://schemas.microsoft.com/office/drawing/2014/main" id="{6EFBC130-EBCE-4E35-9FF1-876B0CE7243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5" name="Freeform 141">
            <a:extLst>
              <a:ext uri="{FF2B5EF4-FFF2-40B4-BE49-F238E27FC236}">
                <a16:creationId xmlns:a16="http://schemas.microsoft.com/office/drawing/2014/main" id="{EE987B36-766E-4C8C-981A-F25784D9303F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29</xdr:col>
      <xdr:colOff>38100</xdr:colOff>
      <xdr:row>30</xdr:row>
      <xdr:rowOff>0</xdr:rowOff>
    </xdr:from>
    <xdr:to>
      <xdr:col>30</xdr:col>
      <xdr:colOff>9525</xdr:colOff>
      <xdr:row>33</xdr:row>
      <xdr:rowOff>161925</xdr:rowOff>
    </xdr:to>
    <xdr:grpSp>
      <xdr:nvGrpSpPr>
        <xdr:cNvPr id="1166" name="Group 142">
          <a:extLst>
            <a:ext uri="{FF2B5EF4-FFF2-40B4-BE49-F238E27FC236}">
              <a16:creationId xmlns:a16="http://schemas.microsoft.com/office/drawing/2014/main" id="{D8A45FE7-7E80-41D1-984A-D2D1AE63DC4D}"/>
            </a:ext>
          </a:extLst>
        </xdr:cNvPr>
        <xdr:cNvGrpSpPr>
          <a:grpSpLocks/>
        </xdr:cNvGrpSpPr>
      </xdr:nvGrpSpPr>
      <xdr:grpSpPr bwMode="auto">
        <a:xfrm rot="5400000">
          <a:off x="2405062" y="5672138"/>
          <a:ext cx="733425" cy="57150"/>
          <a:chOff x="123" y="549"/>
          <a:chExt cx="77" cy="6"/>
        </a:xfrm>
      </xdr:grpSpPr>
      <xdr:sp macro="" textlink="">
        <xdr:nvSpPr>
          <xdr:cNvPr id="1167" name="Line 143">
            <a:extLst>
              <a:ext uri="{FF2B5EF4-FFF2-40B4-BE49-F238E27FC236}">
                <a16:creationId xmlns:a16="http://schemas.microsoft.com/office/drawing/2014/main" id="{55123D15-6B10-46CA-A4E3-9D124B954D1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8" name="Freeform 144">
            <a:extLst>
              <a:ext uri="{FF2B5EF4-FFF2-40B4-BE49-F238E27FC236}">
                <a16:creationId xmlns:a16="http://schemas.microsoft.com/office/drawing/2014/main" id="{1E36D4BD-6CAC-467C-B405-F3623BE26AD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69" name="Freeform 145">
            <a:extLst>
              <a:ext uri="{FF2B5EF4-FFF2-40B4-BE49-F238E27FC236}">
                <a16:creationId xmlns:a16="http://schemas.microsoft.com/office/drawing/2014/main" id="{9101AEA3-43CC-43D5-849F-35B814C647FC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39</xdr:col>
      <xdr:colOff>28575</xdr:colOff>
      <xdr:row>29</xdr:row>
      <xdr:rowOff>9525</xdr:rowOff>
    </xdr:from>
    <xdr:to>
      <xdr:col>43</xdr:col>
      <xdr:colOff>38100</xdr:colOff>
      <xdr:row>29</xdr:row>
      <xdr:rowOff>171450</xdr:rowOff>
    </xdr:to>
    <xdr:sp macro="" textlink="">
      <xdr:nvSpPr>
        <xdr:cNvPr id="1170" name="Text Box 146">
          <a:extLst>
            <a:ext uri="{FF2B5EF4-FFF2-40B4-BE49-F238E27FC236}">
              <a16:creationId xmlns:a16="http://schemas.microsoft.com/office/drawing/2014/main" id="{393DBA77-C1F4-48D6-84C5-6F9EACE0D5AF}"/>
            </a:ext>
          </a:extLst>
        </xdr:cNvPr>
        <xdr:cNvSpPr txBox="1">
          <a:spLocks noChangeArrowheads="1"/>
        </xdr:cNvSpPr>
      </xdr:nvSpPr>
      <xdr:spPr bwMode="auto">
        <a:xfrm>
          <a:off x="3590925" y="51530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28</xdr:col>
      <xdr:colOff>38100</xdr:colOff>
      <xdr:row>29</xdr:row>
      <xdr:rowOff>19050</xdr:rowOff>
    </xdr:from>
    <xdr:to>
      <xdr:col>32</xdr:col>
      <xdr:colOff>47625</xdr:colOff>
      <xdr:row>29</xdr:row>
      <xdr:rowOff>180975</xdr:rowOff>
    </xdr:to>
    <xdr:sp macro="" textlink="">
      <xdr:nvSpPr>
        <xdr:cNvPr id="1171" name="Text Box 147">
          <a:extLst>
            <a:ext uri="{FF2B5EF4-FFF2-40B4-BE49-F238E27FC236}">
              <a16:creationId xmlns:a16="http://schemas.microsoft.com/office/drawing/2014/main" id="{3050FD9C-C390-4A6A-B745-5981C42DC739}"/>
            </a:ext>
          </a:extLst>
        </xdr:cNvPr>
        <xdr:cNvSpPr txBox="1">
          <a:spLocks noChangeArrowheads="1"/>
        </xdr:cNvSpPr>
      </xdr:nvSpPr>
      <xdr:spPr bwMode="auto">
        <a:xfrm>
          <a:off x="2657475" y="51625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38</xdr:col>
      <xdr:colOff>57150</xdr:colOff>
      <xdr:row>34</xdr:row>
      <xdr:rowOff>19050</xdr:rowOff>
    </xdr:from>
    <xdr:to>
      <xdr:col>42</xdr:col>
      <xdr:colOff>57150</xdr:colOff>
      <xdr:row>34</xdr:row>
      <xdr:rowOff>161925</xdr:rowOff>
    </xdr:to>
    <xdr:sp macro="" textlink="">
      <xdr:nvSpPr>
        <xdr:cNvPr id="1172" name="Text Box 148">
          <a:extLst>
            <a:ext uri="{FF2B5EF4-FFF2-40B4-BE49-F238E27FC236}">
              <a16:creationId xmlns:a16="http://schemas.microsoft.com/office/drawing/2014/main" id="{85ECB097-B01A-44A1-996C-CA5006D7BEBD}"/>
            </a:ext>
          </a:extLst>
        </xdr:cNvPr>
        <xdr:cNvSpPr txBox="1">
          <a:spLocks noChangeArrowheads="1"/>
        </xdr:cNvSpPr>
      </xdr:nvSpPr>
      <xdr:spPr bwMode="auto">
        <a:xfrm>
          <a:off x="3533775" y="6115050"/>
          <a:ext cx="342900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13.7m</a:t>
          </a:r>
        </a:p>
      </xdr:txBody>
    </xdr:sp>
    <xdr:clientData/>
  </xdr:twoCellAnchor>
  <xdr:twoCellAnchor>
    <xdr:from>
      <xdr:col>28</xdr:col>
      <xdr:colOff>0</xdr:colOff>
      <xdr:row>34</xdr:row>
      <xdr:rowOff>9525</xdr:rowOff>
    </xdr:from>
    <xdr:to>
      <xdr:col>32</xdr:col>
      <xdr:colOff>0</xdr:colOff>
      <xdr:row>34</xdr:row>
      <xdr:rowOff>152400</xdr:rowOff>
    </xdr:to>
    <xdr:sp macro="" textlink="">
      <xdr:nvSpPr>
        <xdr:cNvPr id="1173" name="Text Box 149">
          <a:extLst>
            <a:ext uri="{FF2B5EF4-FFF2-40B4-BE49-F238E27FC236}">
              <a16:creationId xmlns:a16="http://schemas.microsoft.com/office/drawing/2014/main" id="{BC79C23B-5ABC-43BF-9E0A-FB63BE2A625D}"/>
            </a:ext>
          </a:extLst>
        </xdr:cNvPr>
        <xdr:cNvSpPr txBox="1">
          <a:spLocks noChangeArrowheads="1"/>
        </xdr:cNvSpPr>
      </xdr:nvSpPr>
      <xdr:spPr bwMode="auto">
        <a:xfrm>
          <a:off x="2619375" y="6105525"/>
          <a:ext cx="342900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13.6m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96649C82-B895-426D-BDE8-8D596DDB6E36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6</xdr:col>
      <xdr:colOff>0</xdr:colOff>
      <xdr:row>16</xdr:row>
      <xdr:rowOff>114300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2AB62851-FC69-4462-A12F-FEB32D14860A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6286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17</xdr:row>
      <xdr:rowOff>47625</xdr:rowOff>
    </xdr:from>
    <xdr:to>
      <xdr:col>8</xdr:col>
      <xdr:colOff>304800</xdr:colOff>
      <xdr:row>17</xdr:row>
      <xdr:rowOff>190500</xdr:rowOff>
    </xdr:to>
    <xdr:sp macro="" textlink="">
      <xdr:nvSpPr>
        <xdr:cNvPr id="2051" name="Freeform 3">
          <a:extLst>
            <a:ext uri="{FF2B5EF4-FFF2-40B4-BE49-F238E27FC236}">
              <a16:creationId xmlns:a16="http://schemas.microsoft.com/office/drawing/2014/main" id="{D1D240E3-DFEA-401C-ABFB-26AB8DF07A65}"/>
            </a:ext>
          </a:extLst>
        </xdr:cNvPr>
        <xdr:cNvSpPr>
          <a:spLocks/>
        </xdr:cNvSpPr>
      </xdr:nvSpPr>
      <xdr:spPr bwMode="auto">
        <a:xfrm>
          <a:off x="2143125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47625</xdr:colOff>
      <xdr:row>16</xdr:row>
      <xdr:rowOff>38100</xdr:rowOff>
    </xdr:from>
    <xdr:to>
      <xdr:col>6</xdr:col>
      <xdr:colOff>266700</xdr:colOff>
      <xdr:row>16</xdr:row>
      <xdr:rowOff>190500</xdr:rowOff>
    </xdr:to>
    <xdr:grpSp>
      <xdr:nvGrpSpPr>
        <xdr:cNvPr id="2052" name="Group 4">
          <a:extLst>
            <a:ext uri="{FF2B5EF4-FFF2-40B4-BE49-F238E27FC236}">
              <a16:creationId xmlns:a16="http://schemas.microsoft.com/office/drawing/2014/main" id="{1A50755A-3AA4-47AE-BCBC-3482BC592002}"/>
            </a:ext>
          </a:extLst>
        </xdr:cNvPr>
        <xdr:cNvGrpSpPr>
          <a:grpSpLocks/>
        </xdr:cNvGrpSpPr>
      </xdr:nvGrpSpPr>
      <xdr:grpSpPr bwMode="auto">
        <a:xfrm>
          <a:off x="1552575" y="6734175"/>
          <a:ext cx="219075" cy="152400"/>
          <a:chOff x="132" y="708"/>
          <a:chExt cx="20" cy="14"/>
        </a:xfrm>
      </xdr:grpSpPr>
      <xdr:sp macro="" textlink="">
        <xdr:nvSpPr>
          <xdr:cNvPr id="2053" name="Line 5">
            <a:extLst>
              <a:ext uri="{FF2B5EF4-FFF2-40B4-BE49-F238E27FC236}">
                <a16:creationId xmlns:a16="http://schemas.microsoft.com/office/drawing/2014/main" id="{448CE67D-C34A-417E-8B3E-CA3CD62AC2FC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4" name="Line 6">
            <a:extLst>
              <a:ext uri="{FF2B5EF4-FFF2-40B4-BE49-F238E27FC236}">
                <a16:creationId xmlns:a16="http://schemas.microsoft.com/office/drawing/2014/main" id="{3AF2E4B7-BFF4-485A-BC48-6C80FB8459F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5" name="Line 7">
            <a:extLst>
              <a:ext uri="{FF2B5EF4-FFF2-40B4-BE49-F238E27FC236}">
                <a16:creationId xmlns:a16="http://schemas.microsoft.com/office/drawing/2014/main" id="{C9851F09-D74C-4F1C-AB2F-EA0EB571D65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6" name="Line 8">
            <a:extLst>
              <a:ext uri="{FF2B5EF4-FFF2-40B4-BE49-F238E27FC236}">
                <a16:creationId xmlns:a16="http://schemas.microsoft.com/office/drawing/2014/main" id="{20ACA22B-5D16-4659-9BF8-AD658F2DC81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16</xdr:row>
      <xdr:rowOff>95250</xdr:rowOff>
    </xdr:from>
    <xdr:to>
      <xdr:col>15</xdr:col>
      <xdr:colOff>0</xdr:colOff>
      <xdr:row>16</xdr:row>
      <xdr:rowOff>142875</xdr:rowOff>
    </xdr:to>
    <xdr:grpSp>
      <xdr:nvGrpSpPr>
        <xdr:cNvPr id="2057" name="Group 9">
          <a:extLst>
            <a:ext uri="{FF2B5EF4-FFF2-40B4-BE49-F238E27FC236}">
              <a16:creationId xmlns:a16="http://schemas.microsoft.com/office/drawing/2014/main" id="{51925E27-1B69-46DC-BD90-9C123AFDBA4A}"/>
            </a:ext>
          </a:extLst>
        </xdr:cNvPr>
        <xdr:cNvGrpSpPr>
          <a:grpSpLocks/>
        </xdr:cNvGrpSpPr>
      </xdr:nvGrpSpPr>
      <xdr:grpSpPr bwMode="auto">
        <a:xfrm>
          <a:off x="1819275" y="6791325"/>
          <a:ext cx="2514600" cy="47625"/>
          <a:chOff x="158" y="715"/>
          <a:chExt cx="33" cy="5"/>
        </a:xfrm>
      </xdr:grpSpPr>
      <xdr:sp macro="" textlink="">
        <xdr:nvSpPr>
          <xdr:cNvPr id="2058" name="Line 10">
            <a:extLst>
              <a:ext uri="{FF2B5EF4-FFF2-40B4-BE49-F238E27FC236}">
                <a16:creationId xmlns:a16="http://schemas.microsoft.com/office/drawing/2014/main" id="{DE2A73AF-0A5C-4808-B88E-5D659DFD164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9" name="Line 11">
            <a:extLst>
              <a:ext uri="{FF2B5EF4-FFF2-40B4-BE49-F238E27FC236}">
                <a16:creationId xmlns:a16="http://schemas.microsoft.com/office/drawing/2014/main" id="{D62518BE-6DD7-4684-BFCB-AA32085CD20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8</xdr:col>
      <xdr:colOff>0</xdr:colOff>
      <xdr:row>17</xdr:row>
      <xdr:rowOff>123825</xdr:rowOff>
    </xdr:to>
    <xdr:sp macro="" textlink="">
      <xdr:nvSpPr>
        <xdr:cNvPr id="2060" name="Line 12">
          <a:extLst>
            <a:ext uri="{FF2B5EF4-FFF2-40B4-BE49-F238E27FC236}">
              <a16:creationId xmlns:a16="http://schemas.microsoft.com/office/drawing/2014/main" id="{3A00F5D4-5DA7-42FC-B153-6C78220EF851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1257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17</xdr:row>
      <xdr:rowOff>104775</xdr:rowOff>
    </xdr:from>
    <xdr:to>
      <xdr:col>15</xdr:col>
      <xdr:colOff>0</xdr:colOff>
      <xdr:row>17</xdr:row>
      <xdr:rowOff>152400</xdr:rowOff>
    </xdr:to>
    <xdr:grpSp>
      <xdr:nvGrpSpPr>
        <xdr:cNvPr id="2061" name="Group 13">
          <a:extLst>
            <a:ext uri="{FF2B5EF4-FFF2-40B4-BE49-F238E27FC236}">
              <a16:creationId xmlns:a16="http://schemas.microsoft.com/office/drawing/2014/main" id="{625FB5C3-ED92-4BA9-838C-B5F559FD0C24}"/>
            </a:ext>
          </a:extLst>
        </xdr:cNvPr>
        <xdr:cNvGrpSpPr>
          <a:grpSpLocks/>
        </xdr:cNvGrpSpPr>
      </xdr:nvGrpSpPr>
      <xdr:grpSpPr bwMode="auto">
        <a:xfrm>
          <a:off x="2447925" y="7029450"/>
          <a:ext cx="1885950" cy="47625"/>
          <a:chOff x="158" y="715"/>
          <a:chExt cx="33" cy="5"/>
        </a:xfrm>
      </xdr:grpSpPr>
      <xdr:sp macro="" textlink="">
        <xdr:nvSpPr>
          <xdr:cNvPr id="2062" name="Line 14">
            <a:extLst>
              <a:ext uri="{FF2B5EF4-FFF2-40B4-BE49-F238E27FC236}">
                <a16:creationId xmlns:a16="http://schemas.microsoft.com/office/drawing/2014/main" id="{4AC862D3-D393-45CA-A62C-A34BAEBED85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3" name="Line 15">
            <a:extLst>
              <a:ext uri="{FF2B5EF4-FFF2-40B4-BE49-F238E27FC236}">
                <a16:creationId xmlns:a16="http://schemas.microsoft.com/office/drawing/2014/main" id="{D8391CF9-1C88-40D0-9F1B-6B89FF8763C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19</xdr:row>
      <xdr:rowOff>47625</xdr:rowOff>
    </xdr:from>
    <xdr:to>
      <xdr:col>13</xdr:col>
      <xdr:colOff>304800</xdr:colOff>
      <xdr:row>19</xdr:row>
      <xdr:rowOff>190500</xdr:rowOff>
    </xdr:to>
    <xdr:sp macro="" textlink="">
      <xdr:nvSpPr>
        <xdr:cNvPr id="2064" name="Freeform 16">
          <a:extLst>
            <a:ext uri="{FF2B5EF4-FFF2-40B4-BE49-F238E27FC236}">
              <a16:creationId xmlns:a16="http://schemas.microsoft.com/office/drawing/2014/main" id="{FB07984A-D911-45F9-AE8D-6ECC737F4C24}"/>
            </a:ext>
          </a:extLst>
        </xdr:cNvPr>
        <xdr:cNvSpPr>
          <a:spLocks/>
        </xdr:cNvSpPr>
      </xdr:nvSpPr>
      <xdr:spPr bwMode="auto">
        <a:xfrm>
          <a:off x="3714750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47625</xdr:colOff>
      <xdr:row>18</xdr:row>
      <xdr:rowOff>47625</xdr:rowOff>
    </xdr:from>
    <xdr:to>
      <xdr:col>11</xdr:col>
      <xdr:colOff>266700</xdr:colOff>
      <xdr:row>18</xdr:row>
      <xdr:rowOff>200025</xdr:rowOff>
    </xdr:to>
    <xdr:grpSp>
      <xdr:nvGrpSpPr>
        <xdr:cNvPr id="2065" name="Group 17">
          <a:extLst>
            <a:ext uri="{FF2B5EF4-FFF2-40B4-BE49-F238E27FC236}">
              <a16:creationId xmlns:a16="http://schemas.microsoft.com/office/drawing/2014/main" id="{AEFEC3E0-C0F3-42D4-8FF1-CADA4730EE6D}"/>
            </a:ext>
          </a:extLst>
        </xdr:cNvPr>
        <xdr:cNvGrpSpPr>
          <a:grpSpLocks/>
        </xdr:cNvGrpSpPr>
      </xdr:nvGrpSpPr>
      <xdr:grpSpPr bwMode="auto">
        <a:xfrm>
          <a:off x="3124200" y="7200900"/>
          <a:ext cx="219075" cy="152400"/>
          <a:chOff x="132" y="708"/>
          <a:chExt cx="20" cy="14"/>
        </a:xfrm>
      </xdr:grpSpPr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F7B81518-16B6-4CB6-AD17-427796CCE75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Line 19">
            <a:extLst>
              <a:ext uri="{FF2B5EF4-FFF2-40B4-BE49-F238E27FC236}">
                <a16:creationId xmlns:a16="http://schemas.microsoft.com/office/drawing/2014/main" id="{E10E791E-DA33-4EF2-B0E6-059663D48A0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8" name="Line 20">
            <a:extLst>
              <a:ext uri="{FF2B5EF4-FFF2-40B4-BE49-F238E27FC236}">
                <a16:creationId xmlns:a16="http://schemas.microsoft.com/office/drawing/2014/main" id="{85E932BA-18A2-478B-8F8F-DD6A5445AA4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717CC550-8112-4DDF-AABF-46FEE297173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18</xdr:row>
      <xdr:rowOff>95250</xdr:rowOff>
    </xdr:from>
    <xdr:to>
      <xdr:col>15</xdr:col>
      <xdr:colOff>0</xdr:colOff>
      <xdr:row>18</xdr:row>
      <xdr:rowOff>142875</xdr:rowOff>
    </xdr:to>
    <xdr:grpSp>
      <xdr:nvGrpSpPr>
        <xdr:cNvPr id="2070" name="Group 22">
          <a:extLst>
            <a:ext uri="{FF2B5EF4-FFF2-40B4-BE49-F238E27FC236}">
              <a16:creationId xmlns:a16="http://schemas.microsoft.com/office/drawing/2014/main" id="{6D3E652F-C797-4145-97B1-7043D1134413}"/>
            </a:ext>
          </a:extLst>
        </xdr:cNvPr>
        <xdr:cNvGrpSpPr>
          <a:grpSpLocks/>
        </xdr:cNvGrpSpPr>
      </xdr:nvGrpSpPr>
      <xdr:grpSpPr bwMode="auto">
        <a:xfrm>
          <a:off x="3390900" y="7248525"/>
          <a:ext cx="942975" cy="47625"/>
          <a:chOff x="158" y="715"/>
          <a:chExt cx="33" cy="5"/>
        </a:xfrm>
      </xdr:grpSpPr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30EE9437-D75C-4E5B-9E35-29E2007E401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Line 24">
            <a:extLst>
              <a:ext uri="{FF2B5EF4-FFF2-40B4-BE49-F238E27FC236}">
                <a16:creationId xmlns:a16="http://schemas.microsoft.com/office/drawing/2014/main" id="{83E51576-374A-4935-A2DD-EDEED35D4BE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19</xdr:row>
      <xdr:rowOff>95250</xdr:rowOff>
    </xdr:from>
    <xdr:to>
      <xdr:col>15</xdr:col>
      <xdr:colOff>0</xdr:colOff>
      <xdr:row>19</xdr:row>
      <xdr:rowOff>142875</xdr:rowOff>
    </xdr:to>
    <xdr:grpSp>
      <xdr:nvGrpSpPr>
        <xdr:cNvPr id="2073" name="Group 25">
          <a:extLst>
            <a:ext uri="{FF2B5EF4-FFF2-40B4-BE49-F238E27FC236}">
              <a16:creationId xmlns:a16="http://schemas.microsoft.com/office/drawing/2014/main" id="{8BD58FE7-2E56-45CB-A38B-ABA950940837}"/>
            </a:ext>
          </a:extLst>
        </xdr:cNvPr>
        <xdr:cNvGrpSpPr>
          <a:grpSpLocks/>
        </xdr:cNvGrpSpPr>
      </xdr:nvGrpSpPr>
      <xdr:grpSpPr bwMode="auto">
        <a:xfrm>
          <a:off x="4019550" y="7477125"/>
          <a:ext cx="314325" cy="47625"/>
          <a:chOff x="158" y="715"/>
          <a:chExt cx="33" cy="5"/>
        </a:xfrm>
      </xdr:grpSpPr>
      <xdr:sp macro="" textlink="">
        <xdr:nvSpPr>
          <xdr:cNvPr id="2074" name="Line 26">
            <a:extLst>
              <a:ext uri="{FF2B5EF4-FFF2-40B4-BE49-F238E27FC236}">
                <a16:creationId xmlns:a16="http://schemas.microsoft.com/office/drawing/2014/main" id="{593B9338-AEEB-4D52-A3CD-881D344F8EC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F881EB7D-6575-4421-81F2-6F5351B98C9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10</xdr:col>
      <xdr:colOff>0</xdr:colOff>
      <xdr:row>18</xdr:row>
      <xdr:rowOff>142875</xdr:rowOff>
    </xdr:to>
    <xdr:grpSp>
      <xdr:nvGrpSpPr>
        <xdr:cNvPr id="2076" name="Group 28">
          <a:extLst>
            <a:ext uri="{FF2B5EF4-FFF2-40B4-BE49-F238E27FC236}">
              <a16:creationId xmlns:a16="http://schemas.microsoft.com/office/drawing/2014/main" id="{24AF44B3-53AE-453A-8AA6-2240C4C66B1E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885950" cy="47625"/>
          <a:chOff x="158" y="715"/>
          <a:chExt cx="33" cy="5"/>
        </a:xfrm>
      </xdr:grpSpPr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944BEB1C-0005-430C-BDD5-2E901436C91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Line 30">
            <a:extLst>
              <a:ext uri="{FF2B5EF4-FFF2-40B4-BE49-F238E27FC236}">
                <a16:creationId xmlns:a16="http://schemas.microsoft.com/office/drawing/2014/main" id="{F18B35B0-C5E5-4513-9B28-59C92C57A42A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18</xdr:row>
      <xdr:rowOff>123825</xdr:rowOff>
    </xdr:from>
    <xdr:to>
      <xdr:col>11</xdr:col>
      <xdr:colOff>0</xdr:colOff>
      <xdr:row>18</xdr:row>
      <xdr:rowOff>123825</xdr:rowOff>
    </xdr:to>
    <xdr:sp macro="" textlink="">
      <xdr:nvSpPr>
        <xdr:cNvPr id="2079" name="Line 31">
          <a:extLst>
            <a:ext uri="{FF2B5EF4-FFF2-40B4-BE49-F238E27FC236}">
              <a16:creationId xmlns:a16="http://schemas.microsoft.com/office/drawing/2014/main" id="{4FB1834E-E366-4FF9-A5B2-98E45AACF1D4}"/>
            </a:ext>
          </a:extLst>
        </xdr:cNvPr>
        <xdr:cNvSpPr>
          <a:spLocks noChangeShapeType="1"/>
        </xdr:cNvSpPr>
      </xdr:nvSpPr>
      <xdr:spPr bwMode="auto">
        <a:xfrm>
          <a:off x="2762250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19</xdr:row>
      <xdr:rowOff>123825</xdr:rowOff>
    </xdr:from>
    <xdr:to>
      <xdr:col>13</xdr:col>
      <xdr:colOff>0</xdr:colOff>
      <xdr:row>19</xdr:row>
      <xdr:rowOff>123825</xdr:rowOff>
    </xdr:to>
    <xdr:sp macro="" textlink="">
      <xdr:nvSpPr>
        <xdr:cNvPr id="2080" name="Line 32">
          <a:extLst>
            <a:ext uri="{FF2B5EF4-FFF2-40B4-BE49-F238E27FC236}">
              <a16:creationId xmlns:a16="http://schemas.microsoft.com/office/drawing/2014/main" id="{468C778D-1910-48E2-81D1-58EE07F4DE13}"/>
            </a:ext>
          </a:extLst>
        </xdr:cNvPr>
        <xdr:cNvSpPr>
          <a:spLocks noChangeShapeType="1"/>
        </xdr:cNvSpPr>
      </xdr:nvSpPr>
      <xdr:spPr bwMode="auto">
        <a:xfrm>
          <a:off x="2762250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10</xdr:col>
      <xdr:colOff>0</xdr:colOff>
      <xdr:row>19</xdr:row>
      <xdr:rowOff>142875</xdr:rowOff>
    </xdr:to>
    <xdr:grpSp>
      <xdr:nvGrpSpPr>
        <xdr:cNvPr id="2081" name="Group 33">
          <a:extLst>
            <a:ext uri="{FF2B5EF4-FFF2-40B4-BE49-F238E27FC236}">
              <a16:creationId xmlns:a16="http://schemas.microsoft.com/office/drawing/2014/main" id="{E947F84A-F298-4FAD-8150-C3E4B3DF11AD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885950" cy="47625"/>
          <a:chOff x="158" y="715"/>
          <a:chExt cx="33" cy="5"/>
        </a:xfrm>
      </xdr:grpSpPr>
      <xdr:sp macro="" textlink="">
        <xdr:nvSpPr>
          <xdr:cNvPr id="2082" name="Line 34">
            <a:extLst>
              <a:ext uri="{FF2B5EF4-FFF2-40B4-BE49-F238E27FC236}">
                <a16:creationId xmlns:a16="http://schemas.microsoft.com/office/drawing/2014/main" id="{ACE27818-9E03-4297-B10B-294536E3E1F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717E41AB-6DB1-4192-9A52-69E251FDD9D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257175</xdr:colOff>
      <xdr:row>6</xdr:row>
      <xdr:rowOff>76200</xdr:rowOff>
    </xdr:from>
    <xdr:to>
      <xdr:col>6</xdr:col>
      <xdr:colOff>190500</xdr:colOff>
      <xdr:row>7</xdr:row>
      <xdr:rowOff>1562100</xdr:rowOff>
    </xdr:to>
    <xdr:sp macro="" textlink="">
      <xdr:nvSpPr>
        <xdr:cNvPr id="2084" name="Text Box 36">
          <a:extLst>
            <a:ext uri="{FF2B5EF4-FFF2-40B4-BE49-F238E27FC236}">
              <a16:creationId xmlns:a16="http://schemas.microsoft.com/office/drawing/2014/main" id="{12923550-BDFC-4396-B286-3AA8C05379CA}"/>
            </a:ext>
          </a:extLst>
        </xdr:cNvPr>
        <xdr:cNvSpPr txBox="1">
          <a:spLocks noChangeArrowheads="1"/>
        </xdr:cNvSpPr>
      </xdr:nvSpPr>
      <xdr:spPr bwMode="auto">
        <a:xfrm>
          <a:off x="1447800" y="1485900"/>
          <a:ext cx="247650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赤坂バイパス東口</a:t>
          </a:r>
        </a:p>
      </xdr:txBody>
    </xdr:sp>
    <xdr:clientData/>
  </xdr:twoCellAnchor>
  <xdr:twoCellAnchor>
    <xdr:from>
      <xdr:col>18</xdr:col>
      <xdr:colOff>171450</xdr:colOff>
      <xdr:row>5</xdr:row>
      <xdr:rowOff>180975</xdr:rowOff>
    </xdr:from>
    <xdr:to>
      <xdr:col>19</xdr:col>
      <xdr:colOff>104775</xdr:colOff>
      <xdr:row>7</xdr:row>
      <xdr:rowOff>1200150</xdr:rowOff>
    </xdr:to>
    <xdr:sp macro="" textlink="">
      <xdr:nvSpPr>
        <xdr:cNvPr id="2085" name="Text Box 37">
          <a:extLst>
            <a:ext uri="{FF2B5EF4-FFF2-40B4-BE49-F238E27FC236}">
              <a16:creationId xmlns:a16="http://schemas.microsoft.com/office/drawing/2014/main" id="{BCF800B4-D74F-4F95-9C2E-E49AC7AEB496}"/>
            </a:ext>
          </a:extLst>
        </xdr:cNvPr>
        <xdr:cNvSpPr txBox="1">
          <a:spLocks noChangeArrowheads="1"/>
        </xdr:cNvSpPr>
      </xdr:nvSpPr>
      <xdr:spPr bwMode="auto">
        <a:xfrm>
          <a:off x="5448300" y="1362075"/>
          <a:ext cx="24765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神島橋</a:t>
          </a:r>
        </a:p>
      </xdr:txBody>
    </xdr:sp>
    <xdr:clientData/>
  </xdr:twoCellAnchor>
  <xdr:twoCellAnchor>
    <xdr:from>
      <xdr:col>0</xdr:col>
      <xdr:colOff>76200</xdr:colOff>
      <xdr:row>10</xdr:row>
      <xdr:rowOff>133350</xdr:rowOff>
    </xdr:from>
    <xdr:to>
      <xdr:col>6</xdr:col>
      <xdr:colOff>200025</xdr:colOff>
      <xdr:row>13</xdr:row>
      <xdr:rowOff>28575</xdr:rowOff>
    </xdr:to>
    <xdr:sp macro="" textlink="">
      <xdr:nvSpPr>
        <xdr:cNvPr id="2086" name="Text Box 38">
          <a:extLst>
            <a:ext uri="{FF2B5EF4-FFF2-40B4-BE49-F238E27FC236}">
              <a16:creationId xmlns:a16="http://schemas.microsoft.com/office/drawing/2014/main" id="{EA43EFC8-7F8D-49D1-AF41-0B59271E8F9F}"/>
            </a:ext>
          </a:extLst>
        </xdr:cNvPr>
        <xdr:cNvSpPr txBox="1">
          <a:spLocks noChangeArrowheads="1"/>
        </xdr:cNvSpPr>
      </xdr:nvSpPr>
      <xdr:spPr bwMode="auto">
        <a:xfrm>
          <a:off x="76200" y="4105275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連動基板／端子</a:t>
          </a:r>
        </a:p>
      </xdr:txBody>
    </xdr:sp>
    <xdr:clientData/>
  </xdr:twoCellAnchor>
  <xdr:twoCellAnchor editAs="oneCell">
    <xdr:from>
      <xdr:col>6</xdr:col>
      <xdr:colOff>238125</xdr:colOff>
      <xdr:row>5</xdr:row>
      <xdr:rowOff>190500</xdr:rowOff>
    </xdr:from>
    <xdr:to>
      <xdr:col>18</xdr:col>
      <xdr:colOff>133350</xdr:colOff>
      <xdr:row>8</xdr:row>
      <xdr:rowOff>171450</xdr:rowOff>
    </xdr:to>
    <xdr:pic>
      <xdr:nvPicPr>
        <xdr:cNvPr id="2087" name="Picture 39">
          <a:extLst>
            <a:ext uri="{FF2B5EF4-FFF2-40B4-BE49-F238E27FC236}">
              <a16:creationId xmlns:a16="http://schemas.microsoft.com/office/drawing/2014/main" id="{BE90C4C0-B0EF-428B-883D-D194E3A72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1371600"/>
          <a:ext cx="3667125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247650</xdr:colOff>
      <xdr:row>2</xdr:row>
      <xdr:rowOff>114300</xdr:rowOff>
    </xdr:from>
    <xdr:to>
      <xdr:col>23</xdr:col>
      <xdr:colOff>0</xdr:colOff>
      <xdr:row>5</xdr:row>
      <xdr:rowOff>123825</xdr:rowOff>
    </xdr:to>
    <xdr:pic>
      <xdr:nvPicPr>
        <xdr:cNvPr id="2088" name="Picture 40">
          <a:extLst>
            <a:ext uri="{FF2B5EF4-FFF2-40B4-BE49-F238E27FC236}">
              <a16:creationId xmlns:a16="http://schemas.microsoft.com/office/drawing/2014/main" id="{93C5B96B-ED52-4CD0-8204-1DA0C8CC0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09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161925</xdr:colOff>
      <xdr:row>15</xdr:row>
      <xdr:rowOff>1285875</xdr:rowOff>
    </xdr:from>
    <xdr:to>
      <xdr:col>7</xdr:col>
      <xdr:colOff>190500</xdr:colOff>
      <xdr:row>15</xdr:row>
      <xdr:rowOff>1428750</xdr:rowOff>
    </xdr:to>
    <xdr:sp macro="" textlink="">
      <xdr:nvSpPr>
        <xdr:cNvPr id="2089" name="Text Box 41">
          <a:extLst>
            <a:ext uri="{FF2B5EF4-FFF2-40B4-BE49-F238E27FC236}">
              <a16:creationId xmlns:a16="http://schemas.microsoft.com/office/drawing/2014/main" id="{69E7BD18-0AF3-4403-837B-0BF23CBF2EA3}"/>
            </a:ext>
          </a:extLst>
        </xdr:cNvPr>
        <xdr:cNvSpPr txBox="1">
          <a:spLocks noChangeArrowheads="1"/>
        </xdr:cNvSpPr>
      </xdr:nvSpPr>
      <xdr:spPr bwMode="auto">
        <a:xfrm>
          <a:off x="1666875" y="6400800"/>
          <a:ext cx="342900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11.0m</a:t>
          </a:r>
        </a:p>
      </xdr:txBody>
    </xdr:sp>
    <xdr:clientData/>
  </xdr:twoCellAnchor>
  <xdr:twoCellAnchor>
    <xdr:from>
      <xdr:col>5</xdr:col>
      <xdr:colOff>266700</xdr:colOff>
      <xdr:row>15</xdr:row>
      <xdr:rowOff>1209675</xdr:rowOff>
    </xdr:from>
    <xdr:to>
      <xdr:col>8</xdr:col>
      <xdr:colOff>57150</xdr:colOff>
      <xdr:row>15</xdr:row>
      <xdr:rowOff>1266825</xdr:rowOff>
    </xdr:to>
    <xdr:grpSp>
      <xdr:nvGrpSpPr>
        <xdr:cNvPr id="2090" name="Group 42">
          <a:extLst>
            <a:ext uri="{FF2B5EF4-FFF2-40B4-BE49-F238E27FC236}">
              <a16:creationId xmlns:a16="http://schemas.microsoft.com/office/drawing/2014/main" id="{A4359E3F-FA0F-4736-9395-CEF6532BDAB2}"/>
            </a:ext>
          </a:extLst>
        </xdr:cNvPr>
        <xdr:cNvGrpSpPr>
          <a:grpSpLocks/>
        </xdr:cNvGrpSpPr>
      </xdr:nvGrpSpPr>
      <xdr:grpSpPr bwMode="auto">
        <a:xfrm>
          <a:off x="1457325" y="6324600"/>
          <a:ext cx="733425" cy="57150"/>
          <a:chOff x="123" y="549"/>
          <a:chExt cx="77" cy="6"/>
        </a:xfrm>
      </xdr:grpSpPr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F8B4EBD3-94D5-4119-877B-BE602E2F7AB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Freeform 44">
            <a:extLst>
              <a:ext uri="{FF2B5EF4-FFF2-40B4-BE49-F238E27FC236}">
                <a16:creationId xmlns:a16="http://schemas.microsoft.com/office/drawing/2014/main" id="{1B82F320-5656-4FDB-8AF9-66C5504523C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3" name="Freeform 45">
            <a:extLst>
              <a:ext uri="{FF2B5EF4-FFF2-40B4-BE49-F238E27FC236}">
                <a16:creationId xmlns:a16="http://schemas.microsoft.com/office/drawing/2014/main" id="{850E7908-6E37-4338-9FF0-D51DAA356E6C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295275</xdr:colOff>
      <xdr:row>15</xdr:row>
      <xdr:rowOff>381000</xdr:rowOff>
    </xdr:from>
    <xdr:to>
      <xdr:col>11</xdr:col>
      <xdr:colOff>38100</xdr:colOff>
      <xdr:row>15</xdr:row>
      <xdr:rowOff>1114425</xdr:rowOff>
    </xdr:to>
    <xdr:grpSp>
      <xdr:nvGrpSpPr>
        <xdr:cNvPr id="2094" name="Group 46">
          <a:extLst>
            <a:ext uri="{FF2B5EF4-FFF2-40B4-BE49-F238E27FC236}">
              <a16:creationId xmlns:a16="http://schemas.microsoft.com/office/drawing/2014/main" id="{F3716179-CE3C-40E9-9BAE-A4282FE2ECD3}"/>
            </a:ext>
          </a:extLst>
        </xdr:cNvPr>
        <xdr:cNvGrpSpPr>
          <a:grpSpLocks/>
        </xdr:cNvGrpSpPr>
      </xdr:nvGrpSpPr>
      <xdr:grpSpPr bwMode="auto">
        <a:xfrm rot="5400000">
          <a:off x="2719387" y="5834063"/>
          <a:ext cx="733425" cy="57150"/>
          <a:chOff x="123" y="549"/>
          <a:chExt cx="77" cy="6"/>
        </a:xfrm>
      </xdr:grpSpPr>
      <xdr:sp macro="" textlink="">
        <xdr:nvSpPr>
          <xdr:cNvPr id="2095" name="Line 47">
            <a:extLst>
              <a:ext uri="{FF2B5EF4-FFF2-40B4-BE49-F238E27FC236}">
                <a16:creationId xmlns:a16="http://schemas.microsoft.com/office/drawing/2014/main" id="{705756EC-3A3A-4C51-BE6F-45A4FDCD872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6" name="Freeform 48">
            <a:extLst>
              <a:ext uri="{FF2B5EF4-FFF2-40B4-BE49-F238E27FC236}">
                <a16:creationId xmlns:a16="http://schemas.microsoft.com/office/drawing/2014/main" id="{142EFCB7-57F1-419C-B13A-CE9FF9E7D738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7" name="Freeform 49">
            <a:extLst>
              <a:ext uri="{FF2B5EF4-FFF2-40B4-BE49-F238E27FC236}">
                <a16:creationId xmlns:a16="http://schemas.microsoft.com/office/drawing/2014/main" id="{9FB8E3A1-F562-44B6-A6C5-4B394E160A74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142875</xdr:colOff>
      <xdr:row>15</xdr:row>
      <xdr:rowOff>581025</xdr:rowOff>
    </xdr:from>
    <xdr:to>
      <xdr:col>8</xdr:col>
      <xdr:colOff>200025</xdr:colOff>
      <xdr:row>15</xdr:row>
      <xdr:rowOff>762000</xdr:rowOff>
    </xdr:to>
    <xdr:grpSp>
      <xdr:nvGrpSpPr>
        <xdr:cNvPr id="2098" name="Group 50">
          <a:extLst>
            <a:ext uri="{FF2B5EF4-FFF2-40B4-BE49-F238E27FC236}">
              <a16:creationId xmlns:a16="http://schemas.microsoft.com/office/drawing/2014/main" id="{8BAE4146-02D4-49E9-9521-422B7237CF75}"/>
            </a:ext>
          </a:extLst>
        </xdr:cNvPr>
        <xdr:cNvGrpSpPr>
          <a:grpSpLocks/>
        </xdr:cNvGrpSpPr>
      </xdr:nvGrpSpPr>
      <xdr:grpSpPr bwMode="auto">
        <a:xfrm>
          <a:off x="1333500" y="5695950"/>
          <a:ext cx="1000125" cy="180975"/>
          <a:chOff x="140" y="598"/>
          <a:chExt cx="105" cy="19"/>
        </a:xfrm>
      </xdr:grpSpPr>
      <xdr:sp macro="" textlink="">
        <xdr:nvSpPr>
          <xdr:cNvPr id="2099" name="Line 51">
            <a:extLst>
              <a:ext uri="{FF2B5EF4-FFF2-40B4-BE49-F238E27FC236}">
                <a16:creationId xmlns:a16="http://schemas.microsoft.com/office/drawing/2014/main" id="{9B8642FD-3514-4C3A-B20C-556DE31E2DEB}"/>
              </a:ext>
            </a:extLst>
          </xdr:cNvPr>
          <xdr:cNvSpPr>
            <a:spLocks noChangeShapeType="1"/>
          </xdr:cNvSpPr>
        </xdr:nvSpPr>
        <xdr:spPr bwMode="auto">
          <a:xfrm>
            <a:off x="140" y="60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0" name="Freeform 52">
            <a:extLst>
              <a:ext uri="{FF2B5EF4-FFF2-40B4-BE49-F238E27FC236}">
                <a16:creationId xmlns:a16="http://schemas.microsoft.com/office/drawing/2014/main" id="{F755DAAF-1A55-46E2-A18D-4FA4B1A66C97}"/>
              </a:ext>
            </a:extLst>
          </xdr:cNvPr>
          <xdr:cNvSpPr>
            <a:spLocks/>
          </xdr:cNvSpPr>
        </xdr:nvSpPr>
        <xdr:spPr bwMode="auto">
          <a:xfrm>
            <a:off x="238" y="59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1" name="Freeform 53">
            <a:extLst>
              <a:ext uri="{FF2B5EF4-FFF2-40B4-BE49-F238E27FC236}">
                <a16:creationId xmlns:a16="http://schemas.microsoft.com/office/drawing/2014/main" id="{BD1590D3-419A-4AE3-888B-73400B2E1DB3}"/>
              </a:ext>
            </a:extLst>
          </xdr:cNvPr>
          <xdr:cNvSpPr>
            <a:spLocks/>
          </xdr:cNvSpPr>
        </xdr:nvSpPr>
        <xdr:spPr bwMode="auto">
          <a:xfrm>
            <a:off x="175" y="60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2" name="Line 54">
            <a:extLst>
              <a:ext uri="{FF2B5EF4-FFF2-40B4-BE49-F238E27FC236}">
                <a16:creationId xmlns:a16="http://schemas.microsoft.com/office/drawing/2014/main" id="{C69F3EFD-4C94-420C-8FB1-BC182954AAFB}"/>
              </a:ext>
            </a:extLst>
          </xdr:cNvPr>
          <xdr:cNvSpPr>
            <a:spLocks noChangeShapeType="1"/>
          </xdr:cNvSpPr>
        </xdr:nvSpPr>
        <xdr:spPr bwMode="auto">
          <a:xfrm>
            <a:off x="183" y="60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3" name="Freeform 55">
            <a:extLst>
              <a:ext uri="{FF2B5EF4-FFF2-40B4-BE49-F238E27FC236}">
                <a16:creationId xmlns:a16="http://schemas.microsoft.com/office/drawing/2014/main" id="{42C4B244-FF59-491C-AE33-D488CEDF9F56}"/>
              </a:ext>
            </a:extLst>
          </xdr:cNvPr>
          <xdr:cNvSpPr>
            <a:spLocks/>
          </xdr:cNvSpPr>
        </xdr:nvSpPr>
        <xdr:spPr bwMode="auto">
          <a:xfrm>
            <a:off x="179" y="610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133350</xdr:colOff>
      <xdr:row>15</xdr:row>
      <xdr:rowOff>942975</xdr:rowOff>
    </xdr:from>
    <xdr:to>
      <xdr:col>8</xdr:col>
      <xdr:colOff>200025</xdr:colOff>
      <xdr:row>15</xdr:row>
      <xdr:rowOff>1123950</xdr:rowOff>
    </xdr:to>
    <xdr:grpSp>
      <xdr:nvGrpSpPr>
        <xdr:cNvPr id="2104" name="Group 56">
          <a:extLst>
            <a:ext uri="{FF2B5EF4-FFF2-40B4-BE49-F238E27FC236}">
              <a16:creationId xmlns:a16="http://schemas.microsoft.com/office/drawing/2014/main" id="{C188273B-BF63-4BCE-9D39-086AC2127EB9}"/>
            </a:ext>
          </a:extLst>
        </xdr:cNvPr>
        <xdr:cNvGrpSpPr>
          <a:grpSpLocks/>
        </xdr:cNvGrpSpPr>
      </xdr:nvGrpSpPr>
      <xdr:grpSpPr bwMode="auto">
        <a:xfrm>
          <a:off x="1323975" y="6057900"/>
          <a:ext cx="1009650" cy="180975"/>
          <a:chOff x="139" y="636"/>
          <a:chExt cx="106" cy="19"/>
        </a:xfrm>
      </xdr:grpSpPr>
      <xdr:sp macro="" textlink="">
        <xdr:nvSpPr>
          <xdr:cNvPr id="2105" name="Line 57">
            <a:extLst>
              <a:ext uri="{FF2B5EF4-FFF2-40B4-BE49-F238E27FC236}">
                <a16:creationId xmlns:a16="http://schemas.microsoft.com/office/drawing/2014/main" id="{4E228BE1-9920-4339-A6AB-1B2FB7BD3CAA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41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6" name="Freeform 58">
            <a:extLst>
              <a:ext uri="{FF2B5EF4-FFF2-40B4-BE49-F238E27FC236}">
                <a16:creationId xmlns:a16="http://schemas.microsoft.com/office/drawing/2014/main" id="{8C3F4F76-CEF9-4CAB-ABEF-062C7C0DF5A2}"/>
              </a:ext>
            </a:extLst>
          </xdr:cNvPr>
          <xdr:cNvSpPr>
            <a:spLocks/>
          </xdr:cNvSpPr>
        </xdr:nvSpPr>
        <xdr:spPr bwMode="auto">
          <a:xfrm rot="-10800000">
            <a:off x="139" y="63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7" name="Freeform 59">
            <a:extLst>
              <a:ext uri="{FF2B5EF4-FFF2-40B4-BE49-F238E27FC236}">
                <a16:creationId xmlns:a16="http://schemas.microsoft.com/office/drawing/2014/main" id="{10E9194F-8690-49C5-B7CD-D3229597FF24}"/>
              </a:ext>
            </a:extLst>
          </xdr:cNvPr>
          <xdr:cNvSpPr>
            <a:spLocks/>
          </xdr:cNvSpPr>
        </xdr:nvSpPr>
        <xdr:spPr bwMode="auto">
          <a:xfrm rot="-10800000">
            <a:off x="213" y="639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8" name="Line 60">
            <a:extLst>
              <a:ext uri="{FF2B5EF4-FFF2-40B4-BE49-F238E27FC236}">
                <a16:creationId xmlns:a16="http://schemas.microsoft.com/office/drawing/2014/main" id="{13271821-8DCE-4F09-80CA-5A0780B9A3F4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13" y="64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9" name="Freeform 61">
            <a:extLst>
              <a:ext uri="{FF2B5EF4-FFF2-40B4-BE49-F238E27FC236}">
                <a16:creationId xmlns:a16="http://schemas.microsoft.com/office/drawing/2014/main" id="{8AC3A3D7-9033-4D9C-A3D7-094558157FE6}"/>
              </a:ext>
            </a:extLst>
          </xdr:cNvPr>
          <xdr:cNvSpPr>
            <a:spLocks/>
          </xdr:cNvSpPr>
        </xdr:nvSpPr>
        <xdr:spPr bwMode="auto">
          <a:xfrm rot="-10800000">
            <a:off x="209" y="648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190500</xdr:colOff>
      <xdr:row>15</xdr:row>
      <xdr:rowOff>1143000</xdr:rowOff>
    </xdr:from>
    <xdr:to>
      <xdr:col>9</xdr:col>
      <xdr:colOff>171450</xdr:colOff>
      <xdr:row>15</xdr:row>
      <xdr:rowOff>1333500</xdr:rowOff>
    </xdr:to>
    <xdr:sp macro="" textlink="">
      <xdr:nvSpPr>
        <xdr:cNvPr id="2110" name="Text Box 62">
          <a:extLst>
            <a:ext uri="{FF2B5EF4-FFF2-40B4-BE49-F238E27FC236}">
              <a16:creationId xmlns:a16="http://schemas.microsoft.com/office/drawing/2014/main" id="{CFE5FDF4-5CFA-4674-8F17-0682D7EA1D61}"/>
            </a:ext>
          </a:extLst>
        </xdr:cNvPr>
        <xdr:cNvSpPr txBox="1">
          <a:spLocks noChangeArrowheads="1"/>
        </xdr:cNvSpPr>
      </xdr:nvSpPr>
      <xdr:spPr bwMode="auto">
        <a:xfrm>
          <a:off x="1066800" y="6257925"/>
          <a:ext cx="15525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）</a:t>
          </a:r>
        </a:p>
      </xdr:txBody>
    </xdr:sp>
    <xdr:clientData/>
  </xdr:twoCellAnchor>
  <xdr:twoCellAnchor>
    <xdr:from>
      <xdr:col>12</xdr:col>
      <xdr:colOff>0</xdr:colOff>
      <xdr:row>15</xdr:row>
      <xdr:rowOff>561975</xdr:rowOff>
    </xdr:from>
    <xdr:to>
      <xdr:col>12</xdr:col>
      <xdr:colOff>304800</xdr:colOff>
      <xdr:row>15</xdr:row>
      <xdr:rowOff>1304925</xdr:rowOff>
    </xdr:to>
    <xdr:grpSp>
      <xdr:nvGrpSpPr>
        <xdr:cNvPr id="2111" name="Group 63">
          <a:extLst>
            <a:ext uri="{FF2B5EF4-FFF2-40B4-BE49-F238E27FC236}">
              <a16:creationId xmlns:a16="http://schemas.microsoft.com/office/drawing/2014/main" id="{6BA1F528-3E8D-415E-93BA-E349E95D2BF0}"/>
            </a:ext>
          </a:extLst>
        </xdr:cNvPr>
        <xdr:cNvGrpSpPr>
          <a:grpSpLocks/>
        </xdr:cNvGrpSpPr>
      </xdr:nvGrpSpPr>
      <xdr:grpSpPr bwMode="auto">
        <a:xfrm flipH="1" flipV="1">
          <a:off x="3390900" y="5676900"/>
          <a:ext cx="304800" cy="742950"/>
          <a:chOff x="424" y="565"/>
          <a:chExt cx="32" cy="78"/>
        </a:xfrm>
      </xdr:grpSpPr>
      <xdr:sp macro="" textlink="">
        <xdr:nvSpPr>
          <xdr:cNvPr id="2112" name="Line 64">
            <a:extLst>
              <a:ext uri="{FF2B5EF4-FFF2-40B4-BE49-F238E27FC236}">
                <a16:creationId xmlns:a16="http://schemas.microsoft.com/office/drawing/2014/main" id="{C5F693FE-DCB3-4F72-B712-84ACD6414CDA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3" name="Freeform 65">
            <a:extLst>
              <a:ext uri="{FF2B5EF4-FFF2-40B4-BE49-F238E27FC236}">
                <a16:creationId xmlns:a16="http://schemas.microsoft.com/office/drawing/2014/main" id="{FA938FB2-A331-43B6-9408-9AAF436BDADC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4" name="Line 66">
            <a:extLst>
              <a:ext uri="{FF2B5EF4-FFF2-40B4-BE49-F238E27FC236}">
                <a16:creationId xmlns:a16="http://schemas.microsoft.com/office/drawing/2014/main" id="{95A52390-0C2A-4EFA-A8B2-0B215C402217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5" name="Freeform 67">
            <a:extLst>
              <a:ext uri="{FF2B5EF4-FFF2-40B4-BE49-F238E27FC236}">
                <a16:creationId xmlns:a16="http://schemas.microsoft.com/office/drawing/2014/main" id="{8A0ADF00-2EBC-41C7-9F97-34757937B621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6" name="Freeform 68">
            <a:extLst>
              <a:ext uri="{FF2B5EF4-FFF2-40B4-BE49-F238E27FC236}">
                <a16:creationId xmlns:a16="http://schemas.microsoft.com/office/drawing/2014/main" id="{CF976E9F-7ADD-4D07-8694-1FA942AFA747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7" name="Line 69">
            <a:extLst>
              <a:ext uri="{FF2B5EF4-FFF2-40B4-BE49-F238E27FC236}">
                <a16:creationId xmlns:a16="http://schemas.microsoft.com/office/drawing/2014/main" id="{C0F44E61-7E85-43CA-8EFE-6615B845166C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8" name="Freeform 70">
            <a:extLst>
              <a:ext uri="{FF2B5EF4-FFF2-40B4-BE49-F238E27FC236}">
                <a16:creationId xmlns:a16="http://schemas.microsoft.com/office/drawing/2014/main" id="{615DB20E-8292-403F-AECB-06033A3A64C3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161925</xdr:colOff>
      <xdr:row>15</xdr:row>
      <xdr:rowOff>1133475</xdr:rowOff>
    </xdr:from>
    <xdr:to>
      <xdr:col>14</xdr:col>
      <xdr:colOff>190500</xdr:colOff>
      <xdr:row>15</xdr:row>
      <xdr:rowOff>1276350</xdr:rowOff>
    </xdr:to>
    <xdr:sp macro="" textlink="">
      <xdr:nvSpPr>
        <xdr:cNvPr id="2119" name="Text Box 71">
          <a:extLst>
            <a:ext uri="{FF2B5EF4-FFF2-40B4-BE49-F238E27FC236}">
              <a16:creationId xmlns:a16="http://schemas.microsoft.com/office/drawing/2014/main" id="{2BA670AD-35EE-4F9D-9E69-0C34ECE43035}"/>
            </a:ext>
          </a:extLst>
        </xdr:cNvPr>
        <xdr:cNvSpPr txBox="1">
          <a:spLocks noChangeArrowheads="1"/>
        </xdr:cNvSpPr>
      </xdr:nvSpPr>
      <xdr:spPr bwMode="auto">
        <a:xfrm>
          <a:off x="3867150" y="6248400"/>
          <a:ext cx="342900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14.0m</a:t>
          </a:r>
        </a:p>
      </xdr:txBody>
    </xdr:sp>
    <xdr:clientData/>
  </xdr:twoCellAnchor>
  <xdr:twoCellAnchor>
    <xdr:from>
      <xdr:col>13</xdr:col>
      <xdr:colOff>295275</xdr:colOff>
      <xdr:row>15</xdr:row>
      <xdr:rowOff>381000</xdr:rowOff>
    </xdr:from>
    <xdr:to>
      <xdr:col>14</xdr:col>
      <xdr:colOff>38100</xdr:colOff>
      <xdr:row>15</xdr:row>
      <xdr:rowOff>1114425</xdr:rowOff>
    </xdr:to>
    <xdr:grpSp>
      <xdr:nvGrpSpPr>
        <xdr:cNvPr id="2120" name="Group 72">
          <a:extLst>
            <a:ext uri="{FF2B5EF4-FFF2-40B4-BE49-F238E27FC236}">
              <a16:creationId xmlns:a16="http://schemas.microsoft.com/office/drawing/2014/main" id="{817E23B0-B870-4892-9361-F43C10CAEFAA}"/>
            </a:ext>
          </a:extLst>
        </xdr:cNvPr>
        <xdr:cNvGrpSpPr>
          <a:grpSpLocks/>
        </xdr:cNvGrpSpPr>
      </xdr:nvGrpSpPr>
      <xdr:grpSpPr bwMode="auto">
        <a:xfrm rot="5400000">
          <a:off x="3662362" y="5834063"/>
          <a:ext cx="733425" cy="57150"/>
          <a:chOff x="123" y="549"/>
          <a:chExt cx="77" cy="6"/>
        </a:xfrm>
      </xdr:grpSpPr>
      <xdr:sp macro="" textlink="">
        <xdr:nvSpPr>
          <xdr:cNvPr id="2121" name="Line 73">
            <a:extLst>
              <a:ext uri="{FF2B5EF4-FFF2-40B4-BE49-F238E27FC236}">
                <a16:creationId xmlns:a16="http://schemas.microsoft.com/office/drawing/2014/main" id="{F511576B-D9EE-440B-8B70-3970050ED03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2" name="Freeform 74">
            <a:extLst>
              <a:ext uri="{FF2B5EF4-FFF2-40B4-BE49-F238E27FC236}">
                <a16:creationId xmlns:a16="http://schemas.microsoft.com/office/drawing/2014/main" id="{31EBA963-6B23-4DDB-948C-AC467FAD73C9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3" name="Freeform 75">
            <a:extLst>
              <a:ext uri="{FF2B5EF4-FFF2-40B4-BE49-F238E27FC236}">
                <a16:creationId xmlns:a16="http://schemas.microsoft.com/office/drawing/2014/main" id="{43DD294C-6336-4E34-9500-369F1492C83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21</xdr:col>
      <xdr:colOff>47625</xdr:colOff>
      <xdr:row>15</xdr:row>
      <xdr:rowOff>495300</xdr:rowOff>
    </xdr:from>
    <xdr:to>
      <xdr:col>23</xdr:col>
      <xdr:colOff>114300</xdr:colOff>
      <xdr:row>15</xdr:row>
      <xdr:rowOff>1190625</xdr:rowOff>
    </xdr:to>
    <xdr:pic>
      <xdr:nvPicPr>
        <xdr:cNvPr id="2124" name="Picture 76">
          <a:extLst>
            <a:ext uri="{FF2B5EF4-FFF2-40B4-BE49-F238E27FC236}">
              <a16:creationId xmlns:a16="http://schemas.microsoft.com/office/drawing/2014/main" id="{3DE412E5-4F65-455B-9182-4A91483B2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50" y="561022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161925</xdr:colOff>
      <xdr:row>15</xdr:row>
      <xdr:rowOff>1133475</xdr:rowOff>
    </xdr:from>
    <xdr:to>
      <xdr:col>11</xdr:col>
      <xdr:colOff>190500</xdr:colOff>
      <xdr:row>15</xdr:row>
      <xdr:rowOff>1276350</xdr:rowOff>
    </xdr:to>
    <xdr:sp macro="" textlink="">
      <xdr:nvSpPr>
        <xdr:cNvPr id="2125" name="Text Box 77">
          <a:extLst>
            <a:ext uri="{FF2B5EF4-FFF2-40B4-BE49-F238E27FC236}">
              <a16:creationId xmlns:a16="http://schemas.microsoft.com/office/drawing/2014/main" id="{4AF071DF-96AA-4C95-B451-172C5F7A5DCC}"/>
            </a:ext>
          </a:extLst>
        </xdr:cNvPr>
        <xdr:cNvSpPr txBox="1">
          <a:spLocks noChangeArrowheads="1"/>
        </xdr:cNvSpPr>
      </xdr:nvSpPr>
      <xdr:spPr bwMode="auto">
        <a:xfrm>
          <a:off x="2924175" y="6248400"/>
          <a:ext cx="342900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14.0m</a:t>
          </a:r>
        </a:p>
      </xdr:txBody>
    </xdr:sp>
    <xdr:clientData/>
  </xdr:twoCellAnchor>
  <xdr:twoCellAnchor>
    <xdr:from>
      <xdr:col>13</xdr:col>
      <xdr:colOff>200025</xdr:colOff>
      <xdr:row>15</xdr:row>
      <xdr:rowOff>190500</xdr:rowOff>
    </xdr:from>
    <xdr:to>
      <xdr:col>14</xdr:col>
      <xdr:colOff>238125</xdr:colOff>
      <xdr:row>15</xdr:row>
      <xdr:rowOff>352425</xdr:rowOff>
    </xdr:to>
    <xdr:sp macro="" textlink="">
      <xdr:nvSpPr>
        <xdr:cNvPr id="2126" name="Text Box 78">
          <a:extLst>
            <a:ext uri="{FF2B5EF4-FFF2-40B4-BE49-F238E27FC236}">
              <a16:creationId xmlns:a16="http://schemas.microsoft.com/office/drawing/2014/main" id="{D2F58928-10CC-4856-9D57-D8F1A7C08DFE}"/>
            </a:ext>
          </a:extLst>
        </xdr:cNvPr>
        <xdr:cNvSpPr txBox="1">
          <a:spLocks noChangeArrowheads="1"/>
        </xdr:cNvSpPr>
      </xdr:nvSpPr>
      <xdr:spPr bwMode="auto">
        <a:xfrm>
          <a:off x="3905250" y="53054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10</xdr:col>
      <xdr:colOff>200025</xdr:colOff>
      <xdr:row>15</xdr:row>
      <xdr:rowOff>190500</xdr:rowOff>
    </xdr:from>
    <xdr:to>
      <xdr:col>11</xdr:col>
      <xdr:colOff>238125</xdr:colOff>
      <xdr:row>15</xdr:row>
      <xdr:rowOff>352425</xdr:rowOff>
    </xdr:to>
    <xdr:sp macro="" textlink="">
      <xdr:nvSpPr>
        <xdr:cNvPr id="2127" name="Text Box 79">
          <a:extLst>
            <a:ext uri="{FF2B5EF4-FFF2-40B4-BE49-F238E27FC236}">
              <a16:creationId xmlns:a16="http://schemas.microsoft.com/office/drawing/2014/main" id="{B647A8BB-A942-4320-B591-355FEF08EA35}"/>
            </a:ext>
          </a:extLst>
        </xdr:cNvPr>
        <xdr:cNvSpPr txBox="1">
          <a:spLocks noChangeArrowheads="1"/>
        </xdr:cNvSpPr>
      </xdr:nvSpPr>
      <xdr:spPr bwMode="auto">
        <a:xfrm>
          <a:off x="2962275" y="53054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8</xdr:col>
      <xdr:colOff>180975</xdr:colOff>
      <xdr:row>15</xdr:row>
      <xdr:rowOff>1181100</xdr:rowOff>
    </xdr:from>
    <xdr:to>
      <xdr:col>10</xdr:col>
      <xdr:colOff>47625</xdr:colOff>
      <xdr:row>15</xdr:row>
      <xdr:rowOff>1362075</xdr:rowOff>
    </xdr:to>
    <xdr:sp macro="" textlink="">
      <xdr:nvSpPr>
        <xdr:cNvPr id="2128" name="Text Box 80">
          <a:extLst>
            <a:ext uri="{FF2B5EF4-FFF2-40B4-BE49-F238E27FC236}">
              <a16:creationId xmlns:a16="http://schemas.microsoft.com/office/drawing/2014/main" id="{6AE8EF28-6CC3-4924-97CD-B1A3896D5C24}"/>
            </a:ext>
          </a:extLst>
        </xdr:cNvPr>
        <xdr:cNvSpPr txBox="1">
          <a:spLocks noChangeArrowheads="1"/>
        </xdr:cNvSpPr>
      </xdr:nvSpPr>
      <xdr:spPr bwMode="auto">
        <a:xfrm>
          <a:off x="2314575" y="6296025"/>
          <a:ext cx="495300" cy="180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歩灯なし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40" zoomScaleSheetLayoutView="100" workbookViewId="0">
      <selection activeCell="K37" sqref="K37"/>
    </sheetView>
  </sheetViews>
  <sheetFormatPr defaultRowHeight="12" x14ac:dyDescent="0.15"/>
  <cols>
    <col min="1" max="1" width="7.5" style="108" bestFit="1" customWidth="1"/>
    <col min="2" max="2" width="2.25" style="97" bestFit="1" customWidth="1"/>
    <col min="3" max="3" width="5.25" style="97" bestFit="1" customWidth="1"/>
    <col min="4" max="4" width="2.25" style="124" bestFit="1" customWidth="1"/>
    <col min="5" max="24" width="4.125" style="91" customWidth="1"/>
    <col min="25" max="16384" width="9" style="91"/>
  </cols>
  <sheetData>
    <row r="1" spans="1:30" ht="15" customHeight="1" x14ac:dyDescent="0.15">
      <c r="A1" s="126" t="s">
        <v>40</v>
      </c>
      <c r="B1" s="153"/>
      <c r="C1" s="153"/>
      <c r="D1" s="153"/>
      <c r="E1" s="127"/>
      <c r="F1" s="157" t="s">
        <v>91</v>
      </c>
      <c r="G1" s="153"/>
      <c r="H1" s="158" t="s">
        <v>93</v>
      </c>
      <c r="I1" s="158"/>
      <c r="J1" s="158"/>
      <c r="K1" s="158"/>
      <c r="L1" s="153" t="s">
        <v>84</v>
      </c>
      <c r="M1" s="127"/>
      <c r="N1" s="160" t="s">
        <v>85</v>
      </c>
      <c r="O1" s="127"/>
      <c r="P1" s="161">
        <v>46066</v>
      </c>
      <c r="Q1" s="162"/>
      <c r="R1" s="162"/>
      <c r="S1" s="163"/>
      <c r="T1" s="125" t="s">
        <v>44</v>
      </c>
      <c r="U1" s="125"/>
      <c r="V1" s="125" t="s">
        <v>96</v>
      </c>
      <c r="W1" s="125"/>
      <c r="X1" s="125"/>
    </row>
    <row r="2" spans="1:30" ht="7.5" customHeight="1" x14ac:dyDescent="0.15">
      <c r="A2" s="154"/>
      <c r="B2" s="155"/>
      <c r="C2" s="155"/>
      <c r="D2" s="155"/>
      <c r="E2" s="156"/>
      <c r="F2" s="154"/>
      <c r="G2" s="155"/>
      <c r="H2" s="159"/>
      <c r="I2" s="159"/>
      <c r="J2" s="159"/>
      <c r="K2" s="159"/>
      <c r="L2" s="155"/>
      <c r="M2" s="156"/>
      <c r="N2" s="136"/>
      <c r="O2" s="138"/>
      <c r="P2" s="164"/>
      <c r="Q2" s="165"/>
      <c r="R2" s="165"/>
      <c r="S2" s="166"/>
      <c r="T2" s="126" t="s">
        <v>52</v>
      </c>
      <c r="U2" s="127"/>
      <c r="V2" s="130">
        <v>46023</v>
      </c>
      <c r="W2" s="131"/>
      <c r="X2" s="132"/>
    </row>
    <row r="3" spans="1:30" ht="7.5" customHeight="1" x14ac:dyDescent="0.15">
      <c r="A3" s="136" t="s">
        <v>46</v>
      </c>
      <c r="B3" s="137"/>
      <c r="C3" s="137"/>
      <c r="D3" s="137"/>
      <c r="E3" s="138"/>
      <c r="F3" s="140" t="s">
        <v>92</v>
      </c>
      <c r="G3" s="141"/>
      <c r="H3" s="142" t="s">
        <v>93</v>
      </c>
      <c r="I3" s="142"/>
      <c r="J3" s="142"/>
      <c r="K3" s="142"/>
      <c r="L3" s="144" t="s">
        <v>86</v>
      </c>
      <c r="M3" s="145"/>
      <c r="N3" s="136"/>
      <c r="O3" s="138"/>
      <c r="P3" s="148">
        <v>4.7916666666666663E-2</v>
      </c>
      <c r="Q3" s="149"/>
      <c r="R3" s="149"/>
      <c r="S3" s="152" t="s">
        <v>51</v>
      </c>
      <c r="T3" s="128"/>
      <c r="U3" s="129"/>
      <c r="V3" s="133"/>
      <c r="W3" s="134"/>
      <c r="X3" s="135"/>
    </row>
    <row r="4" spans="1:30" ht="15" customHeight="1" x14ac:dyDescent="0.15">
      <c r="A4" s="128"/>
      <c r="B4" s="139"/>
      <c r="C4" s="139"/>
      <c r="D4" s="139"/>
      <c r="E4" s="129"/>
      <c r="F4" s="128"/>
      <c r="G4" s="139"/>
      <c r="H4" s="143"/>
      <c r="I4" s="143"/>
      <c r="J4" s="143"/>
      <c r="K4" s="143"/>
      <c r="L4" s="146"/>
      <c r="M4" s="147"/>
      <c r="N4" s="128"/>
      <c r="O4" s="129"/>
      <c r="P4" s="150"/>
      <c r="Q4" s="151"/>
      <c r="R4" s="151"/>
      <c r="S4" s="129"/>
      <c r="T4" s="125" t="s">
        <v>9</v>
      </c>
      <c r="U4" s="125"/>
      <c r="V4" s="125" t="s">
        <v>95</v>
      </c>
      <c r="W4" s="125"/>
      <c r="X4" s="125"/>
      <c r="Z4" s="92" t="s">
        <v>87</v>
      </c>
      <c r="AA4" s="93">
        <v>1895</v>
      </c>
    </row>
    <row r="5" spans="1:30" ht="18" customHeight="1" x14ac:dyDescent="0.15">
      <c r="A5" s="167"/>
      <c r="B5" s="168"/>
      <c r="C5" s="168"/>
      <c r="D5" s="168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5"/>
    </row>
    <row r="6" spans="1:30" ht="18" customHeight="1" x14ac:dyDescent="0.15">
      <c r="A6" s="169"/>
      <c r="B6" s="170"/>
      <c r="C6" s="170"/>
      <c r="D6" s="170"/>
      <c r="X6" s="96"/>
    </row>
    <row r="7" spans="1:30" ht="18" customHeight="1" x14ac:dyDescent="0.15">
      <c r="A7" s="169"/>
      <c r="B7" s="170"/>
      <c r="C7" s="170"/>
      <c r="D7" s="170"/>
      <c r="X7" s="96"/>
    </row>
    <row r="8" spans="1:30" ht="18" customHeight="1" x14ac:dyDescent="0.15">
      <c r="A8" s="169"/>
      <c r="B8" s="170"/>
      <c r="C8" s="170"/>
      <c r="D8" s="170"/>
      <c r="X8" s="96"/>
    </row>
    <row r="9" spans="1:30" ht="18" customHeight="1" x14ac:dyDescent="0.15">
      <c r="A9" s="169"/>
      <c r="B9" s="170"/>
      <c r="C9" s="170"/>
      <c r="D9" s="170"/>
      <c r="X9" s="96"/>
    </row>
    <row r="10" spans="1:30" ht="147.75" customHeight="1" x14ac:dyDescent="0.15">
      <c r="A10" s="169"/>
      <c r="B10" s="170"/>
      <c r="C10" s="170"/>
      <c r="D10" s="170"/>
      <c r="X10" s="96"/>
    </row>
    <row r="11" spans="1:30" ht="18" customHeight="1" x14ac:dyDescent="0.15">
      <c r="A11" s="169"/>
      <c r="B11" s="170"/>
      <c r="C11" s="170"/>
      <c r="D11" s="170"/>
      <c r="X11" s="96"/>
    </row>
    <row r="12" spans="1:30" ht="18" customHeight="1" x14ac:dyDescent="0.15">
      <c r="A12" s="169"/>
      <c r="B12" s="170"/>
      <c r="C12" s="170"/>
      <c r="D12" s="170"/>
      <c r="X12" s="96"/>
    </row>
    <row r="13" spans="1:30" ht="18" customHeight="1" x14ac:dyDescent="0.15">
      <c r="A13" s="174"/>
      <c r="B13" s="175"/>
      <c r="C13" s="170"/>
      <c r="D13" s="170"/>
      <c r="E13" s="97"/>
      <c r="F13" s="97"/>
      <c r="G13" s="97"/>
      <c r="H13" s="97"/>
      <c r="I13" s="97"/>
      <c r="X13" s="96"/>
    </row>
    <row r="14" spans="1:30" ht="18" customHeight="1" x14ac:dyDescent="0.15">
      <c r="A14" s="174"/>
      <c r="B14" s="175"/>
      <c r="C14" s="176"/>
      <c r="D14" s="176"/>
      <c r="X14" s="96"/>
      <c r="Z14" s="91">
        <v>50</v>
      </c>
      <c r="AA14" s="91">
        <f>Z14/3.6</f>
        <v>13.888888888888889</v>
      </c>
      <c r="AC14" s="98">
        <v>28.7</v>
      </c>
      <c r="AD14" s="98">
        <f>AC14/AA14</f>
        <v>2.0663999999999998</v>
      </c>
    </row>
    <row r="15" spans="1:30" ht="18" customHeight="1" x14ac:dyDescent="0.15">
      <c r="A15" s="177"/>
      <c r="B15" s="178"/>
      <c r="C15" s="178"/>
      <c r="D15" s="178"/>
      <c r="E15" s="99"/>
      <c r="F15" s="99"/>
      <c r="G15" s="99"/>
      <c r="H15" s="99"/>
      <c r="I15" s="100"/>
      <c r="J15" s="100"/>
      <c r="K15" s="100"/>
      <c r="L15" s="100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2"/>
      <c r="Z15" s="91">
        <v>30</v>
      </c>
      <c r="AA15" s="91">
        <f>Z15/3.6</f>
        <v>8.3333333333333339</v>
      </c>
      <c r="AC15" s="98">
        <v>26.5</v>
      </c>
      <c r="AD15" s="98">
        <f>AC15/AA15</f>
        <v>3.1799999999999997</v>
      </c>
    </row>
    <row r="16" spans="1:30" s="105" customFormat="1" ht="18" customHeight="1" x14ac:dyDescent="0.15">
      <c r="A16" s="179" t="s">
        <v>54</v>
      </c>
      <c r="B16" s="179"/>
      <c r="C16" s="179"/>
      <c r="D16" s="179"/>
      <c r="E16" s="103">
        <v>1</v>
      </c>
      <c r="F16" s="103">
        <v>2</v>
      </c>
      <c r="G16" s="103">
        <v>3</v>
      </c>
      <c r="H16" s="103">
        <v>4</v>
      </c>
      <c r="I16" s="103">
        <v>5</v>
      </c>
      <c r="J16" s="103">
        <v>6</v>
      </c>
      <c r="K16" s="103">
        <v>7</v>
      </c>
      <c r="L16" s="103">
        <v>8</v>
      </c>
      <c r="M16" s="103">
        <v>9</v>
      </c>
      <c r="N16" s="103">
        <v>10</v>
      </c>
      <c r="O16" s="103">
        <v>11</v>
      </c>
      <c r="P16" s="103">
        <v>12</v>
      </c>
      <c r="Q16" s="103">
        <v>13</v>
      </c>
      <c r="R16" s="104">
        <v>14</v>
      </c>
      <c r="S16" s="103">
        <v>15</v>
      </c>
      <c r="T16" s="103">
        <v>16</v>
      </c>
      <c r="U16" s="103">
        <v>17</v>
      </c>
      <c r="V16" s="103">
        <v>18</v>
      </c>
      <c r="W16" s="103">
        <v>19</v>
      </c>
      <c r="X16" s="103">
        <v>20</v>
      </c>
    </row>
    <row r="17" spans="1:25" s="108" customFormat="1" ht="18" customHeight="1" x14ac:dyDescent="0.15">
      <c r="A17" s="179" t="s">
        <v>55</v>
      </c>
      <c r="B17" s="179"/>
      <c r="C17" s="179"/>
      <c r="D17" s="179"/>
      <c r="E17" s="106" t="s">
        <v>56</v>
      </c>
      <c r="F17" s="106" t="s">
        <v>57</v>
      </c>
      <c r="G17" s="106" t="s">
        <v>58</v>
      </c>
      <c r="H17" s="106" t="s">
        <v>59</v>
      </c>
      <c r="I17" s="106" t="s">
        <v>60</v>
      </c>
      <c r="J17" s="106" t="s">
        <v>19</v>
      </c>
      <c r="K17" s="106" t="s">
        <v>20</v>
      </c>
      <c r="L17" s="106" t="s">
        <v>63</v>
      </c>
      <c r="M17" s="106" t="s">
        <v>64</v>
      </c>
      <c r="N17" s="107" t="s">
        <v>65</v>
      </c>
      <c r="O17" s="106"/>
      <c r="P17" s="106"/>
      <c r="Q17" s="106"/>
      <c r="R17" s="106"/>
      <c r="S17" s="106"/>
      <c r="T17" s="106"/>
      <c r="U17" s="106"/>
      <c r="V17" s="106"/>
      <c r="W17" s="106"/>
      <c r="X17" s="106"/>
    </row>
    <row r="18" spans="1:25" s="108" customFormat="1" ht="125.1" customHeight="1" x14ac:dyDescent="0.15">
      <c r="A18" s="171"/>
      <c r="B18" s="172"/>
      <c r="C18" s="172"/>
      <c r="D18" s="173"/>
      <c r="E18" s="109"/>
      <c r="F18" s="109"/>
      <c r="G18" s="109"/>
      <c r="H18" s="109"/>
      <c r="I18" s="107"/>
      <c r="J18" s="109"/>
      <c r="K18" s="109"/>
      <c r="L18" s="109"/>
      <c r="M18" s="109"/>
      <c r="N18" s="107"/>
      <c r="O18" s="109"/>
      <c r="P18" s="109"/>
      <c r="R18" s="109"/>
      <c r="S18" s="109"/>
      <c r="T18" s="109"/>
      <c r="U18" s="109"/>
      <c r="V18" s="109"/>
      <c r="W18" s="109"/>
      <c r="X18" s="107"/>
      <c r="Y18" s="110"/>
    </row>
    <row r="19" spans="1:25" ht="18" customHeight="1" x14ac:dyDescent="0.15">
      <c r="A19" s="171" t="s">
        <v>94</v>
      </c>
      <c r="B19" s="172"/>
      <c r="C19" s="172" t="s">
        <v>67</v>
      </c>
      <c r="D19" s="173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</row>
    <row r="20" spans="1:25" ht="18" customHeight="1" x14ac:dyDescent="0.15">
      <c r="A20" s="171" t="s">
        <v>68</v>
      </c>
      <c r="B20" s="172"/>
      <c r="C20" s="172" t="s">
        <v>69</v>
      </c>
      <c r="D20" s="173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</row>
    <row r="21" spans="1:25" ht="18" customHeight="1" x14ac:dyDescent="0.15">
      <c r="A21" s="171" t="s">
        <v>88</v>
      </c>
      <c r="B21" s="172"/>
      <c r="C21" s="172" t="s">
        <v>71</v>
      </c>
      <c r="D21" s="173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</row>
    <row r="22" spans="1:25" ht="18" customHeight="1" x14ac:dyDescent="0.15">
      <c r="A22" s="171" t="s">
        <v>72</v>
      </c>
      <c r="B22" s="172"/>
      <c r="C22" s="172" t="s">
        <v>73</v>
      </c>
      <c r="D22" s="173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</row>
    <row r="23" spans="1:25" ht="18" customHeight="1" x14ac:dyDescent="0.15">
      <c r="A23" s="171"/>
      <c r="B23" s="172"/>
      <c r="C23" s="172"/>
      <c r="D23" s="173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</row>
    <row r="24" spans="1:25" ht="18" customHeight="1" x14ac:dyDescent="0.15">
      <c r="A24" s="171"/>
      <c r="B24" s="172"/>
      <c r="C24" s="172"/>
      <c r="D24" s="173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</row>
    <row r="25" spans="1:25" ht="18" customHeight="1" x14ac:dyDescent="0.15">
      <c r="A25" s="180"/>
      <c r="B25" s="181"/>
      <c r="C25" s="181"/>
      <c r="D25" s="182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</row>
    <row r="26" spans="1:25" ht="18" customHeight="1" x14ac:dyDescent="0.15">
      <c r="A26" s="180"/>
      <c r="B26" s="181"/>
      <c r="C26" s="181"/>
      <c r="D26" s="182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</row>
    <row r="27" spans="1:25" ht="18" customHeight="1" x14ac:dyDescent="0.15">
      <c r="A27" s="180"/>
      <c r="B27" s="181"/>
      <c r="C27" s="181"/>
      <c r="D27" s="182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</row>
    <row r="28" spans="1:25" ht="18" customHeight="1" x14ac:dyDescent="0.15">
      <c r="A28" s="180"/>
      <c r="B28" s="181"/>
      <c r="C28" s="181"/>
      <c r="D28" s="182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</row>
    <row r="29" spans="1:25" ht="18" customHeight="1" x14ac:dyDescent="0.15">
      <c r="A29" s="180"/>
      <c r="B29" s="181"/>
      <c r="C29" s="181"/>
      <c r="D29" s="182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</row>
    <row r="30" spans="1:25" ht="18" customHeight="1" x14ac:dyDescent="0.15">
      <c r="A30" s="180"/>
      <c r="B30" s="181"/>
      <c r="C30" s="181"/>
      <c r="D30" s="182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</row>
    <row r="31" spans="1:25" ht="18" customHeight="1" x14ac:dyDescent="0.15">
      <c r="A31" s="180"/>
      <c r="B31" s="181"/>
      <c r="C31" s="181"/>
      <c r="D31" s="182"/>
      <c r="E31" s="111"/>
      <c r="F31" s="111"/>
      <c r="G31" s="111"/>
      <c r="H31" s="112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</row>
    <row r="32" spans="1:25" ht="18" customHeight="1" x14ac:dyDescent="0.15">
      <c r="A32" s="180"/>
      <c r="B32" s="181"/>
      <c r="C32" s="181"/>
      <c r="D32" s="182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</row>
    <row r="33" spans="1:27" ht="18" customHeight="1" x14ac:dyDescent="0.15">
      <c r="A33" s="113" t="s">
        <v>89</v>
      </c>
      <c r="B33" s="114"/>
      <c r="C33" s="115"/>
      <c r="D33" s="116"/>
      <c r="E33" s="117">
        <v>109</v>
      </c>
      <c r="F33" s="117"/>
      <c r="G33" s="117"/>
      <c r="H33" s="117"/>
      <c r="I33" s="117"/>
      <c r="J33" s="117">
        <v>109</v>
      </c>
      <c r="K33" s="117"/>
      <c r="L33" s="118"/>
      <c r="M33" s="117"/>
      <c r="N33" s="117"/>
      <c r="O33" s="117"/>
      <c r="P33" s="117"/>
      <c r="Q33" s="117"/>
      <c r="R33" s="117"/>
      <c r="S33" s="117"/>
      <c r="T33" s="117"/>
      <c r="U33" s="119"/>
      <c r="V33" s="119"/>
      <c r="W33" s="119"/>
      <c r="X33" s="111"/>
    </row>
    <row r="34" spans="1:27" ht="18" customHeight="1" x14ac:dyDescent="0.15">
      <c r="A34" s="120" t="s">
        <v>90</v>
      </c>
      <c r="B34" s="121" t="s">
        <v>75</v>
      </c>
      <c r="C34" s="122">
        <f>SUM(E34:X34)</f>
        <v>54</v>
      </c>
      <c r="D34" s="123" t="s">
        <v>76</v>
      </c>
      <c r="E34" s="117">
        <v>11</v>
      </c>
      <c r="F34" s="117">
        <v>5</v>
      </c>
      <c r="G34" s="117">
        <v>2</v>
      </c>
      <c r="H34" s="117">
        <v>3</v>
      </c>
      <c r="I34" s="117">
        <v>3</v>
      </c>
      <c r="J34" s="117">
        <v>16</v>
      </c>
      <c r="K34" s="117">
        <v>6</v>
      </c>
      <c r="L34" s="117">
        <v>2</v>
      </c>
      <c r="M34" s="117">
        <v>3</v>
      </c>
      <c r="N34" s="117">
        <v>3</v>
      </c>
      <c r="O34" s="117"/>
      <c r="P34" s="117"/>
      <c r="Q34" s="117"/>
      <c r="R34" s="117"/>
      <c r="S34" s="117"/>
      <c r="T34" s="117"/>
      <c r="U34" s="119"/>
      <c r="V34" s="119"/>
      <c r="W34" s="119"/>
      <c r="X34" s="111"/>
      <c r="Z34" s="105">
        <v>110</v>
      </c>
      <c r="AA34" s="105">
        <f>Z34-INT(Z34/8)-3</f>
        <v>94</v>
      </c>
    </row>
    <row r="35" spans="1:27" ht="18" customHeight="1" x14ac:dyDescent="0.15">
      <c r="A35" s="120" t="s">
        <v>74</v>
      </c>
      <c r="B35" s="121" t="s">
        <v>75</v>
      </c>
      <c r="C35" s="122">
        <f>SUM(E35:X35)</f>
        <v>150</v>
      </c>
      <c r="D35" s="123" t="s">
        <v>76</v>
      </c>
      <c r="E35" s="103">
        <v>91</v>
      </c>
      <c r="F35" s="103">
        <v>5</v>
      </c>
      <c r="G35" s="103">
        <v>18</v>
      </c>
      <c r="H35" s="103">
        <v>3</v>
      </c>
      <c r="I35" s="103">
        <v>3</v>
      </c>
      <c r="J35" s="103">
        <v>16</v>
      </c>
      <c r="K35" s="103">
        <v>6</v>
      </c>
      <c r="L35" s="103">
        <v>2</v>
      </c>
      <c r="M35" s="103">
        <v>3</v>
      </c>
      <c r="N35" s="103">
        <v>3</v>
      </c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Z35" s="105">
        <v>150</v>
      </c>
      <c r="AA35" s="105">
        <f>Z35-INT(Z35/8)-3</f>
        <v>129</v>
      </c>
    </row>
    <row r="36" spans="1:27" ht="18" customHeight="1" x14ac:dyDescent="0.15">
      <c r="A36" s="171" t="s">
        <v>77</v>
      </c>
      <c r="B36" s="172"/>
      <c r="C36" s="172"/>
      <c r="D36" s="173"/>
      <c r="E36" s="103">
        <v>110</v>
      </c>
      <c r="F36" s="103">
        <v>110</v>
      </c>
      <c r="G36" s="103">
        <v>110</v>
      </c>
      <c r="H36" s="103">
        <v>10</v>
      </c>
      <c r="I36" s="103">
        <v>10</v>
      </c>
      <c r="J36" s="103">
        <v>110</v>
      </c>
      <c r="K36" s="103">
        <v>110</v>
      </c>
      <c r="L36" s="103">
        <v>110</v>
      </c>
      <c r="M36" s="103">
        <v>10</v>
      </c>
      <c r="N36" s="103">
        <v>10</v>
      </c>
      <c r="O36" s="103"/>
      <c r="P36" s="103"/>
      <c r="Q36" s="103"/>
      <c r="R36" s="103"/>
      <c r="S36" s="103"/>
      <c r="T36" s="103"/>
      <c r="U36" s="103"/>
      <c r="V36" s="103"/>
      <c r="W36" s="103"/>
      <c r="X36" s="103"/>
    </row>
    <row r="37" spans="1:27" ht="18" customHeight="1" x14ac:dyDescent="0.15">
      <c r="A37" s="171" t="s">
        <v>78</v>
      </c>
      <c r="B37" s="172"/>
      <c r="C37" s="172"/>
      <c r="D37" s="173"/>
      <c r="E37" s="117">
        <v>6</v>
      </c>
      <c r="F37" s="117">
        <v>0.95</v>
      </c>
      <c r="G37" s="117">
        <v>0.95</v>
      </c>
      <c r="H37" s="117">
        <v>0.95</v>
      </c>
      <c r="I37" s="117">
        <v>0.95</v>
      </c>
      <c r="J37" s="117">
        <v>6</v>
      </c>
      <c r="K37" s="117">
        <v>0.95</v>
      </c>
      <c r="L37" s="117">
        <v>0.95</v>
      </c>
      <c r="M37" s="117">
        <v>0.95</v>
      </c>
      <c r="N37" s="117">
        <v>0.95</v>
      </c>
      <c r="O37" s="117"/>
      <c r="P37" s="117"/>
      <c r="Q37" s="117"/>
      <c r="R37" s="117"/>
      <c r="S37" s="117"/>
      <c r="T37" s="117"/>
      <c r="U37" s="117"/>
      <c r="V37" s="117"/>
      <c r="W37" s="117"/>
      <c r="X37" s="117"/>
    </row>
    <row r="38" spans="1:27" ht="18" customHeight="1" x14ac:dyDescent="0.15">
      <c r="A38" s="171" t="s">
        <v>79</v>
      </c>
      <c r="B38" s="172"/>
      <c r="C38" s="172"/>
      <c r="D38" s="17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</row>
  </sheetData>
  <mergeCells count="74">
    <mergeCell ref="A36:D36"/>
    <mergeCell ref="A37:D37"/>
    <mergeCell ref="A38:D38"/>
    <mergeCell ref="A30:B30"/>
    <mergeCell ref="C30:D30"/>
    <mergeCell ref="A31:B31"/>
    <mergeCell ref="C31:D31"/>
    <mergeCell ref="A32:B32"/>
    <mergeCell ref="C32:D32"/>
    <mergeCell ref="A27:B27"/>
    <mergeCell ref="C27:D27"/>
    <mergeCell ref="A28:B28"/>
    <mergeCell ref="C28:D28"/>
    <mergeCell ref="A29:B29"/>
    <mergeCell ref="C29:D29"/>
    <mergeCell ref="A24:B24"/>
    <mergeCell ref="C24:D24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20:B20"/>
    <mergeCell ref="C20:D20"/>
    <mergeCell ref="A13:B13"/>
    <mergeCell ref="C13:D13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10:B10"/>
    <mergeCell ref="C10:D10"/>
    <mergeCell ref="A11:B11"/>
    <mergeCell ref="C11:D11"/>
    <mergeCell ref="A12:B12"/>
    <mergeCell ref="C12:D12"/>
    <mergeCell ref="A7:B7"/>
    <mergeCell ref="C7:D7"/>
    <mergeCell ref="A8:B8"/>
    <mergeCell ref="C8:D8"/>
    <mergeCell ref="A9:B9"/>
    <mergeCell ref="C9:D9"/>
    <mergeCell ref="T4:U4"/>
    <mergeCell ref="V4:X4"/>
    <mergeCell ref="A5:B5"/>
    <mergeCell ref="C5:D5"/>
    <mergeCell ref="A6:B6"/>
    <mergeCell ref="C6:D6"/>
    <mergeCell ref="T1:U1"/>
    <mergeCell ref="V1:X1"/>
    <mergeCell ref="T2:U3"/>
    <mergeCell ref="V2:X3"/>
    <mergeCell ref="A3:E4"/>
    <mergeCell ref="F3:G4"/>
    <mergeCell ref="H3:K4"/>
    <mergeCell ref="L3:M4"/>
    <mergeCell ref="P3:R4"/>
    <mergeCell ref="S3:S4"/>
    <mergeCell ref="A1:E2"/>
    <mergeCell ref="F1:G2"/>
    <mergeCell ref="H1:K2"/>
    <mergeCell ref="L1:M2"/>
    <mergeCell ref="N1:O4"/>
    <mergeCell ref="P1:S2"/>
  </mergeCells>
  <phoneticPr fontId="1"/>
  <pageMargins left="0.59055118110236227" right="0" top="0.59055118110236227" bottom="0" header="0.31496062992125984" footer="0.31496062992125984"/>
  <pageSetup paperSize="9" scale="9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L82"/>
  <sheetViews>
    <sheetView showGridLines="0" view="pageBreakPreview" topLeftCell="B2" zoomScaleNormal="100" zoomScaleSheetLayoutView="100" workbookViewId="0">
      <selection activeCell="CP10" sqref="CP10"/>
    </sheetView>
  </sheetViews>
  <sheetFormatPr defaultRowHeight="13.5" x14ac:dyDescent="0.15"/>
  <cols>
    <col min="1" max="1" width="2.75" hidden="1" customWidth="1"/>
    <col min="2" max="5" width="2.125" customWidth="1"/>
    <col min="6" max="85" width="1.125" customWidth="1"/>
    <col min="86" max="86" width="5.25" customWidth="1"/>
    <col min="87" max="87" width="5" customWidth="1"/>
    <col min="88" max="89" width="2.125" customWidth="1"/>
  </cols>
  <sheetData>
    <row r="1" spans="2:90" ht="14.25" hidden="1" thickBot="1" x14ac:dyDescent="0.2"/>
    <row r="2" spans="2:90" ht="15.2" customHeight="1" x14ac:dyDescent="0.15">
      <c r="B2" s="340" t="s">
        <v>0</v>
      </c>
      <c r="C2" s="341"/>
      <c r="D2" s="341"/>
      <c r="E2" s="341"/>
      <c r="F2" s="341"/>
      <c r="G2" s="341"/>
      <c r="H2" s="341"/>
      <c r="I2" s="342"/>
      <c r="J2" s="346"/>
      <c r="K2" s="347"/>
      <c r="L2" s="1"/>
      <c r="M2" s="350" t="s">
        <v>1</v>
      </c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0"/>
      <c r="AN2" s="350"/>
      <c r="AO2" s="350"/>
      <c r="AP2" s="351"/>
      <c r="AQ2" s="354" t="s">
        <v>2</v>
      </c>
      <c r="AR2" s="341"/>
      <c r="AS2" s="341"/>
      <c r="AT2" s="341"/>
      <c r="AU2" s="341"/>
      <c r="AV2" s="341"/>
      <c r="AW2" s="341"/>
      <c r="AX2" s="341"/>
      <c r="AY2" s="341"/>
      <c r="AZ2" s="342"/>
      <c r="BA2" s="365">
        <v>38391</v>
      </c>
      <c r="BB2" s="366"/>
      <c r="BC2" s="366"/>
      <c r="BD2" s="366"/>
      <c r="BE2" s="366"/>
      <c r="BF2" s="366"/>
      <c r="BG2" s="366"/>
      <c r="BH2" s="366"/>
      <c r="BI2" s="366"/>
      <c r="BJ2" s="366"/>
      <c r="BK2" s="366"/>
      <c r="BL2" s="366"/>
      <c r="BM2" s="367"/>
      <c r="BN2" s="371" t="s">
        <v>3</v>
      </c>
      <c r="BO2" s="372"/>
      <c r="BP2" s="372"/>
      <c r="BQ2" s="319"/>
      <c r="BR2" s="319"/>
      <c r="BS2" s="319"/>
      <c r="BT2" s="319"/>
      <c r="BU2" s="317"/>
      <c r="BV2" s="318" t="s">
        <v>82</v>
      </c>
      <c r="BW2" s="319"/>
      <c r="BX2" s="319"/>
      <c r="BY2" s="249"/>
      <c r="BZ2" s="249"/>
      <c r="CA2" s="249"/>
      <c r="CB2" s="249"/>
      <c r="CC2" s="249"/>
      <c r="CD2" s="249"/>
      <c r="CE2" s="249"/>
      <c r="CF2" s="249"/>
      <c r="CG2" s="251"/>
    </row>
    <row r="3" spans="2:90" ht="7.7" customHeight="1" x14ac:dyDescent="0.15">
      <c r="B3" s="343"/>
      <c r="C3" s="344"/>
      <c r="D3" s="344"/>
      <c r="E3" s="344"/>
      <c r="F3" s="344"/>
      <c r="G3" s="344"/>
      <c r="H3" s="344"/>
      <c r="I3" s="345"/>
      <c r="J3" s="348"/>
      <c r="K3" s="349"/>
      <c r="L3" s="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  <c r="Z3" s="352"/>
      <c r="AA3" s="352"/>
      <c r="AB3" s="352"/>
      <c r="AC3" s="352"/>
      <c r="AD3" s="352"/>
      <c r="AE3" s="352"/>
      <c r="AF3" s="352"/>
      <c r="AG3" s="352"/>
      <c r="AH3" s="352"/>
      <c r="AI3" s="352"/>
      <c r="AJ3" s="352"/>
      <c r="AK3" s="352"/>
      <c r="AL3" s="352"/>
      <c r="AM3" s="352"/>
      <c r="AN3" s="352"/>
      <c r="AO3" s="352"/>
      <c r="AP3" s="353"/>
      <c r="AQ3" s="302"/>
      <c r="AR3" s="303"/>
      <c r="AS3" s="303"/>
      <c r="AT3" s="303"/>
      <c r="AU3" s="303"/>
      <c r="AV3" s="303"/>
      <c r="AW3" s="303"/>
      <c r="AX3" s="303"/>
      <c r="AY3" s="303"/>
      <c r="AZ3" s="304"/>
      <c r="BA3" s="368"/>
      <c r="BB3" s="369"/>
      <c r="BC3" s="369"/>
      <c r="BD3" s="369"/>
      <c r="BE3" s="369"/>
      <c r="BF3" s="369"/>
      <c r="BG3" s="369"/>
      <c r="BH3" s="369"/>
      <c r="BI3" s="369"/>
      <c r="BJ3" s="369"/>
      <c r="BK3" s="369"/>
      <c r="BL3" s="369"/>
      <c r="BM3" s="370"/>
      <c r="BN3" s="320" t="s">
        <v>4</v>
      </c>
      <c r="BO3" s="321"/>
      <c r="BP3" s="321"/>
      <c r="BQ3" s="321"/>
      <c r="BR3" s="321"/>
      <c r="BS3" s="321"/>
      <c r="BT3" s="321"/>
      <c r="BU3" s="322"/>
      <c r="BV3" s="326">
        <v>38322</v>
      </c>
      <c r="BW3" s="327"/>
      <c r="BX3" s="327"/>
      <c r="BY3" s="328"/>
      <c r="BZ3" s="328"/>
      <c r="CA3" s="328"/>
      <c r="CB3" s="328"/>
      <c r="CC3" s="328"/>
      <c r="CD3" s="328"/>
      <c r="CE3" s="328"/>
      <c r="CF3" s="328"/>
      <c r="CG3" s="329"/>
    </row>
    <row r="4" spans="2:90" ht="7.7" customHeight="1" x14ac:dyDescent="0.15">
      <c r="B4" s="355" t="s">
        <v>5</v>
      </c>
      <c r="C4" s="356"/>
      <c r="D4" s="356"/>
      <c r="E4" s="356"/>
      <c r="F4" s="356"/>
      <c r="G4" s="356"/>
      <c r="H4" s="356"/>
      <c r="I4" s="357"/>
      <c r="J4" s="359"/>
      <c r="K4" s="360"/>
      <c r="L4" s="3"/>
      <c r="M4" s="363" t="s">
        <v>6</v>
      </c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  <c r="AL4" s="246" t="s">
        <v>7</v>
      </c>
      <c r="AM4" s="246"/>
      <c r="AN4" s="246"/>
      <c r="AO4" s="246"/>
      <c r="AP4" s="247"/>
      <c r="AQ4" s="302" t="s">
        <v>8</v>
      </c>
      <c r="AR4" s="303"/>
      <c r="AS4" s="303"/>
      <c r="AT4" s="303"/>
      <c r="AU4" s="303"/>
      <c r="AV4" s="303"/>
      <c r="AW4" s="303"/>
      <c r="AX4" s="303"/>
      <c r="AY4" s="303"/>
      <c r="AZ4" s="304"/>
      <c r="BA4" s="332">
        <v>0.77847222222222223</v>
      </c>
      <c r="BB4" s="333"/>
      <c r="BC4" s="333"/>
      <c r="BD4" s="333"/>
      <c r="BE4" s="333"/>
      <c r="BF4" s="333"/>
      <c r="BG4" s="333"/>
      <c r="BH4" s="333"/>
      <c r="BI4" s="333"/>
      <c r="BJ4" s="336" t="s">
        <v>83</v>
      </c>
      <c r="BK4" s="336"/>
      <c r="BL4" s="336"/>
      <c r="BM4" s="337"/>
      <c r="BN4" s="323"/>
      <c r="BO4" s="324"/>
      <c r="BP4" s="324"/>
      <c r="BQ4" s="324"/>
      <c r="BR4" s="324"/>
      <c r="BS4" s="324"/>
      <c r="BT4" s="324"/>
      <c r="BU4" s="325"/>
      <c r="BV4" s="330"/>
      <c r="BW4" s="331"/>
      <c r="BX4" s="331"/>
      <c r="BY4" s="331"/>
      <c r="BZ4" s="331"/>
      <c r="CA4" s="331"/>
      <c r="CB4" s="331"/>
      <c r="CC4" s="331"/>
      <c r="CD4" s="331"/>
      <c r="CE4" s="331"/>
      <c r="CF4" s="331"/>
      <c r="CG4" s="218"/>
    </row>
    <row r="5" spans="2:90" ht="15.2" customHeight="1" x14ac:dyDescent="0.15">
      <c r="B5" s="358"/>
      <c r="C5" s="306"/>
      <c r="D5" s="306"/>
      <c r="E5" s="306"/>
      <c r="F5" s="306"/>
      <c r="G5" s="306"/>
      <c r="H5" s="306"/>
      <c r="I5" s="307"/>
      <c r="J5" s="361"/>
      <c r="K5" s="362"/>
      <c r="L5" s="5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203"/>
      <c r="AM5" s="203"/>
      <c r="AN5" s="203"/>
      <c r="AO5" s="203"/>
      <c r="AP5" s="204"/>
      <c r="AQ5" s="305"/>
      <c r="AR5" s="306"/>
      <c r="AS5" s="306"/>
      <c r="AT5" s="306"/>
      <c r="AU5" s="306"/>
      <c r="AV5" s="306"/>
      <c r="AW5" s="306"/>
      <c r="AX5" s="306"/>
      <c r="AY5" s="306"/>
      <c r="AZ5" s="307"/>
      <c r="BA5" s="334"/>
      <c r="BB5" s="335"/>
      <c r="BC5" s="335"/>
      <c r="BD5" s="335"/>
      <c r="BE5" s="335"/>
      <c r="BF5" s="335"/>
      <c r="BG5" s="335"/>
      <c r="BH5" s="335"/>
      <c r="BI5" s="335"/>
      <c r="BJ5" s="338"/>
      <c r="BK5" s="338"/>
      <c r="BL5" s="338"/>
      <c r="BM5" s="339"/>
      <c r="BN5" s="308" t="s">
        <v>9</v>
      </c>
      <c r="BO5" s="309"/>
      <c r="BP5" s="309"/>
      <c r="BQ5" s="310"/>
      <c r="BR5" s="310"/>
      <c r="BS5" s="310"/>
      <c r="BT5" s="310"/>
      <c r="BU5" s="311"/>
      <c r="BV5" s="308" t="s">
        <v>10</v>
      </c>
      <c r="BW5" s="309"/>
      <c r="BX5" s="309"/>
      <c r="BY5" s="309"/>
      <c r="BZ5" s="309"/>
      <c r="CA5" s="309"/>
      <c r="CB5" s="309"/>
      <c r="CC5" s="309"/>
      <c r="CD5" s="309"/>
      <c r="CE5" s="309"/>
      <c r="CF5" s="309"/>
      <c r="CG5" s="312"/>
      <c r="CL5" t="s">
        <v>11</v>
      </c>
    </row>
    <row r="6" spans="2:90" ht="15.2" customHeight="1" x14ac:dyDescent="0.15">
      <c r="B6" s="6"/>
      <c r="CG6" s="7"/>
    </row>
    <row r="7" spans="2:90" ht="15.2" customHeight="1" x14ac:dyDescent="0.15">
      <c r="B7" s="6"/>
      <c r="CG7" s="7"/>
    </row>
    <row r="8" spans="2:90" ht="15.2" customHeight="1" x14ac:dyDescent="0.15">
      <c r="B8" s="6"/>
      <c r="CG8" s="7"/>
    </row>
    <row r="9" spans="2:90" ht="15.2" customHeight="1" x14ac:dyDescent="0.15">
      <c r="B9" s="6"/>
      <c r="CG9" s="7"/>
    </row>
    <row r="10" spans="2:90" ht="15.2" customHeight="1" x14ac:dyDescent="0.15">
      <c r="B10" s="6"/>
      <c r="CG10" s="7"/>
    </row>
    <row r="11" spans="2:90" ht="15.2" customHeight="1" x14ac:dyDescent="0.15">
      <c r="B11" s="6"/>
      <c r="CG11" s="7"/>
    </row>
    <row r="12" spans="2:90" ht="15.2" customHeight="1" x14ac:dyDescent="0.15">
      <c r="B12" s="6"/>
      <c r="CG12" s="7"/>
    </row>
    <row r="13" spans="2:90" ht="15.2" customHeight="1" x14ac:dyDescent="0.15">
      <c r="B13" s="6"/>
      <c r="CG13" s="7"/>
    </row>
    <row r="14" spans="2:90" ht="15.2" customHeight="1" x14ac:dyDescent="0.15">
      <c r="B14" s="6"/>
      <c r="CG14" s="7"/>
    </row>
    <row r="15" spans="2:90" ht="15.2" customHeight="1" x14ac:dyDescent="0.15">
      <c r="B15" s="6"/>
      <c r="CG15" s="7"/>
    </row>
    <row r="16" spans="2:90" ht="15.2" customHeight="1" x14ac:dyDescent="0.15">
      <c r="B16" s="6"/>
      <c r="Y16" s="8"/>
      <c r="CG16" s="7"/>
    </row>
    <row r="17" spans="2:86" ht="15.2" customHeight="1" x14ac:dyDescent="0.15">
      <c r="B17" s="6"/>
      <c r="CG17" s="7"/>
    </row>
    <row r="18" spans="2:86" ht="15.2" customHeight="1" x14ac:dyDescent="0.15">
      <c r="B18" s="6"/>
      <c r="CG18" s="7"/>
    </row>
    <row r="19" spans="2:86" ht="15.2" customHeight="1" x14ac:dyDescent="0.15">
      <c r="B19" s="6"/>
      <c r="CG19" s="7"/>
    </row>
    <row r="20" spans="2:86" ht="15.2" customHeight="1" x14ac:dyDescent="0.15">
      <c r="B20" s="6"/>
      <c r="CG20" s="7"/>
    </row>
    <row r="21" spans="2:86" ht="15.2" customHeight="1" x14ac:dyDescent="0.15">
      <c r="B21" s="9"/>
      <c r="C21" s="10"/>
      <c r="CG21" s="7"/>
    </row>
    <row r="22" spans="2:86" ht="15.2" customHeight="1" x14ac:dyDescent="0.15">
      <c r="B22" s="9"/>
      <c r="C22" s="10"/>
      <c r="CG22" s="7"/>
    </row>
    <row r="23" spans="2:86" ht="15.2" customHeight="1" x14ac:dyDescent="0.15">
      <c r="B23" s="9"/>
      <c r="C23" s="10"/>
      <c r="CG23" s="7"/>
    </row>
    <row r="24" spans="2:86" ht="15.2" customHeight="1" x14ac:dyDescent="0.15">
      <c r="B24" s="9"/>
      <c r="C24" s="10"/>
      <c r="CG24" s="7"/>
    </row>
    <row r="25" spans="2:86" ht="15.2" customHeight="1" thickBot="1" x14ac:dyDescent="0.2">
      <c r="B25" s="6"/>
      <c r="CG25" s="7"/>
    </row>
    <row r="26" spans="2:86" ht="15.2" customHeight="1" x14ac:dyDescent="0.15">
      <c r="B26" s="313" t="s">
        <v>12</v>
      </c>
      <c r="C26" s="314"/>
      <c r="D26" s="314"/>
      <c r="E26" s="315"/>
      <c r="F26" s="300">
        <v>1</v>
      </c>
      <c r="G26" s="300"/>
      <c r="H26" s="300"/>
      <c r="I26" s="301"/>
      <c r="J26" s="299">
        <f>F26+1</f>
        <v>2</v>
      </c>
      <c r="K26" s="300"/>
      <c r="L26" s="300"/>
      <c r="M26" s="301">
        <v>6</v>
      </c>
      <c r="N26" s="299">
        <f>J26+1</f>
        <v>3</v>
      </c>
      <c r="O26" s="300"/>
      <c r="P26" s="300"/>
      <c r="Q26" s="301">
        <v>6</v>
      </c>
      <c r="R26" s="299">
        <f>N26+1</f>
        <v>4</v>
      </c>
      <c r="S26" s="300"/>
      <c r="T26" s="300"/>
      <c r="U26" s="301">
        <v>7</v>
      </c>
      <c r="V26" s="299">
        <f>R26+1</f>
        <v>5</v>
      </c>
      <c r="W26" s="300"/>
      <c r="X26" s="300"/>
      <c r="Y26" s="301">
        <v>8</v>
      </c>
      <c r="Z26" s="299">
        <f>V26+1</f>
        <v>6</v>
      </c>
      <c r="AA26" s="300"/>
      <c r="AB26" s="300"/>
      <c r="AC26" s="301">
        <v>9</v>
      </c>
      <c r="AD26" s="299">
        <f>Z26+1</f>
        <v>7</v>
      </c>
      <c r="AE26" s="300"/>
      <c r="AF26" s="300"/>
      <c r="AG26" s="301">
        <v>10</v>
      </c>
      <c r="AH26" s="299">
        <f>AD26+1</f>
        <v>8</v>
      </c>
      <c r="AI26" s="300"/>
      <c r="AJ26" s="300"/>
      <c r="AK26" s="301">
        <v>11</v>
      </c>
      <c r="AL26" s="299">
        <f>AH26+1</f>
        <v>9</v>
      </c>
      <c r="AM26" s="300"/>
      <c r="AN26" s="300"/>
      <c r="AO26" s="301">
        <v>12</v>
      </c>
      <c r="AP26" s="299">
        <f>AL26+1</f>
        <v>10</v>
      </c>
      <c r="AQ26" s="300"/>
      <c r="AR26" s="300"/>
      <c r="AS26" s="301">
        <v>13</v>
      </c>
      <c r="AT26" s="299">
        <f>AP26+1</f>
        <v>11</v>
      </c>
      <c r="AU26" s="300"/>
      <c r="AV26" s="300"/>
      <c r="AW26" s="301">
        <v>14</v>
      </c>
      <c r="AX26" s="299">
        <f>AT26+1</f>
        <v>12</v>
      </c>
      <c r="AY26" s="300"/>
      <c r="AZ26" s="300"/>
      <c r="BA26" s="301">
        <v>15</v>
      </c>
      <c r="BB26" s="299">
        <f>AX26+1</f>
        <v>13</v>
      </c>
      <c r="BC26" s="300"/>
      <c r="BD26" s="300"/>
      <c r="BE26" s="301">
        <v>16</v>
      </c>
      <c r="BF26" s="299">
        <f>BB26+1</f>
        <v>14</v>
      </c>
      <c r="BG26" s="300"/>
      <c r="BH26" s="300"/>
      <c r="BI26" s="301">
        <v>17</v>
      </c>
      <c r="BJ26" s="299">
        <f>BF26+1</f>
        <v>15</v>
      </c>
      <c r="BK26" s="300"/>
      <c r="BL26" s="300"/>
      <c r="BM26" s="301">
        <v>18</v>
      </c>
      <c r="BN26" s="299">
        <f>BJ26+1</f>
        <v>16</v>
      </c>
      <c r="BO26" s="300"/>
      <c r="BP26" s="300"/>
      <c r="BQ26" s="301">
        <v>19</v>
      </c>
      <c r="BR26" s="299">
        <f>BN26+1</f>
        <v>17</v>
      </c>
      <c r="BS26" s="300"/>
      <c r="BT26" s="300"/>
      <c r="BU26" s="301">
        <v>20</v>
      </c>
      <c r="BV26" s="299">
        <f>BR26+1</f>
        <v>18</v>
      </c>
      <c r="BW26" s="300"/>
      <c r="BX26" s="300"/>
      <c r="BY26" s="317"/>
      <c r="BZ26" s="299">
        <f>BV26+1</f>
        <v>19</v>
      </c>
      <c r="CA26" s="300"/>
      <c r="CB26" s="300"/>
      <c r="CC26" s="317"/>
      <c r="CD26" s="299">
        <f>BZ26+1</f>
        <v>20</v>
      </c>
      <c r="CE26" s="300"/>
      <c r="CF26" s="300"/>
      <c r="CG26" s="316"/>
      <c r="CH26" s="4"/>
    </row>
    <row r="27" spans="2:86" ht="15.2" customHeight="1" thickBot="1" x14ac:dyDescent="0.2">
      <c r="B27" s="296" t="s">
        <v>13</v>
      </c>
      <c r="C27" s="297"/>
      <c r="D27" s="297"/>
      <c r="E27" s="298"/>
      <c r="F27" s="291" t="s">
        <v>14</v>
      </c>
      <c r="G27" s="291"/>
      <c r="H27" s="291"/>
      <c r="I27" s="292"/>
      <c r="J27" s="290" t="s">
        <v>15</v>
      </c>
      <c r="K27" s="291"/>
      <c r="L27" s="291"/>
      <c r="M27" s="292"/>
      <c r="N27" s="290" t="s">
        <v>16</v>
      </c>
      <c r="O27" s="291"/>
      <c r="P27" s="291"/>
      <c r="Q27" s="292"/>
      <c r="R27" s="290" t="s">
        <v>17</v>
      </c>
      <c r="S27" s="291"/>
      <c r="T27" s="291"/>
      <c r="U27" s="292"/>
      <c r="V27" s="291" t="s">
        <v>18</v>
      </c>
      <c r="W27" s="291"/>
      <c r="X27" s="291"/>
      <c r="Y27" s="292"/>
      <c r="Z27" s="290" t="s">
        <v>19</v>
      </c>
      <c r="AA27" s="291"/>
      <c r="AB27" s="291"/>
      <c r="AC27" s="292"/>
      <c r="AD27" s="291" t="s">
        <v>20</v>
      </c>
      <c r="AE27" s="291"/>
      <c r="AF27" s="291"/>
      <c r="AG27" s="292"/>
      <c r="AH27" s="291" t="s">
        <v>21</v>
      </c>
      <c r="AI27" s="291"/>
      <c r="AJ27" s="291"/>
      <c r="AK27" s="292"/>
      <c r="AL27" s="290" t="s">
        <v>22</v>
      </c>
      <c r="AM27" s="291"/>
      <c r="AN27" s="291"/>
      <c r="AO27" s="292"/>
      <c r="AP27" s="291" t="s">
        <v>23</v>
      </c>
      <c r="AQ27" s="291"/>
      <c r="AR27" s="291"/>
      <c r="AS27" s="292"/>
      <c r="AT27" s="293"/>
      <c r="AU27" s="294"/>
      <c r="AV27" s="294"/>
      <c r="AW27" s="295"/>
      <c r="AX27" s="290"/>
      <c r="AY27" s="291"/>
      <c r="AZ27" s="291"/>
      <c r="BA27" s="292"/>
      <c r="BB27" s="291"/>
      <c r="BC27" s="291"/>
      <c r="BD27" s="291"/>
      <c r="BE27" s="292"/>
      <c r="BF27" s="290"/>
      <c r="BG27" s="291"/>
      <c r="BH27" s="291"/>
      <c r="BI27" s="292"/>
      <c r="BJ27" s="290"/>
      <c r="BK27" s="291"/>
      <c r="BL27" s="291"/>
      <c r="BM27" s="292"/>
      <c r="BN27" s="290"/>
      <c r="BO27" s="291"/>
      <c r="BP27" s="291"/>
      <c r="BQ27" s="292"/>
      <c r="BR27" s="290"/>
      <c r="BS27" s="291"/>
      <c r="BT27" s="291"/>
      <c r="BU27" s="292"/>
      <c r="BV27" s="13"/>
      <c r="BW27" s="11"/>
      <c r="BX27" s="11"/>
      <c r="BY27" s="12"/>
      <c r="BZ27" s="13"/>
      <c r="CA27" s="11"/>
      <c r="CB27" s="11"/>
      <c r="CC27" s="12"/>
      <c r="CD27" s="13"/>
      <c r="CE27" s="11"/>
      <c r="CF27" s="11"/>
      <c r="CG27" s="14"/>
      <c r="CH27" s="4"/>
    </row>
    <row r="28" spans="2:86" ht="15.2" customHeight="1" x14ac:dyDescent="0.15">
      <c r="B28" s="278" t="s">
        <v>24</v>
      </c>
      <c r="C28" s="279"/>
      <c r="D28" s="279"/>
      <c r="E28" s="280"/>
      <c r="F28" s="15"/>
      <c r="G28" s="16"/>
      <c r="H28" s="16"/>
      <c r="I28" s="16"/>
      <c r="J28" s="17"/>
      <c r="K28" s="17"/>
      <c r="L28" s="17"/>
      <c r="M28" s="16"/>
      <c r="N28" s="18"/>
      <c r="O28" s="18"/>
      <c r="P28" s="18"/>
      <c r="Q28" s="18"/>
      <c r="R28" s="16"/>
      <c r="S28" s="16"/>
      <c r="T28" s="16"/>
      <c r="U28" s="17"/>
      <c r="V28" s="16"/>
      <c r="W28" s="16"/>
      <c r="X28" s="16"/>
      <c r="Y28" s="19"/>
      <c r="Z28" s="16"/>
      <c r="AA28" s="16"/>
      <c r="AB28" s="16"/>
      <c r="AC28" s="16"/>
      <c r="AD28" s="20"/>
      <c r="AE28" s="20"/>
      <c r="AF28" s="20"/>
      <c r="AG28" s="20"/>
      <c r="AH28" s="20"/>
      <c r="AI28" s="20"/>
      <c r="AJ28" s="16"/>
      <c r="AK28" s="16"/>
      <c r="AL28" s="17"/>
      <c r="AM28" s="17"/>
      <c r="AN28" s="17"/>
      <c r="AO28" s="16"/>
      <c r="AP28" s="16"/>
      <c r="AQ28" s="16"/>
      <c r="AR28" s="16"/>
      <c r="AS28" s="19"/>
      <c r="AT28" s="16"/>
      <c r="AU28" s="16"/>
      <c r="AV28" s="16"/>
      <c r="AW28" s="17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21"/>
    </row>
    <row r="29" spans="2:86" ht="15.2" customHeight="1" x14ac:dyDescent="0.15">
      <c r="B29" s="281"/>
      <c r="C29" s="282"/>
      <c r="D29" s="282"/>
      <c r="E29" s="283"/>
      <c r="F29" s="6"/>
      <c r="J29" s="8"/>
      <c r="K29" s="8"/>
      <c r="L29" s="8"/>
      <c r="N29" s="4"/>
      <c r="O29" s="4"/>
      <c r="P29" s="4"/>
      <c r="Q29" s="4"/>
      <c r="U29" s="8"/>
      <c r="Y29" s="22"/>
      <c r="AD29" s="23"/>
      <c r="AE29" s="23"/>
      <c r="AF29" s="23"/>
      <c r="AG29" s="23"/>
      <c r="AH29" s="23"/>
      <c r="AI29" s="23"/>
      <c r="AL29" s="8"/>
      <c r="AM29" s="8"/>
      <c r="AN29" s="8"/>
      <c r="AS29" s="24"/>
      <c r="AW29" s="8"/>
      <c r="CG29" s="7"/>
    </row>
    <row r="30" spans="2:86" ht="15.2" customHeight="1" x14ac:dyDescent="0.15">
      <c r="B30" s="281"/>
      <c r="C30" s="282"/>
      <c r="D30" s="282"/>
      <c r="E30" s="283"/>
      <c r="F30" s="25"/>
      <c r="G30" s="26"/>
      <c r="H30" s="26"/>
      <c r="I30" s="26"/>
      <c r="J30" s="27"/>
      <c r="K30" s="27"/>
      <c r="L30" s="27"/>
      <c r="V30" s="26"/>
      <c r="W30" s="26"/>
      <c r="X30" s="26"/>
      <c r="Y30" s="28"/>
      <c r="AC30" s="29"/>
      <c r="AD30" s="30"/>
      <c r="AE30" s="30"/>
      <c r="AF30" s="30"/>
      <c r="AG30" s="30"/>
      <c r="AH30" s="30"/>
      <c r="AI30" s="30"/>
      <c r="AL30" s="27"/>
      <c r="AM30" s="27"/>
      <c r="AN30" s="27"/>
      <c r="AS30" s="22"/>
      <c r="CG30" s="7"/>
    </row>
    <row r="31" spans="2:86" ht="15.2" customHeight="1" x14ac:dyDescent="0.15">
      <c r="B31" s="281"/>
      <c r="C31" s="282"/>
      <c r="D31" s="282"/>
      <c r="E31" s="283"/>
      <c r="F31" s="31" t="s">
        <v>25</v>
      </c>
      <c r="G31" s="32"/>
      <c r="H31" s="32"/>
      <c r="Y31" s="22"/>
      <c r="Z31" s="33"/>
      <c r="AA31" s="33"/>
      <c r="AB31" s="33"/>
      <c r="AC31" s="27"/>
      <c r="AS31" s="22"/>
      <c r="CG31" s="7"/>
    </row>
    <row r="32" spans="2:86" ht="15.2" customHeight="1" x14ac:dyDescent="0.15">
      <c r="B32" s="281"/>
      <c r="C32" s="282"/>
      <c r="D32" s="282"/>
      <c r="E32" s="283"/>
      <c r="F32" s="31"/>
      <c r="G32" s="32"/>
      <c r="H32" s="32"/>
      <c r="Y32" s="34"/>
      <c r="Z32" s="33"/>
      <c r="AA32" s="33"/>
      <c r="AB32" s="33"/>
      <c r="AC32" s="27"/>
      <c r="AS32" s="22"/>
      <c r="CG32" s="7"/>
    </row>
    <row r="33" spans="2:89" ht="15.2" customHeight="1" x14ac:dyDescent="0.15">
      <c r="B33" s="281"/>
      <c r="C33" s="282"/>
      <c r="D33" s="282"/>
      <c r="E33" s="283"/>
      <c r="F33" s="31"/>
      <c r="G33" s="32"/>
      <c r="H33" s="32"/>
      <c r="Y33" s="34"/>
      <c r="Z33" s="33"/>
      <c r="AA33" s="33"/>
      <c r="AB33" s="33"/>
      <c r="AC33" s="27"/>
      <c r="AS33" s="22"/>
      <c r="CG33" s="7"/>
    </row>
    <row r="34" spans="2:89" ht="15.2" customHeight="1" x14ac:dyDescent="0.15">
      <c r="B34" s="281"/>
      <c r="C34" s="282"/>
      <c r="D34" s="282"/>
      <c r="E34" s="283"/>
      <c r="F34" s="6"/>
      <c r="Y34" s="22"/>
      <c r="Z34" s="33"/>
      <c r="AA34" s="33"/>
      <c r="AB34" s="33"/>
      <c r="AC34" s="27"/>
      <c r="AS34" s="22"/>
      <c r="CG34" s="7"/>
    </row>
    <row r="35" spans="2:89" ht="15.2" customHeight="1" x14ac:dyDescent="0.15">
      <c r="B35" s="281"/>
      <c r="C35" s="282"/>
      <c r="D35" s="282"/>
      <c r="E35" s="283"/>
      <c r="F35" s="35"/>
      <c r="G35" s="36"/>
      <c r="H35" s="36"/>
      <c r="I35" s="36"/>
      <c r="V35" s="36"/>
      <c r="W35" s="36"/>
      <c r="X35" s="36"/>
      <c r="Y35" s="37"/>
      <c r="AC35" s="36"/>
      <c r="AD35" s="38"/>
      <c r="AE35" s="38"/>
      <c r="AF35" s="38"/>
      <c r="AG35" s="38"/>
      <c r="AH35" s="38"/>
      <c r="AI35" s="38"/>
      <c r="AS35" s="22"/>
      <c r="CG35" s="7"/>
    </row>
    <row r="36" spans="2:89" ht="15.2" customHeight="1" x14ac:dyDescent="0.15">
      <c r="B36" s="281"/>
      <c r="C36" s="282"/>
      <c r="D36" s="282"/>
      <c r="E36" s="283"/>
      <c r="F36" s="6"/>
      <c r="I36" s="39"/>
      <c r="J36" s="39"/>
      <c r="K36" s="39"/>
      <c r="L36" s="39"/>
      <c r="N36" s="4"/>
      <c r="O36" s="4"/>
      <c r="P36" s="4"/>
      <c r="U36" s="40"/>
      <c r="Y36" s="22"/>
      <c r="AD36" s="23"/>
      <c r="AE36" s="23"/>
      <c r="AF36" s="23"/>
      <c r="AG36" s="23"/>
      <c r="AH36" s="23"/>
      <c r="AI36" s="23"/>
      <c r="AL36" s="40"/>
      <c r="AM36" s="40"/>
      <c r="AN36" s="40"/>
      <c r="AP36" s="4"/>
      <c r="AQ36" s="4"/>
      <c r="AR36" s="4"/>
      <c r="AS36" s="22"/>
      <c r="AW36" s="40"/>
      <c r="CG36" s="7"/>
    </row>
    <row r="37" spans="2:89" ht="15.2" customHeight="1" thickBot="1" x14ac:dyDescent="0.2">
      <c r="B37" s="284"/>
      <c r="C37" s="285"/>
      <c r="D37" s="285"/>
      <c r="E37" s="286"/>
      <c r="F37" s="6"/>
      <c r="J37" s="40"/>
      <c r="K37" s="40"/>
      <c r="L37" s="40"/>
      <c r="U37" s="40"/>
      <c r="V37" s="41"/>
      <c r="W37" s="41"/>
      <c r="X37" s="41"/>
      <c r="Y37" s="42"/>
      <c r="AD37" s="23"/>
      <c r="AE37" s="23"/>
      <c r="AF37" s="23"/>
      <c r="AG37" s="23"/>
      <c r="AH37" s="23"/>
      <c r="AI37" s="23"/>
      <c r="AL37" s="40"/>
      <c r="AM37" s="40"/>
      <c r="AN37" s="40"/>
      <c r="AS37" s="42"/>
      <c r="AW37" s="40"/>
      <c r="CG37" s="7"/>
    </row>
    <row r="38" spans="2:89" ht="5.85" customHeight="1" x14ac:dyDescent="0.15">
      <c r="B38" s="287" t="s">
        <v>26</v>
      </c>
      <c r="C38" s="288"/>
      <c r="D38" s="289" t="s">
        <v>27</v>
      </c>
      <c r="E38" s="289"/>
      <c r="F38" s="15"/>
      <c r="G38" s="16"/>
      <c r="H38" s="16"/>
      <c r="I38" s="19"/>
      <c r="J38" s="43"/>
      <c r="K38" s="44"/>
      <c r="L38" s="44"/>
      <c r="M38" s="19"/>
      <c r="N38" s="45"/>
      <c r="O38" s="16"/>
      <c r="P38" s="16"/>
      <c r="Q38" s="19"/>
      <c r="R38" s="45"/>
      <c r="S38" s="16"/>
      <c r="T38" s="16"/>
      <c r="U38" s="46"/>
      <c r="V38" s="45"/>
      <c r="W38" s="16"/>
      <c r="X38" s="16"/>
      <c r="Y38" s="19"/>
      <c r="Z38" s="45"/>
      <c r="AA38" s="16"/>
      <c r="AB38" s="16"/>
      <c r="AC38" s="19"/>
      <c r="AD38" s="47"/>
      <c r="AE38" s="48"/>
      <c r="AF38" s="48"/>
      <c r="AG38" s="19"/>
      <c r="AH38" s="45"/>
      <c r="AI38" s="16"/>
      <c r="AJ38" s="16"/>
      <c r="AK38" s="19"/>
      <c r="AL38" s="43"/>
      <c r="AM38" s="44"/>
      <c r="AN38" s="44"/>
      <c r="AO38" s="19"/>
      <c r="AP38" s="45"/>
      <c r="AQ38" s="16"/>
      <c r="AR38" s="16"/>
      <c r="AS38" s="19"/>
      <c r="AT38" s="45"/>
      <c r="AU38" s="16"/>
      <c r="AV38" s="16"/>
      <c r="AW38" s="46"/>
      <c r="AX38" s="45"/>
      <c r="AY38" s="16"/>
      <c r="AZ38" s="16"/>
      <c r="BA38" s="19"/>
      <c r="BB38" s="45"/>
      <c r="BC38" s="16"/>
      <c r="BD38" s="16"/>
      <c r="BE38" s="19"/>
      <c r="BF38" s="45"/>
      <c r="BG38" s="16"/>
      <c r="BH38" s="16"/>
      <c r="BI38" s="19"/>
      <c r="BJ38" s="45"/>
      <c r="BK38" s="16"/>
      <c r="BL38" s="16"/>
      <c r="BM38" s="19"/>
      <c r="BN38" s="45"/>
      <c r="BO38" s="16"/>
      <c r="BP38" s="16"/>
      <c r="BQ38" s="19"/>
      <c r="BR38" s="45"/>
      <c r="BS38" s="16"/>
      <c r="BT38" s="16"/>
      <c r="BU38" s="19"/>
      <c r="BV38" s="45"/>
      <c r="BW38" s="16"/>
      <c r="BX38" s="16"/>
      <c r="BY38" s="19"/>
      <c r="BZ38" s="45"/>
      <c r="CA38" s="16"/>
      <c r="CB38" s="16"/>
      <c r="CC38" s="19"/>
      <c r="CD38" s="16"/>
      <c r="CE38" s="16"/>
      <c r="CF38" s="16"/>
      <c r="CG38" s="21"/>
    </row>
    <row r="39" spans="2:89" ht="5.85" customHeight="1" x14ac:dyDescent="0.15">
      <c r="B39" s="262"/>
      <c r="C39" s="263"/>
      <c r="D39" s="236"/>
      <c r="E39" s="236"/>
      <c r="F39" s="6"/>
      <c r="I39" s="22"/>
      <c r="J39" s="49"/>
      <c r="K39" s="40"/>
      <c r="L39" s="40"/>
      <c r="M39" s="22"/>
      <c r="N39" s="50"/>
      <c r="Q39" s="22"/>
      <c r="R39" s="50"/>
      <c r="U39" s="51"/>
      <c r="V39" s="50"/>
      <c r="Y39" s="22"/>
      <c r="Z39" s="50"/>
      <c r="AC39" s="22"/>
      <c r="AD39" s="52"/>
      <c r="AE39" s="23"/>
      <c r="AF39" s="23"/>
      <c r="AG39" s="22"/>
      <c r="AH39" s="50"/>
      <c r="AK39" s="22"/>
      <c r="AL39" s="49"/>
      <c r="AM39" s="40"/>
      <c r="AN39" s="40"/>
      <c r="AO39" s="22"/>
      <c r="AP39" s="50"/>
      <c r="AS39" s="22"/>
      <c r="AT39" s="50"/>
      <c r="AW39" s="51"/>
      <c r="AX39" s="50"/>
      <c r="BA39" s="22"/>
      <c r="BB39" s="50"/>
      <c r="BE39" s="22"/>
      <c r="BF39" s="50"/>
      <c r="BI39" s="22"/>
      <c r="BJ39" s="50"/>
      <c r="BM39" s="22"/>
      <c r="BN39" s="50"/>
      <c r="BQ39" s="22"/>
      <c r="BR39" s="50"/>
      <c r="BU39" s="22"/>
      <c r="BV39" s="50"/>
      <c r="BY39" s="22"/>
      <c r="BZ39" s="50"/>
      <c r="CC39" s="22"/>
      <c r="CG39" s="7"/>
    </row>
    <row r="40" spans="2:89" ht="5.85" customHeight="1" x14ac:dyDescent="0.15">
      <c r="B40" s="264"/>
      <c r="C40" s="265"/>
      <c r="D40" s="210"/>
      <c r="E40" s="210"/>
      <c r="F40" s="53"/>
      <c r="G40" s="54"/>
      <c r="H40" s="54"/>
      <c r="I40" s="55"/>
      <c r="J40" s="56"/>
      <c r="K40" s="54"/>
      <c r="L40" s="54"/>
      <c r="M40" s="55"/>
      <c r="N40" s="56"/>
      <c r="O40" s="54"/>
      <c r="P40" s="54"/>
      <c r="Q40" s="55"/>
      <c r="R40" s="56"/>
      <c r="S40" s="54"/>
      <c r="T40" s="54"/>
      <c r="U40" s="55"/>
      <c r="V40" s="56"/>
      <c r="W40" s="54"/>
      <c r="X40" s="54"/>
      <c r="Y40" s="55"/>
      <c r="Z40" s="56"/>
      <c r="AA40" s="54"/>
      <c r="AB40" s="54"/>
      <c r="AC40" s="55"/>
      <c r="AD40" s="56"/>
      <c r="AE40" s="54"/>
      <c r="AF40" s="54"/>
      <c r="AG40" s="55"/>
      <c r="AH40" s="56"/>
      <c r="AI40" s="54"/>
      <c r="AJ40" s="54"/>
      <c r="AK40" s="55"/>
      <c r="AL40" s="56"/>
      <c r="AM40" s="54"/>
      <c r="AN40" s="54"/>
      <c r="AO40" s="55"/>
      <c r="AP40" s="56"/>
      <c r="AQ40" s="54"/>
      <c r="AR40" s="54"/>
      <c r="AS40" s="55"/>
      <c r="AT40" s="56"/>
      <c r="AU40" s="54"/>
      <c r="AV40" s="54"/>
      <c r="AW40" s="55"/>
      <c r="AX40" s="56"/>
      <c r="AY40" s="54"/>
      <c r="AZ40" s="54"/>
      <c r="BA40" s="55"/>
      <c r="BB40" s="56"/>
      <c r="BC40" s="54"/>
      <c r="BD40" s="54"/>
      <c r="BE40" s="55"/>
      <c r="BF40" s="56"/>
      <c r="BG40" s="54"/>
      <c r="BH40" s="54"/>
      <c r="BI40" s="55"/>
      <c r="BJ40" s="56"/>
      <c r="BK40" s="54"/>
      <c r="BL40" s="54"/>
      <c r="BM40" s="55"/>
      <c r="BN40" s="56"/>
      <c r="BO40" s="54"/>
      <c r="BP40" s="54"/>
      <c r="BQ40" s="55"/>
      <c r="BR40" s="56"/>
      <c r="BS40" s="54"/>
      <c r="BT40" s="54"/>
      <c r="BU40" s="55"/>
      <c r="BV40" s="56"/>
      <c r="BW40" s="54"/>
      <c r="BX40" s="54"/>
      <c r="BY40" s="55"/>
      <c r="BZ40" s="56"/>
      <c r="CA40" s="54"/>
      <c r="CB40" s="54"/>
      <c r="CC40" s="55"/>
      <c r="CD40" s="54"/>
      <c r="CE40" s="54"/>
      <c r="CF40" s="54"/>
      <c r="CG40" s="57"/>
      <c r="CJ40" s="212"/>
      <c r="CK40" s="212"/>
    </row>
    <row r="41" spans="2:89" ht="5.85" customHeight="1" x14ac:dyDescent="0.15">
      <c r="B41" s="260">
        <v>1</v>
      </c>
      <c r="C41" s="261"/>
      <c r="D41" s="234" t="s">
        <v>28</v>
      </c>
      <c r="E41" s="234"/>
      <c r="F41" s="58"/>
      <c r="G41" s="59"/>
      <c r="H41" s="59"/>
      <c r="I41" s="60"/>
      <c r="J41" s="61"/>
      <c r="K41" s="59"/>
      <c r="L41" s="59"/>
      <c r="M41" s="60"/>
      <c r="N41" s="61"/>
      <c r="O41" s="59"/>
      <c r="P41" s="59"/>
      <c r="Q41" s="60"/>
      <c r="R41" s="61"/>
      <c r="S41" s="59"/>
      <c r="T41" s="59"/>
      <c r="U41" s="60"/>
      <c r="V41" s="61"/>
      <c r="W41" s="59"/>
      <c r="X41" s="59"/>
      <c r="Y41" s="60"/>
      <c r="Z41" s="61"/>
      <c r="AA41" s="59"/>
      <c r="AB41" s="59"/>
      <c r="AC41" s="60"/>
      <c r="AD41" s="61"/>
      <c r="AE41" s="59"/>
      <c r="AF41" s="59"/>
      <c r="AG41" s="60"/>
      <c r="AH41" s="61"/>
      <c r="AI41" s="59"/>
      <c r="AJ41" s="59"/>
      <c r="AK41" s="60"/>
      <c r="AL41" s="61"/>
      <c r="AM41" s="59"/>
      <c r="AN41" s="59"/>
      <c r="AO41" s="60"/>
      <c r="AP41" s="61"/>
      <c r="AQ41" s="59"/>
      <c r="AR41" s="59"/>
      <c r="AS41" s="60"/>
      <c r="AT41" s="61"/>
      <c r="AU41" s="59"/>
      <c r="AV41" s="59"/>
      <c r="AW41" s="60"/>
      <c r="AX41" s="61"/>
      <c r="AY41" s="59"/>
      <c r="AZ41" s="59"/>
      <c r="BA41" s="60"/>
      <c r="BB41" s="61"/>
      <c r="BC41" s="59"/>
      <c r="BD41" s="59"/>
      <c r="BE41" s="60"/>
      <c r="BF41" s="61"/>
      <c r="BG41" s="59"/>
      <c r="BH41" s="59"/>
      <c r="BI41" s="60"/>
      <c r="BJ41" s="61"/>
      <c r="BK41" s="59"/>
      <c r="BL41" s="59"/>
      <c r="BM41" s="60"/>
      <c r="BN41" s="61"/>
      <c r="BO41" s="59"/>
      <c r="BP41" s="59"/>
      <c r="BQ41" s="60"/>
      <c r="BR41" s="61"/>
      <c r="BS41" s="59"/>
      <c r="BT41" s="59"/>
      <c r="BU41" s="60"/>
      <c r="BV41" s="61"/>
      <c r="BW41" s="59"/>
      <c r="BX41" s="59"/>
      <c r="BY41" s="60"/>
      <c r="BZ41" s="61"/>
      <c r="CA41" s="59"/>
      <c r="CB41" s="59"/>
      <c r="CC41" s="60"/>
      <c r="CD41" s="59"/>
      <c r="CE41" s="59"/>
      <c r="CF41" s="59"/>
      <c r="CG41" s="62"/>
    </row>
    <row r="42" spans="2:89" ht="5.85" customHeight="1" x14ac:dyDescent="0.15">
      <c r="B42" s="262"/>
      <c r="C42" s="263"/>
      <c r="D42" s="236"/>
      <c r="E42" s="236"/>
      <c r="F42" s="6"/>
      <c r="I42" s="22"/>
      <c r="J42" s="50"/>
      <c r="M42" s="22"/>
      <c r="N42" s="50"/>
      <c r="Q42" s="22"/>
      <c r="R42" s="50"/>
      <c r="U42" s="22"/>
      <c r="V42" s="50"/>
      <c r="Y42" s="22"/>
      <c r="Z42" s="50"/>
      <c r="AC42" s="22"/>
      <c r="AD42" s="50"/>
      <c r="AG42" s="22"/>
      <c r="AH42" s="50"/>
      <c r="AK42" s="22"/>
      <c r="AL42" s="50"/>
      <c r="AO42" s="22"/>
      <c r="AP42" s="50"/>
      <c r="AS42" s="22"/>
      <c r="AT42" s="50"/>
      <c r="AW42" s="22"/>
      <c r="AX42" s="50"/>
      <c r="BA42" s="22"/>
      <c r="BB42" s="50"/>
      <c r="BE42" s="22"/>
      <c r="BF42" s="50"/>
      <c r="BI42" s="22"/>
      <c r="BJ42" s="50"/>
      <c r="BM42" s="22"/>
      <c r="BN42" s="50"/>
      <c r="BQ42" s="22"/>
      <c r="BR42" s="50"/>
      <c r="BU42" s="22"/>
      <c r="BV42" s="50"/>
      <c r="BY42" s="22"/>
      <c r="BZ42" s="50"/>
      <c r="CC42" s="22"/>
      <c r="CG42" s="7"/>
    </row>
    <row r="43" spans="2:89" ht="5.85" customHeight="1" x14ac:dyDescent="0.15">
      <c r="B43" s="264"/>
      <c r="C43" s="265"/>
      <c r="D43" s="210"/>
      <c r="E43" s="210"/>
      <c r="F43" s="53"/>
      <c r="G43" s="54"/>
      <c r="H43" s="54"/>
      <c r="I43" s="55"/>
      <c r="J43" s="56"/>
      <c r="K43" s="54"/>
      <c r="L43" s="54"/>
      <c r="M43" s="55"/>
      <c r="N43" s="56"/>
      <c r="O43" s="54"/>
      <c r="P43" s="54"/>
      <c r="Q43" s="55"/>
      <c r="R43" s="56"/>
      <c r="S43" s="54"/>
      <c r="T43" s="54"/>
      <c r="U43" s="55"/>
      <c r="V43" s="56"/>
      <c r="W43" s="54"/>
      <c r="X43" s="54"/>
      <c r="Y43" s="55"/>
      <c r="Z43" s="56"/>
      <c r="AA43" s="54"/>
      <c r="AB43" s="54"/>
      <c r="AC43" s="55"/>
      <c r="AD43" s="56"/>
      <c r="AE43" s="54"/>
      <c r="AF43" s="54"/>
      <c r="AG43" s="55"/>
      <c r="AH43" s="56"/>
      <c r="AI43" s="54"/>
      <c r="AJ43" s="54"/>
      <c r="AK43" s="55"/>
      <c r="AL43" s="56"/>
      <c r="AM43" s="54"/>
      <c r="AN43" s="54"/>
      <c r="AO43" s="55"/>
      <c r="AP43" s="56"/>
      <c r="AQ43" s="54"/>
      <c r="AR43" s="54"/>
      <c r="AS43" s="55"/>
      <c r="AT43" s="56"/>
      <c r="AU43" s="54"/>
      <c r="AV43" s="54"/>
      <c r="AW43" s="55"/>
      <c r="AX43" s="56"/>
      <c r="AY43" s="54"/>
      <c r="AZ43" s="54"/>
      <c r="BA43" s="55"/>
      <c r="BB43" s="56"/>
      <c r="BC43" s="54"/>
      <c r="BD43" s="54"/>
      <c r="BE43" s="55"/>
      <c r="BF43" s="56"/>
      <c r="BG43" s="54"/>
      <c r="BH43" s="54"/>
      <c r="BI43" s="55"/>
      <c r="BJ43" s="56"/>
      <c r="BK43" s="54"/>
      <c r="BL43" s="54"/>
      <c r="BM43" s="55"/>
      <c r="BN43" s="56"/>
      <c r="BO43" s="54"/>
      <c r="BP43" s="54"/>
      <c r="BQ43" s="55"/>
      <c r="BR43" s="56"/>
      <c r="BS43" s="54"/>
      <c r="BT43" s="54"/>
      <c r="BU43" s="55"/>
      <c r="BV43" s="56"/>
      <c r="BW43" s="54"/>
      <c r="BX43" s="54"/>
      <c r="BY43" s="55"/>
      <c r="BZ43" s="56"/>
      <c r="CA43" s="54"/>
      <c r="CB43" s="54"/>
      <c r="CC43" s="55"/>
      <c r="CD43" s="54"/>
      <c r="CE43" s="54"/>
      <c r="CF43" s="54"/>
      <c r="CG43" s="57"/>
      <c r="CJ43" s="212"/>
      <c r="CK43" s="212"/>
    </row>
    <row r="44" spans="2:89" ht="5.85" customHeight="1" x14ac:dyDescent="0.15">
      <c r="B44" s="260" t="s">
        <v>29</v>
      </c>
      <c r="C44" s="261"/>
      <c r="D44" s="234" t="s">
        <v>30</v>
      </c>
      <c r="E44" s="234"/>
      <c r="F44" s="58"/>
      <c r="G44" s="59"/>
      <c r="H44" s="59"/>
      <c r="I44" s="60"/>
      <c r="J44" s="61"/>
      <c r="K44" s="59"/>
      <c r="L44" s="59"/>
      <c r="M44" s="60"/>
      <c r="N44" s="61"/>
      <c r="O44" s="59"/>
      <c r="P44" s="59"/>
      <c r="Q44" s="60"/>
      <c r="R44" s="61"/>
      <c r="S44" s="59"/>
      <c r="T44" s="59"/>
      <c r="U44" s="60"/>
      <c r="V44" s="61"/>
      <c r="W44" s="59"/>
      <c r="X44" s="59"/>
      <c r="Y44" s="60"/>
      <c r="Z44" s="61"/>
      <c r="AA44" s="59"/>
      <c r="AB44" s="59"/>
      <c r="AC44" s="60"/>
      <c r="AD44" s="61"/>
      <c r="AE44" s="59"/>
      <c r="AF44" s="59"/>
      <c r="AG44" s="60"/>
      <c r="AH44" s="61"/>
      <c r="AI44" s="59"/>
      <c r="AJ44" s="59"/>
      <c r="AK44" s="60"/>
      <c r="AL44" s="61"/>
      <c r="AM44" s="59"/>
      <c r="AN44" s="59"/>
      <c r="AO44" s="60"/>
      <c r="AP44" s="61"/>
      <c r="AQ44" s="59"/>
      <c r="AR44" s="59"/>
      <c r="AS44" s="60"/>
      <c r="AT44" s="61"/>
      <c r="AU44" s="59"/>
      <c r="AV44" s="59"/>
      <c r="AW44" s="60"/>
      <c r="AX44" s="61"/>
      <c r="AY44" s="59"/>
      <c r="AZ44" s="59"/>
      <c r="BA44" s="60"/>
      <c r="BB44" s="61"/>
      <c r="BC44" s="59"/>
      <c r="BD44" s="59"/>
      <c r="BE44" s="60"/>
      <c r="BF44" s="61"/>
      <c r="BG44" s="59"/>
      <c r="BH44" s="59"/>
      <c r="BI44" s="60"/>
      <c r="BJ44" s="61"/>
      <c r="BK44" s="59"/>
      <c r="BL44" s="59"/>
      <c r="BM44" s="60"/>
      <c r="BN44" s="61"/>
      <c r="BO44" s="59"/>
      <c r="BP44" s="59"/>
      <c r="BQ44" s="60"/>
      <c r="BR44" s="61"/>
      <c r="BS44" s="59"/>
      <c r="BT44" s="59"/>
      <c r="BU44" s="60"/>
      <c r="BV44" s="61"/>
      <c r="BW44" s="59"/>
      <c r="BX44" s="59"/>
      <c r="BY44" s="60"/>
      <c r="BZ44" s="61"/>
      <c r="CA44" s="59"/>
      <c r="CB44" s="59"/>
      <c r="CC44" s="60"/>
      <c r="CD44" s="59"/>
      <c r="CE44" s="59"/>
      <c r="CF44" s="59"/>
      <c r="CG44" s="62"/>
    </row>
    <row r="45" spans="2:89" ht="5.85" customHeight="1" x14ac:dyDescent="0.15">
      <c r="B45" s="262"/>
      <c r="C45" s="263"/>
      <c r="D45" s="236"/>
      <c r="E45" s="236"/>
      <c r="F45" s="6"/>
      <c r="I45" s="22"/>
      <c r="J45" s="50"/>
      <c r="M45" s="22"/>
      <c r="N45" s="50"/>
      <c r="Q45" s="22"/>
      <c r="R45" s="50"/>
      <c r="U45" s="22"/>
      <c r="V45" s="50"/>
      <c r="Y45" s="22"/>
      <c r="Z45" s="50"/>
      <c r="AC45" s="22"/>
      <c r="AD45" s="50"/>
      <c r="AG45" s="22"/>
      <c r="AH45" s="50"/>
      <c r="AK45" s="22"/>
      <c r="AL45" s="50"/>
      <c r="AO45" s="22"/>
      <c r="AP45" s="50"/>
      <c r="AS45" s="22"/>
      <c r="AT45" s="50"/>
      <c r="AW45" s="22"/>
      <c r="AX45" s="50"/>
      <c r="BA45" s="22"/>
      <c r="BB45" s="50"/>
      <c r="BE45" s="22"/>
      <c r="BF45" s="50"/>
      <c r="BI45" s="22"/>
      <c r="BJ45" s="50"/>
      <c r="BM45" s="22"/>
      <c r="BN45" s="50"/>
      <c r="BQ45" s="22"/>
      <c r="BR45" s="50"/>
      <c r="BU45" s="22"/>
      <c r="BV45" s="50"/>
      <c r="BY45" s="22"/>
      <c r="BZ45" s="50"/>
      <c r="CC45" s="22"/>
      <c r="CG45" s="7"/>
    </row>
    <row r="46" spans="2:89" ht="5.85" customHeight="1" x14ac:dyDescent="0.15">
      <c r="B46" s="264"/>
      <c r="C46" s="265"/>
      <c r="D46" s="210"/>
      <c r="E46" s="210"/>
      <c r="F46" s="53"/>
      <c r="G46" s="54"/>
      <c r="H46" s="54"/>
      <c r="I46" s="55"/>
      <c r="J46" s="56"/>
      <c r="K46" s="54"/>
      <c r="L46" s="54"/>
      <c r="M46" s="55"/>
      <c r="N46" s="56"/>
      <c r="O46" s="54"/>
      <c r="P46" s="54"/>
      <c r="Q46" s="55"/>
      <c r="R46" s="56"/>
      <c r="S46" s="54"/>
      <c r="T46" s="54"/>
      <c r="U46" s="55"/>
      <c r="V46" s="56"/>
      <c r="W46" s="54"/>
      <c r="X46" s="54"/>
      <c r="Y46" s="55"/>
      <c r="Z46" s="56"/>
      <c r="AA46" s="54"/>
      <c r="AB46" s="54"/>
      <c r="AC46" s="55"/>
      <c r="AD46" s="56"/>
      <c r="AE46" s="54"/>
      <c r="AF46" s="54"/>
      <c r="AG46" s="55"/>
      <c r="AH46" s="56"/>
      <c r="AI46" s="54"/>
      <c r="AJ46" s="54"/>
      <c r="AK46" s="55"/>
      <c r="AL46" s="56"/>
      <c r="AM46" s="54"/>
      <c r="AN46" s="54"/>
      <c r="AO46" s="55"/>
      <c r="AP46" s="56"/>
      <c r="AQ46" s="54"/>
      <c r="AR46" s="54"/>
      <c r="AS46" s="55"/>
      <c r="AT46" s="56"/>
      <c r="AU46" s="54"/>
      <c r="AV46" s="54"/>
      <c r="AW46" s="55"/>
      <c r="AX46" s="56"/>
      <c r="AY46" s="54"/>
      <c r="AZ46" s="54"/>
      <c r="BA46" s="55"/>
      <c r="BB46" s="56"/>
      <c r="BC46" s="54"/>
      <c r="BD46" s="54"/>
      <c r="BE46" s="55"/>
      <c r="BF46" s="56"/>
      <c r="BG46" s="54"/>
      <c r="BH46" s="54"/>
      <c r="BI46" s="55"/>
      <c r="BJ46" s="56"/>
      <c r="BK46" s="54"/>
      <c r="BL46" s="54"/>
      <c r="BM46" s="55"/>
      <c r="BN46" s="56"/>
      <c r="BO46" s="54"/>
      <c r="BP46" s="54"/>
      <c r="BQ46" s="55"/>
      <c r="BR46" s="56"/>
      <c r="BS46" s="54"/>
      <c r="BT46" s="54"/>
      <c r="BU46" s="55"/>
      <c r="BV46" s="56"/>
      <c r="BW46" s="54"/>
      <c r="BX46" s="54"/>
      <c r="BY46" s="55"/>
      <c r="BZ46" s="56"/>
      <c r="CA46" s="54"/>
      <c r="CB46" s="54"/>
      <c r="CC46" s="55"/>
      <c r="CD46" s="54"/>
      <c r="CE46" s="54"/>
      <c r="CF46" s="54"/>
      <c r="CG46" s="57"/>
      <c r="CJ46" s="212"/>
      <c r="CK46" s="212"/>
    </row>
    <row r="47" spans="2:89" ht="5.85" customHeight="1" x14ac:dyDescent="0.15">
      <c r="B47" s="260" t="s">
        <v>31</v>
      </c>
      <c r="C47" s="261"/>
      <c r="D47" s="234" t="s">
        <v>32</v>
      </c>
      <c r="E47" s="234"/>
      <c r="F47" s="58"/>
      <c r="G47" s="59"/>
      <c r="H47" s="59"/>
      <c r="I47" s="60"/>
      <c r="J47" s="61"/>
      <c r="K47" s="59"/>
      <c r="L47" s="59"/>
      <c r="M47" s="60"/>
      <c r="N47" s="61"/>
      <c r="O47" s="59"/>
      <c r="P47" s="59"/>
      <c r="Q47" s="60"/>
      <c r="R47" s="61"/>
      <c r="S47" s="59"/>
      <c r="T47" s="59"/>
      <c r="U47" s="60"/>
      <c r="V47" s="61"/>
      <c r="W47" s="59"/>
      <c r="X47" s="59"/>
      <c r="Y47" s="60"/>
      <c r="Z47" s="61"/>
      <c r="AA47" s="59"/>
      <c r="AB47" s="59"/>
      <c r="AC47" s="60"/>
      <c r="AD47" s="61"/>
      <c r="AE47" s="59"/>
      <c r="AF47" s="59"/>
      <c r="AG47" s="60"/>
      <c r="AH47" s="61"/>
      <c r="AI47" s="59"/>
      <c r="AJ47" s="59"/>
      <c r="AK47" s="60"/>
      <c r="AL47" s="61"/>
      <c r="AM47" s="59"/>
      <c r="AN47" s="59"/>
      <c r="AO47" s="60"/>
      <c r="AP47" s="61"/>
      <c r="AQ47" s="59"/>
      <c r="AR47" s="59"/>
      <c r="AS47" s="60"/>
      <c r="AT47" s="61"/>
      <c r="AU47" s="59"/>
      <c r="AV47" s="59"/>
      <c r="AW47" s="60"/>
      <c r="AX47" s="61"/>
      <c r="AY47" s="59"/>
      <c r="AZ47" s="59"/>
      <c r="BA47" s="60"/>
      <c r="BB47" s="61"/>
      <c r="BC47" s="59"/>
      <c r="BD47" s="59"/>
      <c r="BE47" s="60"/>
      <c r="BF47" s="61"/>
      <c r="BG47" s="59"/>
      <c r="BH47" s="59"/>
      <c r="BI47" s="60"/>
      <c r="BJ47" s="61"/>
      <c r="BK47" s="59"/>
      <c r="BL47" s="59"/>
      <c r="BM47" s="60"/>
      <c r="BN47" s="61"/>
      <c r="BO47" s="59"/>
      <c r="BP47" s="59"/>
      <c r="BQ47" s="60"/>
      <c r="BR47" s="61"/>
      <c r="BS47" s="59"/>
      <c r="BT47" s="59"/>
      <c r="BU47" s="60"/>
      <c r="BV47" s="61"/>
      <c r="BW47" s="59"/>
      <c r="BX47" s="59"/>
      <c r="BY47" s="60"/>
      <c r="BZ47" s="61"/>
      <c r="CA47" s="59"/>
      <c r="CB47" s="59"/>
      <c r="CC47" s="60"/>
      <c r="CD47" s="59"/>
      <c r="CE47" s="59"/>
      <c r="CF47" s="59"/>
      <c r="CG47" s="62"/>
    </row>
    <row r="48" spans="2:89" ht="5.85" customHeight="1" x14ac:dyDescent="0.15">
      <c r="B48" s="262"/>
      <c r="C48" s="263"/>
      <c r="D48" s="236"/>
      <c r="E48" s="236"/>
      <c r="F48" s="6"/>
      <c r="I48" s="22"/>
      <c r="J48" s="50"/>
      <c r="M48" s="22"/>
      <c r="N48" s="50"/>
      <c r="Q48" s="22"/>
      <c r="R48" s="50"/>
      <c r="U48" s="22"/>
      <c r="V48" s="50"/>
      <c r="Y48" s="22"/>
      <c r="Z48" s="50"/>
      <c r="AC48" s="22"/>
      <c r="AD48" s="50"/>
      <c r="AG48" s="22"/>
      <c r="AH48" s="50"/>
      <c r="AK48" s="22"/>
      <c r="AL48" s="50"/>
      <c r="AO48" s="22"/>
      <c r="AP48" s="50"/>
      <c r="AS48" s="22"/>
      <c r="AT48" s="50"/>
      <c r="AW48" s="22"/>
      <c r="AX48" s="50"/>
      <c r="BA48" s="22"/>
      <c r="BB48" s="50"/>
      <c r="BE48" s="22"/>
      <c r="BF48" s="50"/>
      <c r="BI48" s="22"/>
      <c r="BJ48" s="50"/>
      <c r="BM48" s="22"/>
      <c r="BN48" s="50"/>
      <c r="BQ48" s="22"/>
      <c r="BR48" s="50"/>
      <c r="BU48" s="22"/>
      <c r="BV48" s="50"/>
      <c r="BY48" s="22"/>
      <c r="BZ48" s="50"/>
      <c r="CC48" s="22"/>
      <c r="CG48" s="7"/>
    </row>
    <row r="49" spans="2:89" ht="5.85" customHeight="1" x14ac:dyDescent="0.15">
      <c r="B49" s="264"/>
      <c r="C49" s="265"/>
      <c r="D49" s="210"/>
      <c r="E49" s="210"/>
      <c r="F49" s="53"/>
      <c r="G49" s="54"/>
      <c r="H49" s="54"/>
      <c r="I49" s="55"/>
      <c r="J49" s="56"/>
      <c r="K49" s="54"/>
      <c r="L49" s="54"/>
      <c r="M49" s="55"/>
      <c r="N49" s="56"/>
      <c r="O49" s="54"/>
      <c r="P49" s="54"/>
      <c r="Q49" s="55"/>
      <c r="R49" s="56"/>
      <c r="S49" s="54"/>
      <c r="T49" s="54"/>
      <c r="U49" s="55"/>
      <c r="V49" s="56"/>
      <c r="W49" s="54"/>
      <c r="X49" s="54"/>
      <c r="Y49" s="55"/>
      <c r="Z49" s="56"/>
      <c r="AA49" s="54"/>
      <c r="AB49" s="54"/>
      <c r="AC49" s="55"/>
      <c r="AD49" s="56"/>
      <c r="AE49" s="54"/>
      <c r="AF49" s="54"/>
      <c r="AG49" s="55"/>
      <c r="AH49" s="56"/>
      <c r="AI49" s="54"/>
      <c r="AJ49" s="54"/>
      <c r="AK49" s="55"/>
      <c r="AL49" s="56"/>
      <c r="AM49" s="54"/>
      <c r="AN49" s="54"/>
      <c r="AO49" s="55"/>
      <c r="AP49" s="56"/>
      <c r="AQ49" s="54"/>
      <c r="AR49" s="54"/>
      <c r="AS49" s="55"/>
      <c r="AT49" s="56"/>
      <c r="AU49" s="54"/>
      <c r="AV49" s="54"/>
      <c r="AW49" s="55"/>
      <c r="AX49" s="56"/>
      <c r="AY49" s="54"/>
      <c r="AZ49" s="54"/>
      <c r="BA49" s="55"/>
      <c r="BB49" s="56"/>
      <c r="BC49" s="54"/>
      <c r="BD49" s="54"/>
      <c r="BE49" s="55"/>
      <c r="BF49" s="56"/>
      <c r="BG49" s="54"/>
      <c r="BH49" s="54"/>
      <c r="BI49" s="55"/>
      <c r="BJ49" s="56"/>
      <c r="BK49" s="54"/>
      <c r="BL49" s="54"/>
      <c r="BM49" s="55"/>
      <c r="BN49" s="56"/>
      <c r="BO49" s="54"/>
      <c r="BP49" s="54"/>
      <c r="BQ49" s="55"/>
      <c r="BR49" s="56"/>
      <c r="BS49" s="54"/>
      <c r="BT49" s="54"/>
      <c r="BU49" s="55"/>
      <c r="BV49" s="56"/>
      <c r="BW49" s="54"/>
      <c r="BX49" s="54"/>
      <c r="BY49" s="55"/>
      <c r="BZ49" s="56"/>
      <c r="CA49" s="54"/>
      <c r="CB49" s="54"/>
      <c r="CC49" s="55"/>
      <c r="CD49" s="54"/>
      <c r="CE49" s="54"/>
      <c r="CF49" s="54"/>
      <c r="CG49" s="57"/>
      <c r="CJ49" s="212"/>
      <c r="CK49" s="212"/>
    </row>
    <row r="50" spans="2:89" ht="5.85" customHeight="1" x14ac:dyDescent="0.15">
      <c r="B50" s="260"/>
      <c r="C50" s="261"/>
      <c r="D50" s="234"/>
      <c r="E50" s="234"/>
      <c r="F50" s="58"/>
      <c r="G50" s="59"/>
      <c r="H50" s="59"/>
      <c r="I50" s="60"/>
      <c r="J50" s="61"/>
      <c r="K50" s="59"/>
      <c r="L50" s="59"/>
      <c r="M50" s="60"/>
      <c r="N50" s="61"/>
      <c r="O50" s="59"/>
      <c r="P50" s="59"/>
      <c r="Q50" s="60"/>
      <c r="R50" s="61"/>
      <c r="S50" s="59"/>
      <c r="T50" s="59"/>
      <c r="U50" s="60"/>
      <c r="V50" s="61"/>
      <c r="W50" s="59"/>
      <c r="X50" s="59"/>
      <c r="Y50" s="60"/>
      <c r="Z50" s="61"/>
      <c r="AA50" s="59"/>
      <c r="AB50" s="59"/>
      <c r="AC50" s="60"/>
      <c r="AD50" s="61"/>
      <c r="AE50" s="59"/>
      <c r="AF50" s="59"/>
      <c r="AG50" s="60"/>
      <c r="AH50" s="61"/>
      <c r="AI50" s="59"/>
      <c r="AJ50" s="59"/>
      <c r="AK50" s="60"/>
      <c r="AL50" s="61"/>
      <c r="AM50" s="59"/>
      <c r="AN50" s="59"/>
      <c r="AO50" s="60"/>
      <c r="AP50" s="61"/>
      <c r="AQ50" s="59"/>
      <c r="AR50" s="59"/>
      <c r="AS50" s="60"/>
      <c r="AT50" s="61"/>
      <c r="AU50" s="59"/>
      <c r="AV50" s="59"/>
      <c r="AW50" s="60"/>
      <c r="AX50" s="61"/>
      <c r="AY50" s="59"/>
      <c r="AZ50" s="59"/>
      <c r="BA50" s="60"/>
      <c r="BB50" s="61"/>
      <c r="BC50" s="59"/>
      <c r="BD50" s="59"/>
      <c r="BE50" s="60"/>
      <c r="BF50" s="61"/>
      <c r="BG50" s="59"/>
      <c r="BH50" s="59"/>
      <c r="BI50" s="60"/>
      <c r="BJ50" s="61"/>
      <c r="BK50" s="59"/>
      <c r="BL50" s="59"/>
      <c r="BM50" s="60"/>
      <c r="BN50" s="61"/>
      <c r="BO50" s="59"/>
      <c r="BP50" s="59"/>
      <c r="BQ50" s="60"/>
      <c r="BR50" s="61"/>
      <c r="BS50" s="59"/>
      <c r="BT50" s="59"/>
      <c r="BU50" s="60"/>
      <c r="BV50" s="61"/>
      <c r="BW50" s="59"/>
      <c r="BX50" s="59"/>
      <c r="BY50" s="60"/>
      <c r="BZ50" s="61"/>
      <c r="CA50" s="59"/>
      <c r="CB50" s="59"/>
      <c r="CC50" s="60"/>
      <c r="CD50" s="59"/>
      <c r="CE50" s="59"/>
      <c r="CF50" s="59"/>
      <c r="CG50" s="62"/>
    </row>
    <row r="51" spans="2:89" ht="5.85" customHeight="1" x14ac:dyDescent="0.15">
      <c r="B51" s="262"/>
      <c r="C51" s="263"/>
      <c r="D51" s="236"/>
      <c r="E51" s="236"/>
      <c r="F51" s="6"/>
      <c r="I51" s="22"/>
      <c r="J51" s="50"/>
      <c r="M51" s="22"/>
      <c r="N51" s="50"/>
      <c r="Q51" s="22"/>
      <c r="R51" s="50"/>
      <c r="U51" s="22"/>
      <c r="V51" s="50"/>
      <c r="Y51" s="22"/>
      <c r="Z51" s="50"/>
      <c r="AC51" s="22"/>
      <c r="AD51" s="50"/>
      <c r="AG51" s="22"/>
      <c r="AH51" s="50"/>
      <c r="AK51" s="22"/>
      <c r="AL51" s="50"/>
      <c r="AO51" s="22"/>
      <c r="AP51" s="50"/>
      <c r="AS51" s="22"/>
      <c r="AT51" s="50"/>
      <c r="AW51" s="22"/>
      <c r="AX51" s="50"/>
      <c r="BA51" s="22"/>
      <c r="BB51" s="50"/>
      <c r="BE51" s="22"/>
      <c r="BF51" s="50"/>
      <c r="BI51" s="22"/>
      <c r="BJ51" s="50"/>
      <c r="BM51" s="22"/>
      <c r="BN51" s="50"/>
      <c r="BQ51" s="22"/>
      <c r="BR51" s="50"/>
      <c r="BU51" s="22"/>
      <c r="BV51" s="50"/>
      <c r="BY51" s="22"/>
      <c r="BZ51" s="50"/>
      <c r="CC51" s="22"/>
      <c r="CG51" s="7"/>
    </row>
    <row r="52" spans="2:89" ht="5.85" customHeight="1" x14ac:dyDescent="0.15">
      <c r="B52" s="264"/>
      <c r="C52" s="265"/>
      <c r="D52" s="210"/>
      <c r="E52" s="210"/>
      <c r="F52" s="53"/>
      <c r="G52" s="54"/>
      <c r="H52" s="54"/>
      <c r="I52" s="55"/>
      <c r="J52" s="56"/>
      <c r="K52" s="54"/>
      <c r="L52" s="54"/>
      <c r="M52" s="55"/>
      <c r="N52" s="56"/>
      <c r="O52" s="54"/>
      <c r="P52" s="54"/>
      <c r="Q52" s="55"/>
      <c r="R52" s="56"/>
      <c r="S52" s="54"/>
      <c r="T52" s="54"/>
      <c r="U52" s="55"/>
      <c r="V52" s="56"/>
      <c r="W52" s="54"/>
      <c r="X52" s="54"/>
      <c r="Y52" s="55"/>
      <c r="Z52" s="56"/>
      <c r="AA52" s="54"/>
      <c r="AB52" s="54"/>
      <c r="AC52" s="55"/>
      <c r="AD52" s="56"/>
      <c r="AE52" s="54"/>
      <c r="AF52" s="54"/>
      <c r="AG52" s="55"/>
      <c r="AH52" s="56"/>
      <c r="AI52" s="54"/>
      <c r="AJ52" s="54"/>
      <c r="AK52" s="55"/>
      <c r="AL52" s="56"/>
      <c r="AM52" s="54"/>
      <c r="AN52" s="54"/>
      <c r="AO52" s="55"/>
      <c r="AP52" s="56"/>
      <c r="AQ52" s="54"/>
      <c r="AR52" s="54"/>
      <c r="AS52" s="55"/>
      <c r="AT52" s="56"/>
      <c r="AU52" s="54"/>
      <c r="AV52" s="54"/>
      <c r="AW52" s="55"/>
      <c r="AX52" s="56"/>
      <c r="AY52" s="54"/>
      <c r="AZ52" s="54"/>
      <c r="BA52" s="55"/>
      <c r="BB52" s="56"/>
      <c r="BC52" s="54"/>
      <c r="BD52" s="54"/>
      <c r="BE52" s="55"/>
      <c r="BF52" s="56"/>
      <c r="BG52" s="54"/>
      <c r="BH52" s="54"/>
      <c r="BI52" s="55"/>
      <c r="BJ52" s="56"/>
      <c r="BK52" s="54"/>
      <c r="BL52" s="54"/>
      <c r="BM52" s="55"/>
      <c r="BN52" s="56"/>
      <c r="BO52" s="54"/>
      <c r="BP52" s="54"/>
      <c r="BQ52" s="55"/>
      <c r="BR52" s="56"/>
      <c r="BS52" s="54"/>
      <c r="BT52" s="54"/>
      <c r="BU52" s="55"/>
      <c r="BV52" s="56"/>
      <c r="BW52" s="54"/>
      <c r="BX52" s="54"/>
      <c r="BY52" s="55"/>
      <c r="BZ52" s="56"/>
      <c r="CA52" s="54"/>
      <c r="CB52" s="54"/>
      <c r="CC52" s="55"/>
      <c r="CD52" s="54"/>
      <c r="CE52" s="54"/>
      <c r="CF52" s="54"/>
      <c r="CG52" s="57"/>
      <c r="CJ52" s="212"/>
      <c r="CK52" s="212"/>
    </row>
    <row r="53" spans="2:89" ht="5.85" customHeight="1" x14ac:dyDescent="0.15">
      <c r="B53" s="254"/>
      <c r="C53" s="255"/>
      <c r="D53" s="234"/>
      <c r="E53" s="234"/>
      <c r="F53" s="58"/>
      <c r="G53" s="59"/>
      <c r="H53" s="59"/>
      <c r="I53" s="60"/>
      <c r="J53" s="61"/>
      <c r="K53" s="59"/>
      <c r="L53" s="59"/>
      <c r="M53" s="60"/>
      <c r="N53" s="61"/>
      <c r="O53" s="59"/>
      <c r="P53" s="59"/>
      <c r="Q53" s="60"/>
      <c r="R53" s="61"/>
      <c r="S53" s="59"/>
      <c r="T53" s="59"/>
      <c r="U53" s="60"/>
      <c r="V53" s="61"/>
      <c r="W53" s="59"/>
      <c r="X53" s="59"/>
      <c r="Y53" s="60"/>
      <c r="Z53" s="61"/>
      <c r="AA53" s="59"/>
      <c r="AB53" s="59"/>
      <c r="AC53" s="60"/>
      <c r="AD53" s="61"/>
      <c r="AE53" s="59"/>
      <c r="AF53" s="59"/>
      <c r="AG53" s="60"/>
      <c r="AH53" s="61"/>
      <c r="AI53" s="59"/>
      <c r="AJ53" s="59"/>
      <c r="AK53" s="60"/>
      <c r="AL53" s="61"/>
      <c r="AM53" s="59"/>
      <c r="AN53" s="59"/>
      <c r="AO53" s="60"/>
      <c r="AP53" s="61"/>
      <c r="AQ53" s="59"/>
      <c r="AR53" s="59"/>
      <c r="AS53" s="60"/>
      <c r="AT53" s="61"/>
      <c r="AU53" s="59"/>
      <c r="AV53" s="59"/>
      <c r="AW53" s="60"/>
      <c r="AX53" s="61"/>
      <c r="AY53" s="59"/>
      <c r="AZ53" s="59"/>
      <c r="BA53" s="60"/>
      <c r="BB53" s="61"/>
      <c r="BC53" s="59"/>
      <c r="BD53" s="59"/>
      <c r="BE53" s="60"/>
      <c r="BF53" s="61"/>
      <c r="BG53" s="59"/>
      <c r="BH53" s="59"/>
      <c r="BI53" s="60"/>
      <c r="BJ53" s="61"/>
      <c r="BK53" s="59"/>
      <c r="BL53" s="59"/>
      <c r="BM53" s="60"/>
      <c r="BN53" s="61"/>
      <c r="BO53" s="59"/>
      <c r="BP53" s="59"/>
      <c r="BQ53" s="60"/>
      <c r="BR53" s="61"/>
      <c r="BS53" s="59"/>
      <c r="BT53" s="59"/>
      <c r="BU53" s="60"/>
      <c r="BV53" s="61"/>
      <c r="BW53" s="59"/>
      <c r="BX53" s="59"/>
      <c r="BY53" s="60"/>
      <c r="BZ53" s="61"/>
      <c r="CA53" s="59"/>
      <c r="CB53" s="59"/>
      <c r="CC53" s="60"/>
      <c r="CD53" s="59"/>
      <c r="CE53" s="59"/>
      <c r="CF53" s="59"/>
      <c r="CG53" s="62"/>
    </row>
    <row r="54" spans="2:89" ht="5.85" customHeight="1" x14ac:dyDescent="0.15">
      <c r="B54" s="256"/>
      <c r="C54" s="257"/>
      <c r="D54" s="236"/>
      <c r="E54" s="236"/>
      <c r="F54" s="6"/>
      <c r="I54" s="22"/>
      <c r="J54" s="50"/>
      <c r="M54" s="22"/>
      <c r="N54" s="50"/>
      <c r="Q54" s="22"/>
      <c r="R54" s="50"/>
      <c r="U54" s="22"/>
      <c r="V54" s="50"/>
      <c r="Y54" s="22"/>
      <c r="Z54" s="50"/>
      <c r="AC54" s="22"/>
      <c r="AD54" s="50"/>
      <c r="AG54" s="22"/>
      <c r="AH54" s="50"/>
      <c r="AK54" s="22"/>
      <c r="AL54" s="50"/>
      <c r="AO54" s="22"/>
      <c r="AP54" s="50"/>
      <c r="AS54" s="22"/>
      <c r="AT54" s="50"/>
      <c r="AW54" s="22"/>
      <c r="AX54" s="50"/>
      <c r="BA54" s="22"/>
      <c r="BB54" s="50"/>
      <c r="BE54" s="22"/>
      <c r="BF54" s="50"/>
      <c r="BI54" s="22"/>
      <c r="BJ54" s="50"/>
      <c r="BM54" s="22"/>
      <c r="BN54" s="50"/>
      <c r="BQ54" s="22"/>
      <c r="BR54" s="50"/>
      <c r="BU54" s="22"/>
      <c r="BV54" s="50"/>
      <c r="BY54" s="22"/>
      <c r="BZ54" s="50"/>
      <c r="CC54" s="22"/>
      <c r="CG54" s="7"/>
    </row>
    <row r="55" spans="2:89" ht="5.85" customHeight="1" x14ac:dyDescent="0.15">
      <c r="B55" s="258"/>
      <c r="C55" s="259"/>
      <c r="D55" s="210"/>
      <c r="E55" s="210"/>
      <c r="F55" s="53"/>
      <c r="G55" s="54"/>
      <c r="H55" s="54"/>
      <c r="I55" s="55"/>
      <c r="J55" s="56"/>
      <c r="K55" s="54"/>
      <c r="L55" s="54"/>
      <c r="M55" s="55"/>
      <c r="N55" s="56"/>
      <c r="O55" s="54"/>
      <c r="P55" s="54"/>
      <c r="Q55" s="55"/>
      <c r="R55" s="56"/>
      <c r="S55" s="54"/>
      <c r="T55" s="54"/>
      <c r="U55" s="55"/>
      <c r="V55" s="56"/>
      <c r="W55" s="54"/>
      <c r="X55" s="54"/>
      <c r="Y55" s="55"/>
      <c r="Z55" s="56"/>
      <c r="AA55" s="54"/>
      <c r="AB55" s="54"/>
      <c r="AC55" s="55"/>
      <c r="AD55" s="56"/>
      <c r="AE55" s="54"/>
      <c r="AF55" s="54"/>
      <c r="AG55" s="55"/>
      <c r="AH55" s="56"/>
      <c r="AI55" s="54"/>
      <c r="AJ55" s="54"/>
      <c r="AK55" s="55"/>
      <c r="AL55" s="56"/>
      <c r="AM55" s="54"/>
      <c r="AN55" s="54"/>
      <c r="AO55" s="55"/>
      <c r="AP55" s="56"/>
      <c r="AQ55" s="54"/>
      <c r="AR55" s="54"/>
      <c r="AS55" s="55"/>
      <c r="AT55" s="56"/>
      <c r="AU55" s="54"/>
      <c r="AV55" s="54"/>
      <c r="AW55" s="55"/>
      <c r="AX55" s="56"/>
      <c r="AY55" s="54"/>
      <c r="AZ55" s="54"/>
      <c r="BA55" s="55"/>
      <c r="BB55" s="56"/>
      <c r="BC55" s="54"/>
      <c r="BD55" s="54"/>
      <c r="BE55" s="55"/>
      <c r="BF55" s="56"/>
      <c r="BG55" s="54"/>
      <c r="BH55" s="54"/>
      <c r="BI55" s="55"/>
      <c r="BJ55" s="56"/>
      <c r="BK55" s="54"/>
      <c r="BL55" s="54"/>
      <c r="BM55" s="55"/>
      <c r="BN55" s="56"/>
      <c r="BO55" s="54"/>
      <c r="BP55" s="54"/>
      <c r="BQ55" s="55"/>
      <c r="BR55" s="56"/>
      <c r="BS55" s="54"/>
      <c r="BT55" s="54"/>
      <c r="BU55" s="55"/>
      <c r="BV55" s="56"/>
      <c r="BW55" s="54"/>
      <c r="BX55" s="54"/>
      <c r="BY55" s="55"/>
      <c r="BZ55" s="56"/>
      <c r="CA55" s="54"/>
      <c r="CB55" s="54"/>
      <c r="CC55" s="55"/>
      <c r="CD55" s="54"/>
      <c r="CE55" s="54"/>
      <c r="CF55" s="54"/>
      <c r="CG55" s="57"/>
      <c r="CJ55" s="212"/>
      <c r="CK55" s="212"/>
    </row>
    <row r="56" spans="2:89" ht="5.85" customHeight="1" x14ac:dyDescent="0.15">
      <c r="B56" s="254"/>
      <c r="C56" s="255"/>
      <c r="D56" s="234"/>
      <c r="E56" s="234"/>
      <c r="F56" s="58"/>
      <c r="G56" s="59"/>
      <c r="H56" s="59"/>
      <c r="I56" s="60"/>
      <c r="J56" s="61"/>
      <c r="K56" s="59"/>
      <c r="L56" s="59"/>
      <c r="M56" s="60"/>
      <c r="N56" s="61"/>
      <c r="O56" s="59"/>
      <c r="P56" s="59"/>
      <c r="Q56" s="60"/>
      <c r="R56" s="61"/>
      <c r="S56" s="59"/>
      <c r="T56" s="59"/>
      <c r="U56" s="60"/>
      <c r="V56" s="61"/>
      <c r="W56" s="59"/>
      <c r="X56" s="59"/>
      <c r="Y56" s="60"/>
      <c r="Z56" s="61"/>
      <c r="AA56" s="59"/>
      <c r="AB56" s="59"/>
      <c r="AC56" s="60"/>
      <c r="AD56" s="61"/>
      <c r="AE56" s="59"/>
      <c r="AF56" s="59"/>
      <c r="AG56" s="60"/>
      <c r="AH56" s="61"/>
      <c r="AI56" s="59"/>
      <c r="AJ56" s="59"/>
      <c r="AK56" s="60"/>
      <c r="AL56" s="61"/>
      <c r="AM56" s="59"/>
      <c r="AN56" s="59"/>
      <c r="AO56" s="60"/>
      <c r="AP56" s="61"/>
      <c r="AQ56" s="59"/>
      <c r="AR56" s="59"/>
      <c r="AS56" s="60"/>
      <c r="AT56" s="61"/>
      <c r="AU56" s="59"/>
      <c r="AV56" s="59"/>
      <c r="AW56" s="60"/>
      <c r="AX56" s="61"/>
      <c r="AY56" s="59"/>
      <c r="AZ56" s="59"/>
      <c r="BA56" s="60"/>
      <c r="BB56" s="61"/>
      <c r="BC56" s="59"/>
      <c r="BD56" s="59"/>
      <c r="BE56" s="60"/>
      <c r="BF56" s="61"/>
      <c r="BG56" s="59"/>
      <c r="BH56" s="59"/>
      <c r="BI56" s="60"/>
      <c r="BJ56" s="61"/>
      <c r="BK56" s="59"/>
      <c r="BL56" s="59"/>
      <c r="BM56" s="60"/>
      <c r="BN56" s="61"/>
      <c r="BO56" s="59"/>
      <c r="BP56" s="59"/>
      <c r="BQ56" s="60"/>
      <c r="BR56" s="61"/>
      <c r="BS56" s="59"/>
      <c r="BT56" s="59"/>
      <c r="BU56" s="60"/>
      <c r="BV56" s="61"/>
      <c r="BW56" s="59"/>
      <c r="BX56" s="59"/>
      <c r="BY56" s="60"/>
      <c r="BZ56" s="61"/>
      <c r="CA56" s="59"/>
      <c r="CB56" s="59"/>
      <c r="CC56" s="60"/>
      <c r="CD56" s="59"/>
      <c r="CE56" s="59"/>
      <c r="CF56" s="59"/>
      <c r="CG56" s="62"/>
    </row>
    <row r="57" spans="2:89" ht="5.85" customHeight="1" x14ac:dyDescent="0.15">
      <c r="B57" s="256"/>
      <c r="C57" s="257"/>
      <c r="D57" s="236"/>
      <c r="E57" s="236"/>
      <c r="F57" s="6"/>
      <c r="I57" s="22"/>
      <c r="J57" s="50"/>
      <c r="M57" s="22"/>
      <c r="N57" s="50"/>
      <c r="Q57" s="22"/>
      <c r="R57" s="50"/>
      <c r="U57" s="22"/>
      <c r="V57" s="50"/>
      <c r="Y57" s="22"/>
      <c r="Z57" s="50"/>
      <c r="AC57" s="22"/>
      <c r="AD57" s="50"/>
      <c r="AG57" s="22"/>
      <c r="AH57" s="50"/>
      <c r="AK57" s="22"/>
      <c r="AL57" s="50"/>
      <c r="AO57" s="22"/>
      <c r="AP57" s="50"/>
      <c r="AS57" s="22"/>
      <c r="AT57" s="50"/>
      <c r="AW57" s="22"/>
      <c r="AX57" s="50"/>
      <c r="BA57" s="22"/>
      <c r="BB57" s="50"/>
      <c r="BE57" s="22"/>
      <c r="BF57" s="50"/>
      <c r="BI57" s="22"/>
      <c r="BJ57" s="50"/>
      <c r="BM57" s="22"/>
      <c r="BN57" s="50"/>
      <c r="BQ57" s="22"/>
      <c r="BR57" s="50"/>
      <c r="BU57" s="22"/>
      <c r="BV57" s="50"/>
      <c r="BY57" s="22"/>
      <c r="BZ57" s="50"/>
      <c r="CC57" s="22"/>
      <c r="CG57" s="7"/>
    </row>
    <row r="58" spans="2:89" ht="5.85" customHeight="1" x14ac:dyDescent="0.15">
      <c r="B58" s="258"/>
      <c r="C58" s="259"/>
      <c r="D58" s="210"/>
      <c r="E58" s="210"/>
      <c r="F58" s="53"/>
      <c r="G58" s="54"/>
      <c r="H58" s="54"/>
      <c r="I58" s="55"/>
      <c r="J58" s="56"/>
      <c r="K58" s="54"/>
      <c r="L58" s="54"/>
      <c r="M58" s="55"/>
      <c r="N58" s="56"/>
      <c r="O58" s="54"/>
      <c r="P58" s="54"/>
      <c r="Q58" s="55"/>
      <c r="R58" s="56"/>
      <c r="S58" s="54"/>
      <c r="T58" s="54"/>
      <c r="U58" s="55"/>
      <c r="V58" s="56"/>
      <c r="W58" s="54"/>
      <c r="X58" s="54"/>
      <c r="Y58" s="55"/>
      <c r="Z58" s="56"/>
      <c r="AA58" s="54"/>
      <c r="AB58" s="54"/>
      <c r="AC58" s="55"/>
      <c r="AD58" s="56"/>
      <c r="AE58" s="54"/>
      <c r="AF58" s="54"/>
      <c r="AG58" s="55"/>
      <c r="AH58" s="56"/>
      <c r="AI58" s="54"/>
      <c r="AJ58" s="54"/>
      <c r="AK58" s="55"/>
      <c r="AL58" s="56"/>
      <c r="AM58" s="54"/>
      <c r="AN58" s="54"/>
      <c r="AO58" s="55"/>
      <c r="AP58" s="56"/>
      <c r="AQ58" s="54"/>
      <c r="AR58" s="54"/>
      <c r="AS58" s="55"/>
      <c r="AT58" s="56"/>
      <c r="AU58" s="54"/>
      <c r="AV58" s="54"/>
      <c r="AW58" s="55"/>
      <c r="AX58" s="56"/>
      <c r="AY58" s="54"/>
      <c r="AZ58" s="54"/>
      <c r="BA58" s="55"/>
      <c r="BB58" s="56"/>
      <c r="BC58" s="54"/>
      <c r="BD58" s="54"/>
      <c r="BE58" s="55"/>
      <c r="BF58" s="56"/>
      <c r="BG58" s="54"/>
      <c r="BH58" s="54"/>
      <c r="BI58" s="55"/>
      <c r="BJ58" s="56"/>
      <c r="BK58" s="54"/>
      <c r="BL58" s="54"/>
      <c r="BM58" s="55"/>
      <c r="BN58" s="56"/>
      <c r="BO58" s="54"/>
      <c r="BP58" s="54"/>
      <c r="BQ58" s="55"/>
      <c r="BR58" s="56"/>
      <c r="BS58" s="54"/>
      <c r="BT58" s="54"/>
      <c r="BU58" s="55"/>
      <c r="BV58" s="56"/>
      <c r="BW58" s="54"/>
      <c r="BX58" s="54"/>
      <c r="BY58" s="55"/>
      <c r="BZ58" s="56"/>
      <c r="CA58" s="54"/>
      <c r="CB58" s="54"/>
      <c r="CC58" s="55"/>
      <c r="CD58" s="54"/>
      <c r="CE58" s="54"/>
      <c r="CF58" s="54"/>
      <c r="CG58" s="57"/>
      <c r="CJ58" s="212"/>
      <c r="CK58" s="212"/>
    </row>
    <row r="59" spans="2:89" ht="5.85" customHeight="1" x14ac:dyDescent="0.15">
      <c r="B59" s="254"/>
      <c r="C59" s="255"/>
      <c r="D59" s="234"/>
      <c r="E59" s="234"/>
      <c r="F59" s="58"/>
      <c r="G59" s="59"/>
      <c r="H59" s="59"/>
      <c r="I59" s="60"/>
      <c r="J59" s="61"/>
      <c r="K59" s="59"/>
      <c r="L59" s="59"/>
      <c r="M59" s="60"/>
      <c r="N59" s="61"/>
      <c r="O59" s="59"/>
      <c r="P59" s="59"/>
      <c r="Q59" s="60"/>
      <c r="R59" s="61"/>
      <c r="S59" s="59"/>
      <c r="T59" s="59"/>
      <c r="U59" s="60"/>
      <c r="V59" s="61"/>
      <c r="W59" s="59"/>
      <c r="X59" s="59"/>
      <c r="Y59" s="60"/>
      <c r="Z59" s="61"/>
      <c r="AA59" s="59"/>
      <c r="AB59" s="59"/>
      <c r="AC59" s="60"/>
      <c r="AD59" s="61"/>
      <c r="AE59" s="59"/>
      <c r="AF59" s="59"/>
      <c r="AG59" s="60"/>
      <c r="AH59" s="61"/>
      <c r="AI59" s="59"/>
      <c r="AJ59" s="59"/>
      <c r="AK59" s="60"/>
      <c r="AL59" s="61"/>
      <c r="AM59" s="59"/>
      <c r="AN59" s="59"/>
      <c r="AO59" s="60"/>
      <c r="AP59" s="61"/>
      <c r="AQ59" s="59"/>
      <c r="AR59" s="59"/>
      <c r="AS59" s="60"/>
      <c r="AT59" s="61"/>
      <c r="AU59" s="59"/>
      <c r="AV59" s="59"/>
      <c r="AW59" s="60"/>
      <c r="AX59" s="61"/>
      <c r="AY59" s="59"/>
      <c r="AZ59" s="59"/>
      <c r="BA59" s="60"/>
      <c r="BB59" s="61"/>
      <c r="BC59" s="59"/>
      <c r="BD59" s="59"/>
      <c r="BE59" s="60"/>
      <c r="BF59" s="61"/>
      <c r="BG59" s="59"/>
      <c r="BH59" s="59"/>
      <c r="BI59" s="60"/>
      <c r="BJ59" s="61"/>
      <c r="BK59" s="59"/>
      <c r="BL59" s="59"/>
      <c r="BM59" s="60"/>
      <c r="BN59" s="61"/>
      <c r="BO59" s="59"/>
      <c r="BP59" s="59"/>
      <c r="BQ59" s="60"/>
      <c r="BR59" s="61"/>
      <c r="BS59" s="59"/>
      <c r="BT59" s="59"/>
      <c r="BU59" s="60"/>
      <c r="BV59" s="61"/>
      <c r="BW59" s="59"/>
      <c r="BX59" s="59"/>
      <c r="BY59" s="60"/>
      <c r="BZ59" s="61"/>
      <c r="CA59" s="59"/>
      <c r="CB59" s="59"/>
      <c r="CC59" s="60"/>
      <c r="CD59" s="59"/>
      <c r="CE59" s="59"/>
      <c r="CF59" s="59"/>
      <c r="CG59" s="62"/>
    </row>
    <row r="60" spans="2:89" ht="5.85" customHeight="1" x14ac:dyDescent="0.15">
      <c r="B60" s="256"/>
      <c r="C60" s="257"/>
      <c r="D60" s="236"/>
      <c r="E60" s="236"/>
      <c r="F60" s="6"/>
      <c r="I60" s="22"/>
      <c r="J60" s="50"/>
      <c r="M60" s="22"/>
      <c r="N60" s="50"/>
      <c r="Q60" s="22"/>
      <c r="R60" s="50"/>
      <c r="U60" s="22"/>
      <c r="V60" s="50"/>
      <c r="Y60" s="22"/>
      <c r="Z60" s="50"/>
      <c r="AC60" s="22"/>
      <c r="AD60" s="50"/>
      <c r="AG60" s="22"/>
      <c r="AH60" s="50"/>
      <c r="AK60" s="22"/>
      <c r="AL60" s="50"/>
      <c r="AO60" s="22"/>
      <c r="AP60" s="50"/>
      <c r="AS60" s="22"/>
      <c r="AT60" s="50"/>
      <c r="AW60" s="22"/>
      <c r="AX60" s="50"/>
      <c r="BA60" s="22"/>
      <c r="BB60" s="50"/>
      <c r="BE60" s="22"/>
      <c r="BF60" s="50"/>
      <c r="BI60" s="22"/>
      <c r="BJ60" s="50"/>
      <c r="BM60" s="22"/>
      <c r="BN60" s="50"/>
      <c r="BQ60" s="22"/>
      <c r="BR60" s="50"/>
      <c r="BU60" s="22"/>
      <c r="BV60" s="50"/>
      <c r="BY60" s="22"/>
      <c r="BZ60" s="50"/>
      <c r="CC60" s="22"/>
      <c r="CG60" s="7"/>
    </row>
    <row r="61" spans="2:89" ht="5.85" customHeight="1" x14ac:dyDescent="0.15">
      <c r="B61" s="258"/>
      <c r="C61" s="259"/>
      <c r="D61" s="210"/>
      <c r="E61" s="210"/>
      <c r="F61" s="53"/>
      <c r="G61" s="54"/>
      <c r="H61" s="54"/>
      <c r="I61" s="55"/>
      <c r="J61" s="56"/>
      <c r="K61" s="54"/>
      <c r="L61" s="54"/>
      <c r="M61" s="55"/>
      <c r="N61" s="56"/>
      <c r="O61" s="54"/>
      <c r="P61" s="54"/>
      <c r="Q61" s="55"/>
      <c r="R61" s="56"/>
      <c r="S61" s="54"/>
      <c r="T61" s="54"/>
      <c r="U61" s="55"/>
      <c r="V61" s="56"/>
      <c r="W61" s="54"/>
      <c r="X61" s="54"/>
      <c r="Y61" s="55"/>
      <c r="Z61" s="56"/>
      <c r="AA61" s="54"/>
      <c r="AB61" s="54"/>
      <c r="AC61" s="55"/>
      <c r="AD61" s="56"/>
      <c r="AE61" s="54"/>
      <c r="AF61" s="54"/>
      <c r="AG61" s="55"/>
      <c r="AH61" s="56"/>
      <c r="AI61" s="54"/>
      <c r="AJ61" s="54"/>
      <c r="AK61" s="55"/>
      <c r="AL61" s="56"/>
      <c r="AM61" s="54"/>
      <c r="AN61" s="54"/>
      <c r="AO61" s="55"/>
      <c r="AP61" s="56"/>
      <c r="AQ61" s="54"/>
      <c r="AR61" s="54"/>
      <c r="AS61" s="55"/>
      <c r="AT61" s="56"/>
      <c r="AU61" s="54"/>
      <c r="AV61" s="54"/>
      <c r="AW61" s="55"/>
      <c r="AX61" s="56"/>
      <c r="AY61" s="54"/>
      <c r="AZ61" s="54"/>
      <c r="BA61" s="55"/>
      <c r="BB61" s="56"/>
      <c r="BC61" s="54"/>
      <c r="BD61" s="54"/>
      <c r="BE61" s="55"/>
      <c r="BF61" s="56"/>
      <c r="BG61" s="54"/>
      <c r="BH61" s="54"/>
      <c r="BI61" s="55"/>
      <c r="BJ61" s="56"/>
      <c r="BK61" s="54"/>
      <c r="BL61" s="54"/>
      <c r="BM61" s="55"/>
      <c r="BN61" s="56"/>
      <c r="BO61" s="54"/>
      <c r="BP61" s="54"/>
      <c r="BQ61" s="55"/>
      <c r="BR61" s="56"/>
      <c r="BS61" s="54"/>
      <c r="BT61" s="54"/>
      <c r="BU61" s="55"/>
      <c r="BV61" s="56"/>
      <c r="BW61" s="54"/>
      <c r="BX61" s="54"/>
      <c r="BY61" s="55"/>
      <c r="BZ61" s="56"/>
      <c r="CA61" s="54"/>
      <c r="CB61" s="54"/>
      <c r="CC61" s="55"/>
      <c r="CD61" s="54"/>
      <c r="CE61" s="54"/>
      <c r="CF61" s="54"/>
      <c r="CG61" s="57"/>
      <c r="CJ61" s="212"/>
      <c r="CK61" s="212"/>
    </row>
    <row r="62" spans="2:89" ht="5.85" customHeight="1" x14ac:dyDescent="0.15">
      <c r="B62" s="260"/>
      <c r="C62" s="261"/>
      <c r="D62" s="234"/>
      <c r="E62" s="234"/>
      <c r="F62" s="58"/>
      <c r="G62" s="59"/>
      <c r="H62" s="59"/>
      <c r="I62" s="60"/>
      <c r="J62" s="61"/>
      <c r="K62" s="59"/>
      <c r="L62" s="59"/>
      <c r="M62" s="60"/>
      <c r="N62" s="61"/>
      <c r="O62" s="59"/>
      <c r="P62" s="59"/>
      <c r="Q62" s="60"/>
      <c r="R62" s="61"/>
      <c r="S62" s="59"/>
      <c r="T62" s="59"/>
      <c r="U62" s="60"/>
      <c r="V62" s="61"/>
      <c r="W62" s="59"/>
      <c r="X62" s="59"/>
      <c r="Y62" s="60"/>
      <c r="Z62" s="61"/>
      <c r="AA62" s="59"/>
      <c r="AB62" s="59"/>
      <c r="AC62" s="60"/>
      <c r="AD62" s="61"/>
      <c r="AE62" s="59"/>
      <c r="AF62" s="59"/>
      <c r="AG62" s="60"/>
      <c r="AH62" s="61"/>
      <c r="AI62" s="59"/>
      <c r="AJ62" s="59"/>
      <c r="AK62" s="60"/>
      <c r="AL62" s="61"/>
      <c r="AM62" s="59"/>
      <c r="AN62" s="59"/>
      <c r="AO62" s="60"/>
      <c r="AP62" s="61"/>
      <c r="AQ62" s="59"/>
      <c r="AR62" s="59"/>
      <c r="AS62" s="60"/>
      <c r="AT62" s="61"/>
      <c r="AU62" s="59"/>
      <c r="AV62" s="59"/>
      <c r="AW62" s="60"/>
      <c r="AX62" s="61"/>
      <c r="AY62" s="59"/>
      <c r="AZ62" s="59"/>
      <c r="BA62" s="60"/>
      <c r="BB62" s="61"/>
      <c r="BC62" s="59"/>
      <c r="BD62" s="59"/>
      <c r="BE62" s="60"/>
      <c r="BF62" s="61"/>
      <c r="BG62" s="59"/>
      <c r="BH62" s="59"/>
      <c r="BI62" s="60"/>
      <c r="BJ62" s="61"/>
      <c r="BK62" s="59"/>
      <c r="BL62" s="59"/>
      <c r="BM62" s="60"/>
      <c r="BN62" s="61"/>
      <c r="BO62" s="59"/>
      <c r="BP62" s="59"/>
      <c r="BQ62" s="60"/>
      <c r="BR62" s="61"/>
      <c r="BS62" s="59"/>
      <c r="BT62" s="59"/>
      <c r="BU62" s="60"/>
      <c r="BV62" s="61"/>
      <c r="BW62" s="59"/>
      <c r="BX62" s="59"/>
      <c r="BY62" s="60"/>
      <c r="BZ62" s="61"/>
      <c r="CA62" s="59"/>
      <c r="CB62" s="59"/>
      <c r="CC62" s="60"/>
      <c r="CD62" s="59"/>
      <c r="CE62" s="59"/>
      <c r="CF62" s="59"/>
      <c r="CG62" s="62"/>
    </row>
    <row r="63" spans="2:89" ht="5.85" customHeight="1" x14ac:dyDescent="0.15">
      <c r="B63" s="262"/>
      <c r="C63" s="263"/>
      <c r="D63" s="236"/>
      <c r="E63" s="236"/>
      <c r="F63" s="6"/>
      <c r="I63" s="22"/>
      <c r="J63" s="50"/>
      <c r="M63" s="22"/>
      <c r="N63" s="50"/>
      <c r="Q63" s="22"/>
      <c r="R63" s="50"/>
      <c r="U63" s="22"/>
      <c r="V63" s="50"/>
      <c r="Y63" s="22"/>
      <c r="Z63" s="50"/>
      <c r="AC63" s="22"/>
      <c r="AD63" s="50"/>
      <c r="AG63" s="22"/>
      <c r="AH63" s="50"/>
      <c r="AK63" s="22"/>
      <c r="AL63" s="50"/>
      <c r="AO63" s="22"/>
      <c r="AP63" s="50"/>
      <c r="AS63" s="22"/>
      <c r="AT63" s="50"/>
      <c r="AW63" s="22"/>
      <c r="AX63" s="50"/>
      <c r="BA63" s="22"/>
      <c r="BB63" s="50"/>
      <c r="BE63" s="22"/>
      <c r="BF63" s="50"/>
      <c r="BI63" s="22"/>
      <c r="BJ63" s="50"/>
      <c r="BM63" s="22"/>
      <c r="BN63" s="50"/>
      <c r="BQ63" s="22"/>
      <c r="BR63" s="50"/>
      <c r="BU63" s="22"/>
      <c r="BV63" s="50"/>
      <c r="BY63" s="22"/>
      <c r="BZ63" s="50"/>
      <c r="CC63" s="22"/>
      <c r="CG63" s="7"/>
    </row>
    <row r="64" spans="2:89" ht="5.85" customHeight="1" x14ac:dyDescent="0.15">
      <c r="B64" s="264"/>
      <c r="C64" s="265"/>
      <c r="D64" s="210"/>
      <c r="E64" s="210"/>
      <c r="F64" s="53"/>
      <c r="G64" s="54"/>
      <c r="H64" s="54"/>
      <c r="I64" s="55"/>
      <c r="J64" s="56"/>
      <c r="K64" s="54"/>
      <c r="L64" s="54"/>
      <c r="M64" s="55"/>
      <c r="N64" s="56"/>
      <c r="O64" s="54"/>
      <c r="P64" s="54"/>
      <c r="Q64" s="55"/>
      <c r="R64" s="56"/>
      <c r="S64" s="54"/>
      <c r="T64" s="54"/>
      <c r="U64" s="55"/>
      <c r="V64" s="56"/>
      <c r="W64" s="54"/>
      <c r="X64" s="54"/>
      <c r="Y64" s="55"/>
      <c r="Z64" s="56"/>
      <c r="AA64" s="54"/>
      <c r="AB64" s="54"/>
      <c r="AC64" s="55"/>
      <c r="AD64" s="56"/>
      <c r="AE64" s="54"/>
      <c r="AF64" s="54"/>
      <c r="AG64" s="55"/>
      <c r="AH64" s="56"/>
      <c r="AI64" s="54"/>
      <c r="AJ64" s="54"/>
      <c r="AK64" s="55"/>
      <c r="AL64" s="56"/>
      <c r="AM64" s="54"/>
      <c r="AN64" s="54"/>
      <c r="AO64" s="55"/>
      <c r="AP64" s="56"/>
      <c r="AQ64" s="54"/>
      <c r="AR64" s="54"/>
      <c r="AS64" s="55"/>
      <c r="AT64" s="56"/>
      <c r="AU64" s="54"/>
      <c r="AV64" s="54"/>
      <c r="AW64" s="55"/>
      <c r="AX64" s="56"/>
      <c r="AY64" s="54"/>
      <c r="AZ64" s="54"/>
      <c r="BA64" s="55"/>
      <c r="BB64" s="56"/>
      <c r="BC64" s="54"/>
      <c r="BD64" s="54"/>
      <c r="BE64" s="55"/>
      <c r="BF64" s="56"/>
      <c r="BG64" s="54"/>
      <c r="BH64" s="54"/>
      <c r="BI64" s="55"/>
      <c r="BJ64" s="56"/>
      <c r="BK64" s="54"/>
      <c r="BL64" s="54"/>
      <c r="BM64" s="55"/>
      <c r="BN64" s="56"/>
      <c r="BO64" s="54"/>
      <c r="BP64" s="54"/>
      <c r="BQ64" s="55"/>
      <c r="BR64" s="56"/>
      <c r="BS64" s="54"/>
      <c r="BT64" s="54"/>
      <c r="BU64" s="55"/>
      <c r="BV64" s="56"/>
      <c r="BW64" s="54"/>
      <c r="BX64" s="54"/>
      <c r="BY64" s="55"/>
      <c r="BZ64" s="56"/>
      <c r="CA64" s="54"/>
      <c r="CB64" s="54"/>
      <c r="CC64" s="55"/>
      <c r="CD64" s="54"/>
      <c r="CE64" s="54"/>
      <c r="CF64" s="54"/>
      <c r="CG64" s="57"/>
      <c r="CJ64" s="212"/>
      <c r="CK64" s="212"/>
    </row>
    <row r="65" spans="2:90" ht="5.85" customHeight="1" x14ac:dyDescent="0.15">
      <c r="B65" s="233"/>
      <c r="C65" s="234"/>
      <c r="D65" s="234"/>
      <c r="E65" s="234"/>
      <c r="F65" s="58"/>
      <c r="G65" s="59"/>
      <c r="H65" s="59"/>
      <c r="I65" s="60"/>
      <c r="J65" s="61"/>
      <c r="K65" s="59"/>
      <c r="L65" s="59"/>
      <c r="M65" s="60"/>
      <c r="N65" s="61"/>
      <c r="O65" s="59"/>
      <c r="P65" s="59"/>
      <c r="Q65" s="60"/>
      <c r="R65" s="61"/>
      <c r="S65" s="59"/>
      <c r="T65" s="59"/>
      <c r="U65" s="60"/>
      <c r="V65" s="61"/>
      <c r="W65" s="59"/>
      <c r="X65" s="59"/>
      <c r="Y65" s="60"/>
      <c r="Z65" s="61"/>
      <c r="AA65" s="59"/>
      <c r="AB65" s="59"/>
      <c r="AC65" s="60"/>
      <c r="AD65" s="61"/>
      <c r="AE65" s="59"/>
      <c r="AF65" s="59"/>
      <c r="AG65" s="60"/>
      <c r="AH65" s="61"/>
      <c r="AI65" s="59"/>
      <c r="AJ65" s="59"/>
      <c r="AK65" s="60"/>
      <c r="AL65" s="61"/>
      <c r="AM65" s="59"/>
      <c r="AN65" s="59"/>
      <c r="AO65" s="60"/>
      <c r="AP65" s="61"/>
      <c r="AQ65" s="59"/>
      <c r="AR65" s="59"/>
      <c r="AS65" s="60"/>
      <c r="AT65" s="61"/>
      <c r="AU65" s="59"/>
      <c r="AV65" s="59"/>
      <c r="AW65" s="60"/>
      <c r="AX65" s="61"/>
      <c r="AY65" s="59"/>
      <c r="AZ65" s="59"/>
      <c r="BA65" s="60"/>
      <c r="BB65" s="61"/>
      <c r="BC65" s="59"/>
      <c r="BD65" s="59"/>
      <c r="BE65" s="60"/>
      <c r="BF65" s="61"/>
      <c r="BG65" s="59"/>
      <c r="BH65" s="59"/>
      <c r="BI65" s="60"/>
      <c r="BJ65" s="61"/>
      <c r="BK65" s="59"/>
      <c r="BL65" s="59"/>
      <c r="BM65" s="60"/>
      <c r="BN65" s="61"/>
      <c r="BO65" s="59"/>
      <c r="BP65" s="59"/>
      <c r="BQ65" s="60"/>
      <c r="BR65" s="61"/>
      <c r="BS65" s="59"/>
      <c r="BT65" s="59"/>
      <c r="BU65" s="60"/>
      <c r="BV65" s="61"/>
      <c r="BW65" s="59"/>
      <c r="BX65" s="59"/>
      <c r="BY65" s="60"/>
      <c r="BZ65" s="61"/>
      <c r="CA65" s="59"/>
      <c r="CB65" s="59"/>
      <c r="CC65" s="60"/>
      <c r="CD65" s="59"/>
      <c r="CE65" s="59"/>
      <c r="CF65" s="59"/>
      <c r="CG65" s="62"/>
    </row>
    <row r="66" spans="2:90" ht="5.85" customHeight="1" x14ac:dyDescent="0.15">
      <c r="B66" s="235"/>
      <c r="C66" s="236"/>
      <c r="D66" s="236"/>
      <c r="E66" s="236"/>
      <c r="F66" s="6"/>
      <c r="I66" s="22"/>
      <c r="J66" s="50"/>
      <c r="M66" s="22"/>
      <c r="N66" s="50"/>
      <c r="Q66" s="22"/>
      <c r="R66" s="50"/>
      <c r="U66" s="22"/>
      <c r="V66" s="50"/>
      <c r="Y66" s="22"/>
      <c r="Z66" s="50"/>
      <c r="AC66" s="22"/>
      <c r="AD66" s="50"/>
      <c r="AG66" s="22"/>
      <c r="AH66" s="50"/>
      <c r="AK66" s="22"/>
      <c r="AL66" s="50"/>
      <c r="AO66" s="22"/>
      <c r="AP66" s="50"/>
      <c r="AS66" s="22"/>
      <c r="AT66" s="50"/>
      <c r="AW66" s="22"/>
      <c r="AX66" s="50"/>
      <c r="BA66" s="22"/>
      <c r="BB66" s="50"/>
      <c r="BE66" s="22"/>
      <c r="BF66" s="50"/>
      <c r="BI66" s="22"/>
      <c r="BJ66" s="50"/>
      <c r="BM66" s="22"/>
      <c r="BN66" s="50"/>
      <c r="BQ66" s="22"/>
      <c r="BR66" s="50"/>
      <c r="BU66" s="22"/>
      <c r="BV66" s="50"/>
      <c r="BY66" s="22"/>
      <c r="BZ66" s="50"/>
      <c r="CC66" s="22"/>
      <c r="CG66" s="7"/>
    </row>
    <row r="67" spans="2:90" ht="5.85" customHeight="1" x14ac:dyDescent="0.15">
      <c r="B67" s="266"/>
      <c r="C67" s="210"/>
      <c r="D67" s="210"/>
      <c r="E67" s="210"/>
      <c r="F67" s="53"/>
      <c r="G67" s="54"/>
      <c r="H67" s="54"/>
      <c r="I67" s="55"/>
      <c r="J67" s="56"/>
      <c r="K67" s="54"/>
      <c r="L67" s="54"/>
      <c r="M67" s="55"/>
      <c r="N67" s="56"/>
      <c r="O67" s="54"/>
      <c r="P67" s="54"/>
      <c r="Q67" s="55"/>
      <c r="R67" s="56"/>
      <c r="S67" s="54"/>
      <c r="T67" s="54"/>
      <c r="U67" s="55"/>
      <c r="V67" s="56"/>
      <c r="W67" s="54"/>
      <c r="X67" s="54"/>
      <c r="Y67" s="55"/>
      <c r="Z67" s="56"/>
      <c r="AA67" s="54"/>
      <c r="AB67" s="54"/>
      <c r="AC67" s="55"/>
      <c r="AD67" s="56"/>
      <c r="AE67" s="54"/>
      <c r="AF67" s="54"/>
      <c r="AG67" s="55"/>
      <c r="AH67" s="56"/>
      <c r="AI67" s="54"/>
      <c r="AJ67" s="54"/>
      <c r="AK67" s="55"/>
      <c r="AL67" s="56"/>
      <c r="AM67" s="54"/>
      <c r="AN67" s="54"/>
      <c r="AO67" s="55"/>
      <c r="AP67" s="56"/>
      <c r="AQ67" s="54"/>
      <c r="AR67" s="54"/>
      <c r="AS67" s="55"/>
      <c r="AT67" s="56"/>
      <c r="AU67" s="54"/>
      <c r="AV67" s="54"/>
      <c r="AW67" s="55"/>
      <c r="AX67" s="56"/>
      <c r="AY67" s="54"/>
      <c r="AZ67" s="54"/>
      <c r="BA67" s="55"/>
      <c r="BB67" s="56"/>
      <c r="BC67" s="54"/>
      <c r="BD67" s="54"/>
      <c r="BE67" s="55"/>
      <c r="BF67" s="56"/>
      <c r="BG67" s="54"/>
      <c r="BH67" s="54"/>
      <c r="BI67" s="55"/>
      <c r="BJ67" s="56"/>
      <c r="BK67" s="54"/>
      <c r="BL67" s="54"/>
      <c r="BM67" s="55"/>
      <c r="BN67" s="56"/>
      <c r="BO67" s="54"/>
      <c r="BP67" s="54"/>
      <c r="BQ67" s="55"/>
      <c r="BR67" s="56"/>
      <c r="BS67" s="54"/>
      <c r="BT67" s="54"/>
      <c r="BU67" s="55"/>
      <c r="BV67" s="56"/>
      <c r="BW67" s="54"/>
      <c r="BX67" s="54"/>
      <c r="BY67" s="55"/>
      <c r="BZ67" s="56"/>
      <c r="CA67" s="54"/>
      <c r="CB67" s="54"/>
      <c r="CC67" s="55"/>
      <c r="CD67" s="54"/>
      <c r="CE67" s="54"/>
      <c r="CF67" s="54"/>
      <c r="CG67" s="57"/>
      <c r="CJ67" s="212"/>
      <c r="CK67" s="212"/>
    </row>
    <row r="68" spans="2:90" ht="5.85" customHeight="1" x14ac:dyDescent="0.15">
      <c r="B68" s="233"/>
      <c r="C68" s="234"/>
      <c r="D68" s="234"/>
      <c r="E68" s="234"/>
      <c r="F68" s="58"/>
      <c r="G68" s="59"/>
      <c r="H68" s="59"/>
      <c r="I68" s="60"/>
      <c r="J68" s="61"/>
      <c r="K68" s="59"/>
      <c r="L68" s="59"/>
      <c r="M68" s="60"/>
      <c r="N68" s="61"/>
      <c r="O68" s="59"/>
      <c r="P68" s="59"/>
      <c r="Q68" s="60"/>
      <c r="R68" s="61"/>
      <c r="S68" s="59"/>
      <c r="T68" s="59"/>
      <c r="U68" s="60"/>
      <c r="V68" s="61"/>
      <c r="W68" s="59"/>
      <c r="X68" s="59"/>
      <c r="Y68" s="60"/>
      <c r="Z68" s="61"/>
      <c r="AA68" s="59"/>
      <c r="AB68" s="59"/>
      <c r="AC68" s="60"/>
      <c r="AD68" s="61"/>
      <c r="AE68" s="59"/>
      <c r="AF68" s="59"/>
      <c r="AG68" s="60"/>
      <c r="AH68" s="61"/>
      <c r="AI68" s="59"/>
      <c r="AJ68" s="59"/>
      <c r="AK68" s="60"/>
      <c r="AL68" s="61"/>
      <c r="AM68" s="59"/>
      <c r="AN68" s="59"/>
      <c r="AO68" s="60"/>
      <c r="AP68" s="61"/>
      <c r="AQ68" s="59"/>
      <c r="AR68" s="59"/>
      <c r="AS68" s="60"/>
      <c r="AT68" s="61"/>
      <c r="AU68" s="59"/>
      <c r="AV68" s="59"/>
      <c r="AW68" s="60"/>
      <c r="AX68" s="61"/>
      <c r="AY68" s="59"/>
      <c r="AZ68" s="59"/>
      <c r="BA68" s="60"/>
      <c r="BB68" s="61"/>
      <c r="BC68" s="59"/>
      <c r="BD68" s="59"/>
      <c r="BE68" s="60"/>
      <c r="BF68" s="61"/>
      <c r="BG68" s="59"/>
      <c r="BH68" s="59"/>
      <c r="BI68" s="60"/>
      <c r="BJ68" s="61"/>
      <c r="BK68" s="59"/>
      <c r="BL68" s="59"/>
      <c r="BM68" s="60"/>
      <c r="BN68" s="61"/>
      <c r="BO68" s="59"/>
      <c r="BP68" s="59"/>
      <c r="BQ68" s="60"/>
      <c r="BR68" s="61"/>
      <c r="BS68" s="59"/>
      <c r="BT68" s="59"/>
      <c r="BU68" s="60"/>
      <c r="BV68" s="61"/>
      <c r="BW68" s="59"/>
      <c r="BX68" s="59"/>
      <c r="BY68" s="60"/>
      <c r="BZ68" s="61"/>
      <c r="CA68" s="59"/>
      <c r="CB68" s="59"/>
      <c r="CC68" s="60"/>
      <c r="CD68" s="59"/>
      <c r="CE68" s="59"/>
      <c r="CF68" s="59"/>
      <c r="CG68" s="62"/>
    </row>
    <row r="69" spans="2:90" ht="5.85" customHeight="1" x14ac:dyDescent="0.15">
      <c r="B69" s="235"/>
      <c r="C69" s="236"/>
      <c r="D69" s="236"/>
      <c r="E69" s="236"/>
      <c r="F69" s="6"/>
      <c r="I69" s="22"/>
      <c r="J69" s="50"/>
      <c r="M69" s="22"/>
      <c r="N69" s="50"/>
      <c r="Q69" s="22"/>
      <c r="R69" s="50"/>
      <c r="U69" s="22"/>
      <c r="V69" s="50"/>
      <c r="Y69" s="22"/>
      <c r="Z69" s="50"/>
      <c r="AC69" s="22"/>
      <c r="AD69" s="50"/>
      <c r="AG69" s="22"/>
      <c r="AH69" s="50"/>
      <c r="AK69" s="22"/>
      <c r="AL69" s="50"/>
      <c r="AO69" s="22"/>
      <c r="AP69" s="50"/>
      <c r="AS69" s="22"/>
      <c r="AT69" s="50"/>
      <c r="AW69" s="22"/>
      <c r="AX69" s="50"/>
      <c r="BA69" s="22"/>
      <c r="BB69" s="50"/>
      <c r="BE69" s="22"/>
      <c r="BF69" s="50"/>
      <c r="BI69" s="22"/>
      <c r="BJ69" s="50"/>
      <c r="BM69" s="22"/>
      <c r="BN69" s="50"/>
      <c r="BQ69" s="22"/>
      <c r="BR69" s="50"/>
      <c r="BU69" s="22"/>
      <c r="BV69" s="50"/>
      <c r="BY69" s="22"/>
      <c r="BZ69" s="50"/>
      <c r="CC69" s="22"/>
      <c r="CG69" s="7"/>
    </row>
    <row r="70" spans="2:90" ht="5.85" customHeight="1" x14ac:dyDescent="0.15">
      <c r="B70" s="266"/>
      <c r="C70" s="210"/>
      <c r="D70" s="210"/>
      <c r="E70" s="210"/>
      <c r="F70" s="53"/>
      <c r="G70" s="54"/>
      <c r="H70" s="54"/>
      <c r="I70" s="55"/>
      <c r="J70" s="56"/>
      <c r="K70" s="54"/>
      <c r="L70" s="54"/>
      <c r="M70" s="55"/>
      <c r="N70" s="56"/>
      <c r="O70" s="54"/>
      <c r="P70" s="54"/>
      <c r="Q70" s="55"/>
      <c r="R70" s="56"/>
      <c r="S70" s="54"/>
      <c r="T70" s="54"/>
      <c r="U70" s="55"/>
      <c r="V70" s="56"/>
      <c r="W70" s="54"/>
      <c r="X70" s="54"/>
      <c r="Y70" s="55"/>
      <c r="Z70" s="56"/>
      <c r="AA70" s="54"/>
      <c r="AB70" s="54"/>
      <c r="AC70" s="55"/>
      <c r="AD70" s="56"/>
      <c r="AE70" s="54"/>
      <c r="AF70" s="54"/>
      <c r="AG70" s="55"/>
      <c r="AH70" s="56"/>
      <c r="AI70" s="54"/>
      <c r="AJ70" s="54"/>
      <c r="AK70" s="55"/>
      <c r="AL70" s="56"/>
      <c r="AM70" s="54"/>
      <c r="AN70" s="54"/>
      <c r="AO70" s="55"/>
      <c r="AP70" s="56"/>
      <c r="AQ70" s="54"/>
      <c r="AR70" s="54"/>
      <c r="AS70" s="55"/>
      <c r="AT70" s="56"/>
      <c r="AU70" s="54"/>
      <c r="AV70" s="54"/>
      <c r="AW70" s="55"/>
      <c r="AX70" s="56"/>
      <c r="AY70" s="54"/>
      <c r="AZ70" s="54"/>
      <c r="BA70" s="55"/>
      <c r="BB70" s="56"/>
      <c r="BC70" s="54"/>
      <c r="BD70" s="54"/>
      <c r="BE70" s="55"/>
      <c r="BF70" s="56"/>
      <c r="BG70" s="54"/>
      <c r="BH70" s="54"/>
      <c r="BI70" s="55"/>
      <c r="BJ70" s="56"/>
      <c r="BK70" s="54"/>
      <c r="BL70" s="54"/>
      <c r="BM70" s="55"/>
      <c r="BN70" s="56"/>
      <c r="BO70" s="54"/>
      <c r="BP70" s="54"/>
      <c r="BQ70" s="55"/>
      <c r="BR70" s="56"/>
      <c r="BS70" s="54"/>
      <c r="BT70" s="54"/>
      <c r="BU70" s="55"/>
      <c r="BV70" s="56"/>
      <c r="BW70" s="54"/>
      <c r="BX70" s="54"/>
      <c r="BY70" s="55"/>
      <c r="BZ70" s="56"/>
      <c r="CA70" s="54"/>
      <c r="CB70" s="54"/>
      <c r="CC70" s="55"/>
      <c r="CD70" s="54"/>
      <c r="CE70" s="54"/>
      <c r="CF70" s="54"/>
      <c r="CG70" s="57"/>
      <c r="CJ70" s="212"/>
      <c r="CK70" s="212"/>
    </row>
    <row r="71" spans="2:90" ht="5.85" customHeight="1" x14ac:dyDescent="0.15">
      <c r="B71" s="267"/>
      <c r="C71" s="268"/>
      <c r="D71" s="268"/>
      <c r="E71" s="269"/>
      <c r="F71" s="276"/>
      <c r="G71" s="243"/>
      <c r="H71" s="243"/>
      <c r="I71" s="244"/>
      <c r="J71" s="242"/>
      <c r="K71" s="243"/>
      <c r="L71" s="243"/>
      <c r="M71" s="244"/>
      <c r="N71" s="242"/>
      <c r="O71" s="243"/>
      <c r="P71" s="243"/>
      <c r="Q71" s="244"/>
      <c r="R71" s="242"/>
      <c r="S71" s="243"/>
      <c r="T71" s="243"/>
      <c r="U71" s="244"/>
      <c r="V71" s="242"/>
      <c r="W71" s="243"/>
      <c r="X71" s="243"/>
      <c r="Y71" s="244"/>
      <c r="Z71" s="242"/>
      <c r="AA71" s="243"/>
      <c r="AB71" s="243"/>
      <c r="AC71" s="244"/>
      <c r="AD71" s="242"/>
      <c r="AE71" s="243"/>
      <c r="AF71" s="243"/>
      <c r="AG71" s="244"/>
      <c r="AH71" s="242"/>
      <c r="AI71" s="243"/>
      <c r="AJ71" s="243"/>
      <c r="AK71" s="244"/>
      <c r="AL71" s="242"/>
      <c r="AM71" s="243"/>
      <c r="AN71" s="243"/>
      <c r="AO71" s="244"/>
      <c r="AP71" s="242"/>
      <c r="AQ71" s="243"/>
      <c r="AR71" s="243"/>
      <c r="AS71" s="244"/>
      <c r="AT71" s="61"/>
      <c r="AU71" s="59"/>
      <c r="AV71" s="59"/>
      <c r="AW71" s="60"/>
      <c r="AX71" s="61"/>
      <c r="AY71" s="59"/>
      <c r="AZ71" s="59"/>
      <c r="BA71" s="60"/>
      <c r="BB71" s="61"/>
      <c r="BC71" s="59"/>
      <c r="BD71" s="59"/>
      <c r="BE71" s="60"/>
      <c r="BF71" s="61"/>
      <c r="BG71" s="59"/>
      <c r="BH71" s="59"/>
      <c r="BI71" s="60"/>
      <c r="BJ71" s="61"/>
      <c r="BK71" s="59"/>
      <c r="BL71" s="59"/>
      <c r="BM71" s="60"/>
      <c r="BN71" s="61"/>
      <c r="BO71" s="59"/>
      <c r="BP71" s="59"/>
      <c r="BQ71" s="60"/>
      <c r="BR71" s="61"/>
      <c r="BS71" s="59"/>
      <c r="BT71" s="59"/>
      <c r="BU71" s="60"/>
      <c r="BV71" s="61"/>
      <c r="BW71" s="59"/>
      <c r="BX71" s="59"/>
      <c r="BY71" s="60"/>
      <c r="BZ71" s="61"/>
      <c r="CA71" s="59"/>
      <c r="CB71" s="59"/>
      <c r="CC71" s="60"/>
      <c r="CD71" s="59"/>
      <c r="CE71" s="59"/>
      <c r="CF71" s="59"/>
      <c r="CG71" s="62"/>
    </row>
    <row r="72" spans="2:90" ht="5.85" customHeight="1" x14ac:dyDescent="0.15">
      <c r="B72" s="270"/>
      <c r="C72" s="271"/>
      <c r="D72" s="271"/>
      <c r="E72" s="272"/>
      <c r="F72" s="277"/>
      <c r="G72" s="246"/>
      <c r="H72" s="246"/>
      <c r="I72" s="247"/>
      <c r="J72" s="245"/>
      <c r="K72" s="246"/>
      <c r="L72" s="246"/>
      <c r="M72" s="247"/>
      <c r="N72" s="245"/>
      <c r="O72" s="246"/>
      <c r="P72" s="246"/>
      <c r="Q72" s="247"/>
      <c r="R72" s="245"/>
      <c r="S72" s="246"/>
      <c r="T72" s="246"/>
      <c r="U72" s="247"/>
      <c r="V72" s="245"/>
      <c r="W72" s="246"/>
      <c r="X72" s="246"/>
      <c r="Y72" s="247"/>
      <c r="Z72" s="245"/>
      <c r="AA72" s="246"/>
      <c r="AB72" s="246"/>
      <c r="AC72" s="247"/>
      <c r="AD72" s="245"/>
      <c r="AE72" s="246"/>
      <c r="AF72" s="246"/>
      <c r="AG72" s="247"/>
      <c r="AH72" s="245"/>
      <c r="AI72" s="246"/>
      <c r="AJ72" s="246"/>
      <c r="AK72" s="247"/>
      <c r="AL72" s="245"/>
      <c r="AM72" s="246"/>
      <c r="AN72" s="246"/>
      <c r="AO72" s="247"/>
      <c r="AP72" s="245"/>
      <c r="AQ72" s="246"/>
      <c r="AR72" s="246"/>
      <c r="AS72" s="247"/>
      <c r="AT72" s="50"/>
      <c r="AW72" s="22"/>
      <c r="AX72" s="50"/>
      <c r="BA72" s="22"/>
      <c r="BB72" s="50"/>
      <c r="BE72" s="22"/>
      <c r="BF72" s="50"/>
      <c r="BI72" s="22"/>
      <c r="BJ72" s="50"/>
      <c r="BM72" s="22"/>
      <c r="BN72" s="50"/>
      <c r="BQ72" s="22"/>
      <c r="BR72" s="50"/>
      <c r="BU72" s="22"/>
      <c r="BV72" s="50"/>
      <c r="BY72" s="22"/>
      <c r="BZ72" s="50"/>
      <c r="CC72" s="22"/>
      <c r="CG72" s="7"/>
    </row>
    <row r="73" spans="2:90" ht="5.85" customHeight="1" x14ac:dyDescent="0.15">
      <c r="B73" s="273"/>
      <c r="C73" s="274"/>
      <c r="D73" s="274"/>
      <c r="E73" s="275"/>
      <c r="F73" s="202"/>
      <c r="G73" s="203"/>
      <c r="H73" s="203"/>
      <c r="I73" s="204"/>
      <c r="J73" s="205"/>
      <c r="K73" s="203"/>
      <c r="L73" s="203"/>
      <c r="M73" s="204"/>
      <c r="N73" s="205"/>
      <c r="O73" s="203"/>
      <c r="P73" s="203"/>
      <c r="Q73" s="204"/>
      <c r="R73" s="205"/>
      <c r="S73" s="203"/>
      <c r="T73" s="203"/>
      <c r="U73" s="204"/>
      <c r="V73" s="205"/>
      <c r="W73" s="203"/>
      <c r="X73" s="203"/>
      <c r="Y73" s="204"/>
      <c r="Z73" s="205"/>
      <c r="AA73" s="203"/>
      <c r="AB73" s="203"/>
      <c r="AC73" s="204"/>
      <c r="AD73" s="205"/>
      <c r="AE73" s="203"/>
      <c r="AF73" s="203"/>
      <c r="AG73" s="204"/>
      <c r="AH73" s="205"/>
      <c r="AI73" s="203"/>
      <c r="AJ73" s="203"/>
      <c r="AK73" s="204"/>
      <c r="AL73" s="205"/>
      <c r="AM73" s="203"/>
      <c r="AN73" s="203"/>
      <c r="AO73" s="204"/>
      <c r="AP73" s="205"/>
      <c r="AQ73" s="203"/>
      <c r="AR73" s="203"/>
      <c r="AS73" s="204"/>
      <c r="AT73" s="56"/>
      <c r="AU73" s="54"/>
      <c r="AV73" s="54"/>
      <c r="AW73" s="55"/>
      <c r="AX73" s="56"/>
      <c r="AY73" s="54"/>
      <c r="AZ73" s="54"/>
      <c r="BA73" s="55"/>
      <c r="BB73" s="56"/>
      <c r="BC73" s="54"/>
      <c r="BD73" s="54"/>
      <c r="BE73" s="55"/>
      <c r="BF73" s="56"/>
      <c r="BG73" s="54"/>
      <c r="BH73" s="54"/>
      <c r="BI73" s="55"/>
      <c r="BJ73" s="56"/>
      <c r="BK73" s="54"/>
      <c r="BL73" s="54"/>
      <c r="BM73" s="55"/>
      <c r="BN73" s="56"/>
      <c r="BO73" s="54"/>
      <c r="BP73" s="54"/>
      <c r="BQ73" s="55"/>
      <c r="BR73" s="56"/>
      <c r="BS73" s="54"/>
      <c r="BT73" s="54"/>
      <c r="BU73" s="55"/>
      <c r="BV73" s="56"/>
      <c r="BW73" s="54"/>
      <c r="BX73" s="54"/>
      <c r="BY73" s="55"/>
      <c r="BZ73" s="56"/>
      <c r="CA73" s="54"/>
      <c r="CB73" s="54"/>
      <c r="CC73" s="55"/>
      <c r="CD73" s="54"/>
      <c r="CE73" s="54"/>
      <c r="CF73" s="54"/>
      <c r="CG73" s="57"/>
      <c r="CJ73" s="212"/>
      <c r="CK73" s="212"/>
    </row>
    <row r="74" spans="2:90" ht="5.85" customHeight="1" x14ac:dyDescent="0.15">
      <c r="B74" s="233"/>
      <c r="C74" s="234"/>
      <c r="D74" s="234"/>
      <c r="E74" s="239"/>
      <c r="F74" s="6"/>
      <c r="I74" s="22"/>
      <c r="J74" s="50"/>
      <c r="M74" s="22"/>
      <c r="N74" s="50"/>
      <c r="Q74" s="22"/>
      <c r="R74" s="50"/>
      <c r="U74" s="22"/>
      <c r="V74" s="50"/>
      <c r="Y74" s="22"/>
      <c r="Z74" s="50"/>
      <c r="AC74" s="22"/>
      <c r="AD74" s="50"/>
      <c r="AG74" s="22"/>
      <c r="AH74" s="50"/>
      <c r="AK74" s="22"/>
      <c r="AL74" s="50"/>
      <c r="AO74" s="22"/>
      <c r="AP74" s="50"/>
      <c r="AS74" s="22"/>
      <c r="AT74" s="50"/>
      <c r="AW74" s="22"/>
      <c r="AX74" s="50"/>
      <c r="BA74" s="22"/>
      <c r="BB74" s="50"/>
      <c r="BE74" s="22"/>
      <c r="BF74" s="50"/>
      <c r="BI74" s="22"/>
      <c r="BJ74" s="50"/>
      <c r="BM74" s="22"/>
      <c r="BN74" s="50"/>
      <c r="BQ74" s="22"/>
      <c r="BR74" s="50"/>
      <c r="BU74" s="22"/>
      <c r="BV74" s="50"/>
      <c r="BY74" s="22"/>
      <c r="BZ74" s="50"/>
      <c r="CC74" s="22"/>
      <c r="CG74" s="7"/>
    </row>
    <row r="75" spans="2:90" ht="5.85" customHeight="1" x14ac:dyDescent="0.15">
      <c r="B75" s="235"/>
      <c r="C75" s="236"/>
      <c r="D75" s="236"/>
      <c r="E75" s="240"/>
      <c r="F75" s="6"/>
      <c r="I75" s="22"/>
      <c r="J75" s="50"/>
      <c r="M75" s="22"/>
      <c r="N75" s="50"/>
      <c r="Q75" s="22"/>
      <c r="R75" s="50"/>
      <c r="U75" s="22"/>
      <c r="V75" s="50"/>
      <c r="Y75" s="22"/>
      <c r="Z75" s="50"/>
      <c r="AC75" s="22"/>
      <c r="AD75" s="50"/>
      <c r="AG75" s="22"/>
      <c r="AH75" s="50"/>
      <c r="AK75" s="22"/>
      <c r="AL75" s="50"/>
      <c r="AO75" s="22"/>
      <c r="AP75" s="50"/>
      <c r="AS75" s="22"/>
      <c r="AT75" s="50"/>
      <c r="AW75" s="22"/>
      <c r="AX75" s="50"/>
      <c r="BA75" s="22"/>
      <c r="BB75" s="50"/>
      <c r="BE75" s="22"/>
      <c r="BF75" s="50"/>
      <c r="BI75" s="22"/>
      <c r="BJ75" s="50"/>
      <c r="BM75" s="22"/>
      <c r="BN75" s="50"/>
      <c r="BQ75" s="22"/>
      <c r="BR75" s="50"/>
      <c r="BU75" s="22"/>
      <c r="BV75" s="50"/>
      <c r="BY75" s="22"/>
      <c r="BZ75" s="50"/>
      <c r="CC75" s="22"/>
      <c r="CG75" s="7"/>
    </row>
    <row r="76" spans="2:90" ht="5.85" customHeight="1" thickBot="1" x14ac:dyDescent="0.2">
      <c r="B76" s="237"/>
      <c r="C76" s="238"/>
      <c r="D76" s="238"/>
      <c r="E76" s="241"/>
      <c r="F76" s="63"/>
      <c r="G76" s="41"/>
      <c r="H76" s="41"/>
      <c r="I76" s="42"/>
      <c r="J76" s="64"/>
      <c r="K76" s="41"/>
      <c r="L76" s="41"/>
      <c r="M76" s="42"/>
      <c r="N76" s="64"/>
      <c r="O76" s="41"/>
      <c r="P76" s="41"/>
      <c r="Q76" s="42"/>
      <c r="R76" s="64"/>
      <c r="S76" s="41"/>
      <c r="T76" s="41"/>
      <c r="U76" s="42"/>
      <c r="V76" s="64"/>
      <c r="W76" s="41"/>
      <c r="X76" s="41"/>
      <c r="Y76" s="42"/>
      <c r="Z76" s="64"/>
      <c r="AA76" s="41"/>
      <c r="AB76" s="41"/>
      <c r="AC76" s="42"/>
      <c r="AD76" s="64"/>
      <c r="AE76" s="41"/>
      <c r="AF76" s="41"/>
      <c r="AG76" s="42"/>
      <c r="AH76" s="64"/>
      <c r="AI76" s="41"/>
      <c r="AJ76" s="41"/>
      <c r="AK76" s="42"/>
      <c r="AL76" s="64"/>
      <c r="AM76" s="41"/>
      <c r="AN76" s="41"/>
      <c r="AO76" s="42"/>
      <c r="AP76" s="64"/>
      <c r="AQ76" s="41"/>
      <c r="AR76" s="41"/>
      <c r="AS76" s="42"/>
      <c r="AT76" s="64"/>
      <c r="AU76" s="41"/>
      <c r="AV76" s="41"/>
      <c r="AW76" s="42"/>
      <c r="AX76" s="64"/>
      <c r="AY76" s="41"/>
      <c r="AZ76" s="41"/>
      <c r="BA76" s="42"/>
      <c r="BB76" s="64"/>
      <c r="BC76" s="41"/>
      <c r="BD76" s="41"/>
      <c r="BE76" s="42"/>
      <c r="BF76" s="64"/>
      <c r="BG76" s="41"/>
      <c r="BH76" s="41"/>
      <c r="BI76" s="42"/>
      <c r="BJ76" s="64"/>
      <c r="BK76" s="41"/>
      <c r="BL76" s="41"/>
      <c r="BM76" s="42"/>
      <c r="BN76" s="64"/>
      <c r="BO76" s="41"/>
      <c r="BP76" s="41"/>
      <c r="BQ76" s="42"/>
      <c r="BR76" s="64"/>
      <c r="BS76" s="41"/>
      <c r="BT76" s="41"/>
      <c r="BU76" s="42"/>
      <c r="BV76" s="64"/>
      <c r="BW76" s="41"/>
      <c r="BX76" s="41"/>
      <c r="BY76" s="42"/>
      <c r="BZ76" s="64"/>
      <c r="CA76" s="41"/>
      <c r="CB76" s="41"/>
      <c r="CC76" s="42"/>
      <c r="CD76" s="41"/>
      <c r="CE76" s="41"/>
      <c r="CF76" s="41"/>
      <c r="CG76" s="65"/>
      <c r="CJ76" s="212"/>
      <c r="CK76" s="212"/>
    </row>
    <row r="77" spans="2:90" ht="15.2" customHeight="1" x14ac:dyDescent="0.15">
      <c r="B77" s="252" t="s">
        <v>33</v>
      </c>
      <c r="C77" s="253"/>
      <c r="D77" s="210"/>
      <c r="E77" s="218"/>
      <c r="F77" s="219">
        <v>109</v>
      </c>
      <c r="G77" s="220"/>
      <c r="H77" s="220"/>
      <c r="I77" s="221"/>
      <c r="J77" s="229"/>
      <c r="K77" s="220"/>
      <c r="L77" s="220"/>
      <c r="M77" s="221"/>
      <c r="N77" s="229"/>
      <c r="O77" s="220"/>
      <c r="P77" s="220"/>
      <c r="Q77" s="221"/>
      <c r="R77" s="229"/>
      <c r="S77" s="220"/>
      <c r="T77" s="220"/>
      <c r="U77" s="221"/>
      <c r="V77" s="229"/>
      <c r="W77" s="220"/>
      <c r="X77" s="220"/>
      <c r="Y77" s="221"/>
      <c r="Z77" s="229">
        <v>109</v>
      </c>
      <c r="AA77" s="220"/>
      <c r="AB77" s="220"/>
      <c r="AC77" s="221"/>
      <c r="AD77" s="229"/>
      <c r="AE77" s="220"/>
      <c r="AF77" s="220"/>
      <c r="AG77" s="221"/>
      <c r="AH77" s="229"/>
      <c r="AI77" s="220"/>
      <c r="AJ77" s="220"/>
      <c r="AK77" s="221"/>
      <c r="AL77" s="229"/>
      <c r="AM77" s="220"/>
      <c r="AN77" s="220"/>
      <c r="AO77" s="221"/>
      <c r="AP77" s="229"/>
      <c r="AQ77" s="220"/>
      <c r="AR77" s="220"/>
      <c r="AS77" s="221"/>
      <c r="AT77" s="229"/>
      <c r="AU77" s="220"/>
      <c r="AV77" s="220"/>
      <c r="AW77" s="221"/>
      <c r="AX77" s="229"/>
      <c r="AY77" s="220"/>
      <c r="AZ77" s="220"/>
      <c r="BA77" s="221"/>
      <c r="BB77" s="230"/>
      <c r="BC77" s="231"/>
      <c r="BD77" s="231"/>
      <c r="BE77" s="232"/>
      <c r="BF77" s="230"/>
      <c r="BG77" s="231"/>
      <c r="BH77" s="231"/>
      <c r="BI77" s="232"/>
      <c r="BJ77" s="230"/>
      <c r="BK77" s="231"/>
      <c r="BL77" s="231"/>
      <c r="BM77" s="232"/>
      <c r="BN77" s="230"/>
      <c r="BO77" s="231"/>
      <c r="BP77" s="231"/>
      <c r="BQ77" s="232"/>
      <c r="BR77" s="248"/>
      <c r="BS77" s="249"/>
      <c r="BT77" s="249"/>
      <c r="BU77" s="250"/>
      <c r="BV77" s="248"/>
      <c r="BW77" s="249"/>
      <c r="BX77" s="249"/>
      <c r="BY77" s="250"/>
      <c r="BZ77" s="248"/>
      <c r="CA77" s="249"/>
      <c r="CB77" s="249"/>
      <c r="CC77" s="250"/>
      <c r="CD77" s="248"/>
      <c r="CE77" s="249"/>
      <c r="CF77" s="249"/>
      <c r="CG77" s="251"/>
      <c r="CJ77" s="212"/>
      <c r="CK77" s="212"/>
    </row>
    <row r="78" spans="2:90" ht="15.2" customHeight="1" thickBot="1" x14ac:dyDescent="0.2">
      <c r="B78" s="222">
        <f>SUM(F78:CG78)</f>
        <v>51</v>
      </c>
      <c r="C78" s="223"/>
      <c r="D78" s="223"/>
      <c r="E78" s="224"/>
      <c r="F78" s="225">
        <v>10</v>
      </c>
      <c r="G78" s="226"/>
      <c r="H78" s="226"/>
      <c r="I78" s="227"/>
      <c r="J78" s="228">
        <v>5</v>
      </c>
      <c r="K78" s="226"/>
      <c r="L78" s="226"/>
      <c r="M78" s="227"/>
      <c r="N78" s="228">
        <v>2</v>
      </c>
      <c r="O78" s="226"/>
      <c r="P78" s="226"/>
      <c r="Q78" s="227"/>
      <c r="R78" s="228">
        <v>3</v>
      </c>
      <c r="S78" s="226"/>
      <c r="T78" s="226"/>
      <c r="U78" s="227"/>
      <c r="V78" s="228">
        <v>3</v>
      </c>
      <c r="W78" s="226"/>
      <c r="X78" s="226"/>
      <c r="Y78" s="227"/>
      <c r="Z78" s="228">
        <v>16</v>
      </c>
      <c r="AA78" s="226"/>
      <c r="AB78" s="226"/>
      <c r="AC78" s="227"/>
      <c r="AD78" s="228">
        <v>5</v>
      </c>
      <c r="AE78" s="226"/>
      <c r="AF78" s="226"/>
      <c r="AG78" s="227"/>
      <c r="AH78" s="228">
        <v>2</v>
      </c>
      <c r="AI78" s="226"/>
      <c r="AJ78" s="226"/>
      <c r="AK78" s="227"/>
      <c r="AL78" s="228">
        <v>3</v>
      </c>
      <c r="AM78" s="226"/>
      <c r="AN78" s="226"/>
      <c r="AO78" s="227"/>
      <c r="AP78" s="228">
        <v>2</v>
      </c>
      <c r="AQ78" s="226"/>
      <c r="AR78" s="226"/>
      <c r="AS78" s="227"/>
      <c r="AT78" s="228"/>
      <c r="AU78" s="226"/>
      <c r="AV78" s="226"/>
      <c r="AW78" s="227"/>
      <c r="AX78" s="228"/>
      <c r="AY78" s="226"/>
      <c r="AZ78" s="226"/>
      <c r="BA78" s="227"/>
      <c r="BB78" s="213"/>
      <c r="BC78" s="214"/>
      <c r="BD78" s="214"/>
      <c r="BE78" s="215"/>
      <c r="BF78" s="213"/>
      <c r="BG78" s="214"/>
      <c r="BH78" s="214"/>
      <c r="BI78" s="215"/>
      <c r="BJ78" s="213"/>
      <c r="BK78" s="214"/>
      <c r="BL78" s="214"/>
      <c r="BM78" s="215"/>
      <c r="BN78" s="213"/>
      <c r="BO78" s="214"/>
      <c r="BP78" s="214"/>
      <c r="BQ78" s="215"/>
      <c r="BR78" s="213"/>
      <c r="BS78" s="214"/>
      <c r="BT78" s="214"/>
      <c r="BU78" s="215"/>
      <c r="BV78" s="213"/>
      <c r="BW78" s="214"/>
      <c r="BX78" s="214"/>
      <c r="BY78" s="215"/>
      <c r="BZ78" s="213"/>
      <c r="CA78" s="214"/>
      <c r="CB78" s="214"/>
      <c r="CC78" s="215"/>
      <c r="CD78" s="213"/>
      <c r="CE78" s="214"/>
      <c r="CF78" s="214"/>
      <c r="CG78" s="216"/>
      <c r="CJ78" s="212"/>
      <c r="CK78" s="212"/>
    </row>
    <row r="79" spans="2:90" ht="15.2" customHeight="1" x14ac:dyDescent="0.15">
      <c r="B79" s="199">
        <f>SUM(F79:BA79)</f>
        <v>150</v>
      </c>
      <c r="C79" s="200"/>
      <c r="D79" s="200"/>
      <c r="E79" s="201"/>
      <c r="F79" s="202">
        <v>91</v>
      </c>
      <c r="G79" s="203"/>
      <c r="H79" s="203"/>
      <c r="I79" s="204"/>
      <c r="J79" s="205">
        <v>5</v>
      </c>
      <c r="K79" s="203"/>
      <c r="L79" s="203"/>
      <c r="M79" s="204"/>
      <c r="N79" s="205">
        <v>20</v>
      </c>
      <c r="O79" s="203"/>
      <c r="P79" s="203"/>
      <c r="Q79" s="204"/>
      <c r="R79" s="205">
        <v>3</v>
      </c>
      <c r="S79" s="203"/>
      <c r="T79" s="203"/>
      <c r="U79" s="204"/>
      <c r="V79" s="205">
        <v>3</v>
      </c>
      <c r="W79" s="203"/>
      <c r="X79" s="203"/>
      <c r="Y79" s="204"/>
      <c r="Z79" s="205">
        <v>16</v>
      </c>
      <c r="AA79" s="203"/>
      <c r="AB79" s="203"/>
      <c r="AC79" s="204"/>
      <c r="AD79" s="205">
        <v>5</v>
      </c>
      <c r="AE79" s="203"/>
      <c r="AF79" s="203"/>
      <c r="AG79" s="204"/>
      <c r="AH79" s="205">
        <v>2</v>
      </c>
      <c r="AI79" s="203"/>
      <c r="AJ79" s="203"/>
      <c r="AK79" s="204"/>
      <c r="AL79" s="205">
        <v>3</v>
      </c>
      <c r="AM79" s="203"/>
      <c r="AN79" s="203"/>
      <c r="AO79" s="204"/>
      <c r="AP79" s="205">
        <v>2</v>
      </c>
      <c r="AQ79" s="203"/>
      <c r="AR79" s="203"/>
      <c r="AS79" s="204"/>
      <c r="AT79" s="206"/>
      <c r="AU79" s="207"/>
      <c r="AV79" s="207"/>
      <c r="AW79" s="208"/>
      <c r="AX79" s="209"/>
      <c r="AY79" s="210"/>
      <c r="AZ79" s="210"/>
      <c r="BA79" s="211"/>
      <c r="BB79" s="209" t="s">
        <v>34</v>
      </c>
      <c r="BC79" s="210"/>
      <c r="BD79" s="210"/>
      <c r="BE79" s="211"/>
      <c r="BF79" s="209"/>
      <c r="BG79" s="210"/>
      <c r="BH79" s="210"/>
      <c r="BI79" s="211"/>
      <c r="BJ79" s="209"/>
      <c r="BK79" s="210"/>
      <c r="BL79" s="210"/>
      <c r="BM79" s="211"/>
      <c r="BN79" s="209"/>
      <c r="BO79" s="210"/>
      <c r="BP79" s="210"/>
      <c r="BQ79" s="211"/>
      <c r="BR79" s="209"/>
      <c r="BS79" s="210"/>
      <c r="BT79" s="210"/>
      <c r="BU79" s="211"/>
      <c r="BV79" s="209"/>
      <c r="BW79" s="210"/>
      <c r="BX79" s="210"/>
      <c r="BY79" s="211"/>
      <c r="BZ79" s="209"/>
      <c r="CA79" s="210"/>
      <c r="CB79" s="210"/>
      <c r="CC79" s="211"/>
      <c r="CD79" s="209"/>
      <c r="CE79" s="210"/>
      <c r="CF79" s="210"/>
      <c r="CG79" s="217"/>
      <c r="CH79" s="4"/>
      <c r="CL79" t="s">
        <v>34</v>
      </c>
    </row>
    <row r="80" spans="2:90" ht="15.2" customHeight="1" x14ac:dyDescent="0.15">
      <c r="B80" s="195" t="s">
        <v>35</v>
      </c>
      <c r="C80" s="196"/>
      <c r="D80" s="196"/>
      <c r="E80" s="197"/>
      <c r="F80" s="198">
        <v>110</v>
      </c>
      <c r="G80" s="188"/>
      <c r="H80" s="188"/>
      <c r="I80" s="189"/>
      <c r="J80" s="187">
        <v>110</v>
      </c>
      <c r="K80" s="188"/>
      <c r="L80" s="188"/>
      <c r="M80" s="189"/>
      <c r="N80" s="187">
        <v>110</v>
      </c>
      <c r="O80" s="188"/>
      <c r="P80" s="188"/>
      <c r="Q80" s="189"/>
      <c r="R80" s="187">
        <v>10</v>
      </c>
      <c r="S80" s="188"/>
      <c r="T80" s="188"/>
      <c r="U80" s="189"/>
      <c r="V80" s="187">
        <v>10</v>
      </c>
      <c r="W80" s="188"/>
      <c r="X80" s="188"/>
      <c r="Y80" s="189"/>
      <c r="Z80" s="187">
        <v>110</v>
      </c>
      <c r="AA80" s="188"/>
      <c r="AB80" s="188"/>
      <c r="AC80" s="189"/>
      <c r="AD80" s="187">
        <v>110</v>
      </c>
      <c r="AE80" s="188"/>
      <c r="AF80" s="188"/>
      <c r="AG80" s="189"/>
      <c r="AH80" s="187">
        <v>110</v>
      </c>
      <c r="AI80" s="188"/>
      <c r="AJ80" s="188"/>
      <c r="AK80" s="189"/>
      <c r="AL80" s="187">
        <v>10</v>
      </c>
      <c r="AM80" s="188"/>
      <c r="AN80" s="188"/>
      <c r="AO80" s="189"/>
      <c r="AP80" s="187">
        <v>10</v>
      </c>
      <c r="AQ80" s="188"/>
      <c r="AR80" s="188"/>
      <c r="AS80" s="189"/>
      <c r="AT80" s="187"/>
      <c r="AU80" s="188"/>
      <c r="AV80" s="188"/>
      <c r="AW80" s="189"/>
      <c r="AX80" s="187"/>
      <c r="AY80" s="188"/>
      <c r="AZ80" s="188"/>
      <c r="BA80" s="189"/>
      <c r="BB80" s="187"/>
      <c r="BC80" s="188"/>
      <c r="BD80" s="188"/>
      <c r="BE80" s="189"/>
      <c r="BF80" s="187"/>
      <c r="BG80" s="188"/>
      <c r="BH80" s="188"/>
      <c r="BI80" s="189"/>
      <c r="BJ80" s="187"/>
      <c r="BK80" s="188"/>
      <c r="BL80" s="188"/>
      <c r="BM80" s="189"/>
      <c r="BN80" s="187"/>
      <c r="BO80" s="188"/>
      <c r="BP80" s="188"/>
      <c r="BQ80" s="189"/>
      <c r="BR80" s="187"/>
      <c r="BS80" s="188"/>
      <c r="BT80" s="188"/>
      <c r="BU80" s="189"/>
      <c r="BV80" s="187"/>
      <c r="BW80" s="188"/>
      <c r="BX80" s="188"/>
      <c r="BY80" s="189"/>
      <c r="BZ80" s="187"/>
      <c r="CA80" s="188"/>
      <c r="CB80" s="188"/>
      <c r="CC80" s="189"/>
      <c r="CD80" s="187"/>
      <c r="CE80" s="188"/>
      <c r="CF80" s="188"/>
      <c r="CG80" s="190"/>
      <c r="CH80" s="4"/>
    </row>
    <row r="81" spans="2:86" ht="15.2" customHeight="1" x14ac:dyDescent="0.15">
      <c r="B81" s="195" t="s">
        <v>36</v>
      </c>
      <c r="C81" s="196"/>
      <c r="D81" s="196"/>
      <c r="E81" s="197"/>
      <c r="F81" s="198">
        <v>6</v>
      </c>
      <c r="G81" s="188"/>
      <c r="H81" s="188"/>
      <c r="I81" s="189"/>
      <c r="J81" s="187">
        <v>0.95</v>
      </c>
      <c r="K81" s="188"/>
      <c r="L81" s="188"/>
      <c r="M81" s="189"/>
      <c r="N81" s="187">
        <v>0.95</v>
      </c>
      <c r="O81" s="188"/>
      <c r="P81" s="188"/>
      <c r="Q81" s="189"/>
      <c r="R81" s="187">
        <v>0.95</v>
      </c>
      <c r="S81" s="188"/>
      <c r="T81" s="188"/>
      <c r="U81" s="189"/>
      <c r="V81" s="187">
        <v>0.95</v>
      </c>
      <c r="W81" s="188"/>
      <c r="X81" s="188"/>
      <c r="Y81" s="189"/>
      <c r="Z81" s="187">
        <v>6</v>
      </c>
      <c r="AA81" s="188"/>
      <c r="AB81" s="188"/>
      <c r="AC81" s="189"/>
      <c r="AD81" s="187">
        <v>0.95</v>
      </c>
      <c r="AE81" s="188"/>
      <c r="AF81" s="188"/>
      <c r="AG81" s="189"/>
      <c r="AH81" s="187">
        <v>0.95</v>
      </c>
      <c r="AI81" s="188"/>
      <c r="AJ81" s="188"/>
      <c r="AK81" s="189"/>
      <c r="AL81" s="187">
        <v>0.95</v>
      </c>
      <c r="AM81" s="188"/>
      <c r="AN81" s="188"/>
      <c r="AO81" s="189"/>
      <c r="AP81" s="187">
        <v>0.95</v>
      </c>
      <c r="AQ81" s="188"/>
      <c r="AR81" s="188"/>
      <c r="AS81" s="189"/>
      <c r="AT81" s="187"/>
      <c r="AU81" s="188"/>
      <c r="AV81" s="188"/>
      <c r="AW81" s="189"/>
      <c r="AX81" s="187"/>
      <c r="AY81" s="188"/>
      <c r="AZ81" s="188"/>
      <c r="BA81" s="189"/>
      <c r="BB81" s="187"/>
      <c r="BC81" s="188"/>
      <c r="BD81" s="188"/>
      <c r="BE81" s="189"/>
      <c r="BF81" s="187"/>
      <c r="BG81" s="188"/>
      <c r="BH81" s="188"/>
      <c r="BI81" s="189"/>
      <c r="BJ81" s="187"/>
      <c r="BK81" s="188"/>
      <c r="BL81" s="188"/>
      <c r="BM81" s="189"/>
      <c r="BN81" s="187"/>
      <c r="BO81" s="188"/>
      <c r="BP81" s="188"/>
      <c r="BQ81" s="189"/>
      <c r="BR81" s="187"/>
      <c r="BS81" s="188"/>
      <c r="BT81" s="188"/>
      <c r="BU81" s="189"/>
      <c r="BV81" s="187"/>
      <c r="BW81" s="188"/>
      <c r="BX81" s="188"/>
      <c r="BY81" s="189"/>
      <c r="BZ81" s="187"/>
      <c r="CA81" s="188"/>
      <c r="CB81" s="188"/>
      <c r="CC81" s="189"/>
      <c r="CD81" s="187"/>
      <c r="CE81" s="188"/>
      <c r="CF81" s="188"/>
      <c r="CG81" s="190"/>
      <c r="CH81" s="4"/>
    </row>
    <row r="82" spans="2:86" ht="15.2" customHeight="1" thickBot="1" x14ac:dyDescent="0.2">
      <c r="B82" s="191" t="s">
        <v>37</v>
      </c>
      <c r="C82" s="192"/>
      <c r="D82" s="192"/>
      <c r="E82" s="193"/>
      <c r="F82" s="194" t="s">
        <v>38</v>
      </c>
      <c r="G82" s="184"/>
      <c r="H82" s="184"/>
      <c r="I82" s="186"/>
      <c r="J82" s="183" t="s">
        <v>39</v>
      </c>
      <c r="K82" s="184"/>
      <c r="L82" s="184"/>
      <c r="M82" s="186"/>
      <c r="N82" s="183" t="s">
        <v>39</v>
      </c>
      <c r="O82" s="184"/>
      <c r="P82" s="184"/>
      <c r="Q82" s="186"/>
      <c r="R82" s="183" t="s">
        <v>39</v>
      </c>
      <c r="S82" s="184"/>
      <c r="T82" s="184"/>
      <c r="U82" s="186"/>
      <c r="V82" s="183" t="s">
        <v>39</v>
      </c>
      <c r="W82" s="184"/>
      <c r="X82" s="184"/>
      <c r="Y82" s="186"/>
      <c r="Z82" s="183" t="s">
        <v>39</v>
      </c>
      <c r="AA82" s="184"/>
      <c r="AB82" s="184"/>
      <c r="AC82" s="186"/>
      <c r="AD82" s="183" t="s">
        <v>38</v>
      </c>
      <c r="AE82" s="184"/>
      <c r="AF82" s="184"/>
      <c r="AG82" s="186"/>
      <c r="AH82" s="183" t="s">
        <v>38</v>
      </c>
      <c r="AI82" s="184"/>
      <c r="AJ82" s="184"/>
      <c r="AK82" s="186"/>
      <c r="AL82" s="183" t="s">
        <v>38</v>
      </c>
      <c r="AM82" s="184"/>
      <c r="AN82" s="184"/>
      <c r="AO82" s="186"/>
      <c r="AP82" s="183" t="s">
        <v>38</v>
      </c>
      <c r="AQ82" s="184"/>
      <c r="AR82" s="184"/>
      <c r="AS82" s="186"/>
      <c r="AT82" s="183"/>
      <c r="AU82" s="184"/>
      <c r="AV82" s="184"/>
      <c r="AW82" s="186"/>
      <c r="AX82" s="183"/>
      <c r="AY82" s="184"/>
      <c r="AZ82" s="184"/>
      <c r="BA82" s="186"/>
      <c r="BB82" s="183"/>
      <c r="BC82" s="184"/>
      <c r="BD82" s="184"/>
      <c r="BE82" s="186"/>
      <c r="BF82" s="183"/>
      <c r="BG82" s="184"/>
      <c r="BH82" s="184"/>
      <c r="BI82" s="186"/>
      <c r="BJ82" s="183"/>
      <c r="BK82" s="184"/>
      <c r="BL82" s="184"/>
      <c r="BM82" s="186"/>
      <c r="BN82" s="183"/>
      <c r="BO82" s="184"/>
      <c r="BP82" s="184"/>
      <c r="BQ82" s="186"/>
      <c r="BR82" s="183"/>
      <c r="BS82" s="184"/>
      <c r="BT82" s="184"/>
      <c r="BU82" s="186"/>
      <c r="BV82" s="183"/>
      <c r="BW82" s="184"/>
      <c r="BX82" s="184"/>
      <c r="BY82" s="186"/>
      <c r="BZ82" s="183"/>
      <c r="CA82" s="184"/>
      <c r="CB82" s="184"/>
      <c r="CC82" s="186"/>
      <c r="CD82" s="183"/>
      <c r="CE82" s="184"/>
      <c r="CF82" s="184"/>
      <c r="CG82" s="185"/>
      <c r="CH82" s="4"/>
    </row>
  </sheetData>
  <mergeCells count="235">
    <mergeCell ref="BV2:CG2"/>
    <mergeCell ref="BN3:BU4"/>
    <mergeCell ref="BV3:CG4"/>
    <mergeCell ref="BA4:BI5"/>
    <mergeCell ref="BJ4:BM5"/>
    <mergeCell ref="B2:I3"/>
    <mergeCell ref="J2:K3"/>
    <mergeCell ref="M2:AP3"/>
    <mergeCell ref="AQ2:AZ3"/>
    <mergeCell ref="B4:I5"/>
    <mergeCell ref="J4:K5"/>
    <mergeCell ref="M4:AK5"/>
    <mergeCell ref="AL4:AP5"/>
    <mergeCell ref="BA2:BM3"/>
    <mergeCell ref="BN2:BU2"/>
    <mergeCell ref="BR26:BU26"/>
    <mergeCell ref="AH26:AK26"/>
    <mergeCell ref="AQ4:AZ5"/>
    <mergeCell ref="BN5:BU5"/>
    <mergeCell ref="BV5:CG5"/>
    <mergeCell ref="B26:E26"/>
    <mergeCell ref="F26:I26"/>
    <mergeCell ref="J26:M26"/>
    <mergeCell ref="N26:Q26"/>
    <mergeCell ref="R26:U26"/>
    <mergeCell ref="AT26:AW26"/>
    <mergeCell ref="CD26:CG26"/>
    <mergeCell ref="AD26:AG26"/>
    <mergeCell ref="BV26:BY26"/>
    <mergeCell ref="BZ26:CC26"/>
    <mergeCell ref="AX26:BA26"/>
    <mergeCell ref="BB26:BE26"/>
    <mergeCell ref="BF26:BI26"/>
    <mergeCell ref="BJ26:BM26"/>
    <mergeCell ref="BN26:BQ26"/>
    <mergeCell ref="B27:E27"/>
    <mergeCell ref="F27:I27"/>
    <mergeCell ref="J27:M27"/>
    <mergeCell ref="N27:Q27"/>
    <mergeCell ref="AL26:AO26"/>
    <mergeCell ref="AP26:AS26"/>
    <mergeCell ref="V26:Y26"/>
    <mergeCell ref="Z26:AC26"/>
    <mergeCell ref="R27:U27"/>
    <mergeCell ref="V27:Y27"/>
    <mergeCell ref="Z27:AC27"/>
    <mergeCell ref="BR27:BU27"/>
    <mergeCell ref="BF27:BI27"/>
    <mergeCell ref="BJ27:BM27"/>
    <mergeCell ref="BN27:BQ27"/>
    <mergeCell ref="BB27:BE27"/>
    <mergeCell ref="AD27:AG27"/>
    <mergeCell ref="AH27:AK27"/>
    <mergeCell ref="AT27:AW27"/>
    <mergeCell ref="AX27:BA27"/>
    <mergeCell ref="AL27:AO27"/>
    <mergeCell ref="AP27:AS27"/>
    <mergeCell ref="CJ40:CK40"/>
    <mergeCell ref="B41:C43"/>
    <mergeCell ref="D41:E43"/>
    <mergeCell ref="CJ43:CK43"/>
    <mergeCell ref="B28:E37"/>
    <mergeCell ref="B38:C40"/>
    <mergeCell ref="D38:E40"/>
    <mergeCell ref="B44:C46"/>
    <mergeCell ref="D44:E46"/>
    <mergeCell ref="CJ46:CK46"/>
    <mergeCell ref="B47:C49"/>
    <mergeCell ref="D47:E49"/>
    <mergeCell ref="CJ49:CK49"/>
    <mergeCell ref="B50:C52"/>
    <mergeCell ref="D50:E52"/>
    <mergeCell ref="CJ52:CK52"/>
    <mergeCell ref="B53:C55"/>
    <mergeCell ref="D53:E55"/>
    <mergeCell ref="CJ55:CK55"/>
    <mergeCell ref="B56:C58"/>
    <mergeCell ref="D56:E58"/>
    <mergeCell ref="CJ58:CK58"/>
    <mergeCell ref="B59:C61"/>
    <mergeCell ref="D59:E61"/>
    <mergeCell ref="CJ61:CK61"/>
    <mergeCell ref="V71:Y73"/>
    <mergeCell ref="Z71:AC73"/>
    <mergeCell ref="B62:C64"/>
    <mergeCell ref="D62:E64"/>
    <mergeCell ref="CJ64:CK64"/>
    <mergeCell ref="B65:C67"/>
    <mergeCell ref="D65:E67"/>
    <mergeCell ref="CJ67:CK67"/>
    <mergeCell ref="AL71:AO73"/>
    <mergeCell ref="AP71:AS73"/>
    <mergeCell ref="B68:C70"/>
    <mergeCell ref="D68:E70"/>
    <mergeCell ref="CJ70:CK70"/>
    <mergeCell ref="B71:E73"/>
    <mergeCell ref="F71:I73"/>
    <mergeCell ref="J71:M73"/>
    <mergeCell ref="N71:Q73"/>
    <mergeCell ref="R71:U73"/>
    <mergeCell ref="CJ73:CK73"/>
    <mergeCell ref="B74:C76"/>
    <mergeCell ref="D74:E76"/>
    <mergeCell ref="CJ76:CK76"/>
    <mergeCell ref="AD71:AG73"/>
    <mergeCell ref="AH71:AK73"/>
    <mergeCell ref="AD77:AG77"/>
    <mergeCell ref="AH77:AK77"/>
    <mergeCell ref="AL77:AO77"/>
    <mergeCell ref="AP77:AS77"/>
    <mergeCell ref="N77:Q77"/>
    <mergeCell ref="R77:U77"/>
    <mergeCell ref="V77:Y77"/>
    <mergeCell ref="Z77:AC77"/>
    <mergeCell ref="BJ77:BM77"/>
    <mergeCell ref="BN77:BQ77"/>
    <mergeCell ref="BR77:BU77"/>
    <mergeCell ref="BV77:BY77"/>
    <mergeCell ref="AT77:AW77"/>
    <mergeCell ref="AX77:BA77"/>
    <mergeCell ref="BZ77:CC77"/>
    <mergeCell ref="CD77:CG77"/>
    <mergeCell ref="CJ77:CK77"/>
    <mergeCell ref="B77:C77"/>
    <mergeCell ref="D77:E77"/>
    <mergeCell ref="F77:I77"/>
    <mergeCell ref="BJ78:BM78"/>
    <mergeCell ref="BN78:BQ78"/>
    <mergeCell ref="B78:E78"/>
    <mergeCell ref="F78:I78"/>
    <mergeCell ref="J78:M78"/>
    <mergeCell ref="N78:Q78"/>
    <mergeCell ref="R78:U78"/>
    <mergeCell ref="V78:Y78"/>
    <mergeCell ref="Z78:AC78"/>
    <mergeCell ref="BB78:BE78"/>
    <mergeCell ref="BF78:BI78"/>
    <mergeCell ref="AD78:AG78"/>
    <mergeCell ref="AH78:AK78"/>
    <mergeCell ref="AL78:AO78"/>
    <mergeCell ref="AP78:AS78"/>
    <mergeCell ref="J77:M77"/>
    <mergeCell ref="AT78:AW78"/>
    <mergeCell ref="AX78:BA78"/>
    <mergeCell ref="BB77:BE77"/>
    <mergeCell ref="BF77:BI77"/>
    <mergeCell ref="AX79:BA79"/>
    <mergeCell ref="BB79:BE79"/>
    <mergeCell ref="BF79:BI79"/>
    <mergeCell ref="CJ78:CK78"/>
    <mergeCell ref="BZ78:CC78"/>
    <mergeCell ref="CD78:CG78"/>
    <mergeCell ref="BR78:BU78"/>
    <mergeCell ref="BV78:BY78"/>
    <mergeCell ref="BZ79:CC79"/>
    <mergeCell ref="CD79:CG79"/>
    <mergeCell ref="BJ79:BM79"/>
    <mergeCell ref="BN79:BQ79"/>
    <mergeCell ref="BR79:BU79"/>
    <mergeCell ref="BV79:BY79"/>
    <mergeCell ref="AT80:AW80"/>
    <mergeCell ref="B79:E79"/>
    <mergeCell ref="F79:I79"/>
    <mergeCell ref="J79:M79"/>
    <mergeCell ref="N79:Q79"/>
    <mergeCell ref="R79:U79"/>
    <mergeCell ref="V79:Y79"/>
    <mergeCell ref="Z79:AC79"/>
    <mergeCell ref="B80:E80"/>
    <mergeCell ref="F80:I80"/>
    <mergeCell ref="J80:M80"/>
    <mergeCell ref="N80:Q80"/>
    <mergeCell ref="R80:U80"/>
    <mergeCell ref="V80:Y80"/>
    <mergeCell ref="AH80:AK80"/>
    <mergeCell ref="AL80:AO80"/>
    <mergeCell ref="AP80:AS80"/>
    <mergeCell ref="Z80:AC80"/>
    <mergeCell ref="AD80:AG80"/>
    <mergeCell ref="AD79:AG79"/>
    <mergeCell ref="AH79:AK79"/>
    <mergeCell ref="AL79:AO79"/>
    <mergeCell ref="AP79:AS79"/>
    <mergeCell ref="AT79:AW79"/>
    <mergeCell ref="BN80:BQ80"/>
    <mergeCell ref="BR80:BU80"/>
    <mergeCell ref="BV80:BY80"/>
    <mergeCell ref="BZ80:CC80"/>
    <mergeCell ref="AX80:BA80"/>
    <mergeCell ref="BB80:BE80"/>
    <mergeCell ref="BF80:BI80"/>
    <mergeCell ref="BJ80:BM80"/>
    <mergeCell ref="CD80:CG80"/>
    <mergeCell ref="B81:E81"/>
    <mergeCell ref="F81:I81"/>
    <mergeCell ref="J81:M81"/>
    <mergeCell ref="N81:Q81"/>
    <mergeCell ref="R81:U81"/>
    <mergeCell ref="V81:Y81"/>
    <mergeCell ref="Z81:AC81"/>
    <mergeCell ref="AD81:AG81"/>
    <mergeCell ref="AH81:AK81"/>
    <mergeCell ref="BZ81:CC81"/>
    <mergeCell ref="CD81:CG81"/>
    <mergeCell ref="BB81:BE81"/>
    <mergeCell ref="BF81:BI81"/>
    <mergeCell ref="BJ81:BM81"/>
    <mergeCell ref="BN81:BQ81"/>
    <mergeCell ref="B82:E82"/>
    <mergeCell ref="F82:I82"/>
    <mergeCell ref="J82:M82"/>
    <mergeCell ref="N82:Q82"/>
    <mergeCell ref="BR81:BU81"/>
    <mergeCell ref="BV81:BY81"/>
    <mergeCell ref="AL81:AO81"/>
    <mergeCell ref="AP81:AS81"/>
    <mergeCell ref="AT81:AW81"/>
    <mergeCell ref="AX81:BA81"/>
    <mergeCell ref="AH82:AK82"/>
    <mergeCell ref="AL82:AO82"/>
    <mergeCell ref="AP82:AS82"/>
    <mergeCell ref="AT82:AW82"/>
    <mergeCell ref="R82:U82"/>
    <mergeCell ref="V82:Y82"/>
    <mergeCell ref="Z82:AC82"/>
    <mergeCell ref="AD82:AG82"/>
    <mergeCell ref="CD82:CG82"/>
    <mergeCell ref="BN82:BQ82"/>
    <mergeCell ref="BR82:BU82"/>
    <mergeCell ref="BV82:BY82"/>
    <mergeCell ref="BZ82:CC82"/>
    <mergeCell ref="AX82:BA82"/>
    <mergeCell ref="BB82:BE82"/>
    <mergeCell ref="BF82:BI82"/>
    <mergeCell ref="BJ82:BM82"/>
  </mergeCells>
  <phoneticPr fontId="1"/>
  <pageMargins left="0.78740157480314965" right="0.19685039370078741" top="0.78740157480314965" bottom="0.78740157480314965" header="0.51181102362204722" footer="0.51181102362204722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36"/>
  <sheetViews>
    <sheetView showGridLines="0" view="pageBreakPreview" zoomScaleNormal="100" workbookViewId="0">
      <selection sqref="A1:E1"/>
    </sheetView>
  </sheetViews>
  <sheetFormatPr defaultRowHeight="11.25" x14ac:dyDescent="0.15"/>
  <cols>
    <col min="1" max="1" width="5.125" style="73" customWidth="1"/>
    <col min="2" max="2" width="0.875" style="73" customWidth="1"/>
    <col min="3" max="3" width="4.625" style="73" customWidth="1"/>
    <col min="4" max="4" width="0.875" style="73" customWidth="1"/>
    <col min="5" max="24" width="4.125" style="68" customWidth="1"/>
    <col min="25" max="16384" width="9" style="68"/>
  </cols>
  <sheetData>
    <row r="1" spans="1:25" ht="20.100000000000001" customHeight="1" x14ac:dyDescent="0.15">
      <c r="A1" s="390" t="s">
        <v>40</v>
      </c>
      <c r="B1" s="390"/>
      <c r="C1" s="390"/>
      <c r="D1" s="390"/>
      <c r="E1" s="390"/>
      <c r="F1" s="394" t="s">
        <v>41</v>
      </c>
      <c r="G1" s="395"/>
      <c r="H1" s="396" t="s">
        <v>42</v>
      </c>
      <c r="I1" s="397"/>
      <c r="J1" s="397"/>
      <c r="K1" s="397"/>
      <c r="L1" s="397"/>
      <c r="M1" s="397"/>
      <c r="N1" s="398" t="s">
        <v>2</v>
      </c>
      <c r="O1" s="398"/>
      <c r="P1" s="390" t="s">
        <v>43</v>
      </c>
      <c r="Q1" s="390"/>
      <c r="R1" s="390"/>
      <c r="S1" s="390"/>
      <c r="T1" s="400" t="s">
        <v>44</v>
      </c>
      <c r="U1" s="400"/>
      <c r="V1" s="401" t="s">
        <v>45</v>
      </c>
      <c r="W1" s="402"/>
      <c r="X1" s="402"/>
    </row>
    <row r="2" spans="1:25" ht="20.100000000000001" customHeight="1" x14ac:dyDescent="0.15">
      <c r="A2" s="391" t="s">
        <v>46</v>
      </c>
      <c r="B2" s="391"/>
      <c r="C2" s="391"/>
      <c r="D2" s="391"/>
      <c r="E2" s="391"/>
      <c r="F2" s="392" t="s">
        <v>47</v>
      </c>
      <c r="G2" s="393"/>
      <c r="H2" s="403" t="s">
        <v>42</v>
      </c>
      <c r="I2" s="403"/>
      <c r="J2" s="403"/>
      <c r="K2" s="403"/>
      <c r="L2" s="404" t="s">
        <v>48</v>
      </c>
      <c r="M2" s="405"/>
      <c r="N2" s="391" t="s">
        <v>49</v>
      </c>
      <c r="O2" s="391"/>
      <c r="P2" s="406" t="s">
        <v>50</v>
      </c>
      <c r="Q2" s="406"/>
      <c r="R2" s="407"/>
      <c r="S2" s="69" t="s">
        <v>51</v>
      </c>
      <c r="T2" s="400" t="s">
        <v>52</v>
      </c>
      <c r="U2" s="400"/>
      <c r="V2" s="399" t="s">
        <v>53</v>
      </c>
      <c r="W2" s="399"/>
      <c r="X2" s="399"/>
    </row>
    <row r="3" spans="1:25" ht="18" customHeight="1" x14ac:dyDescent="0.15">
      <c r="A3" s="388"/>
      <c r="B3" s="389"/>
      <c r="C3" s="389"/>
      <c r="D3" s="389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</row>
    <row r="4" spans="1:25" ht="18" customHeight="1" x14ac:dyDescent="0.15">
      <c r="A4" s="387"/>
      <c r="B4" s="384"/>
      <c r="C4" s="384"/>
      <c r="D4" s="384"/>
      <c r="X4" s="74"/>
    </row>
    <row r="5" spans="1:25" ht="18" customHeight="1" x14ac:dyDescent="0.15">
      <c r="A5" s="387"/>
      <c r="B5" s="384"/>
      <c r="C5" s="384"/>
      <c r="D5" s="384"/>
      <c r="X5" s="74"/>
    </row>
    <row r="6" spans="1:25" ht="18" customHeight="1" x14ac:dyDescent="0.15">
      <c r="A6" s="387"/>
      <c r="B6" s="384"/>
      <c r="C6" s="384"/>
      <c r="D6" s="384"/>
      <c r="X6" s="74"/>
    </row>
    <row r="7" spans="1:25" ht="18" customHeight="1" x14ac:dyDescent="0.15">
      <c r="A7" s="387"/>
      <c r="B7" s="384"/>
      <c r="C7" s="384"/>
      <c r="D7" s="384"/>
      <c r="X7" s="74"/>
    </row>
    <row r="8" spans="1:25" ht="147.75" customHeight="1" x14ac:dyDescent="0.15">
      <c r="A8" s="387"/>
      <c r="B8" s="384"/>
      <c r="C8" s="384"/>
      <c r="D8" s="384"/>
      <c r="X8" s="74"/>
    </row>
    <row r="9" spans="1:25" ht="18" customHeight="1" x14ac:dyDescent="0.15">
      <c r="A9" s="387"/>
      <c r="B9" s="384"/>
      <c r="C9" s="384"/>
      <c r="D9" s="384"/>
      <c r="X9" s="74"/>
    </row>
    <row r="10" spans="1:25" ht="18" customHeight="1" x14ac:dyDescent="0.15">
      <c r="A10" s="387"/>
      <c r="B10" s="384"/>
      <c r="C10" s="384"/>
      <c r="D10" s="384"/>
      <c r="X10" s="74"/>
    </row>
    <row r="11" spans="1:25" ht="18" customHeight="1" x14ac:dyDescent="0.15">
      <c r="A11" s="382"/>
      <c r="B11" s="383"/>
      <c r="C11" s="384"/>
      <c r="D11" s="384"/>
      <c r="E11" s="73"/>
      <c r="F11" s="75"/>
      <c r="G11" s="75"/>
      <c r="H11" s="75"/>
      <c r="I11" s="73"/>
      <c r="X11" s="74"/>
    </row>
    <row r="12" spans="1:25" ht="18" customHeight="1" x14ac:dyDescent="0.15">
      <c r="A12" s="382"/>
      <c r="B12" s="383"/>
      <c r="C12" s="386"/>
      <c r="D12" s="386"/>
      <c r="X12" s="74"/>
    </row>
    <row r="13" spans="1:25" ht="18" customHeight="1" x14ac:dyDescent="0.15">
      <c r="A13" s="382"/>
      <c r="B13" s="383"/>
      <c r="C13" s="384"/>
      <c r="D13" s="384"/>
      <c r="E13" s="73"/>
      <c r="F13" s="75"/>
      <c r="G13" s="75"/>
      <c r="H13" s="75"/>
      <c r="I13" s="76"/>
      <c r="J13" s="76"/>
      <c r="K13" s="76"/>
      <c r="L13" s="77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69"/>
    </row>
    <row r="14" spans="1:25" s="4" customFormat="1" ht="18" customHeight="1" x14ac:dyDescent="0.15">
      <c r="A14" s="385" t="s">
        <v>54</v>
      </c>
      <c r="B14" s="385"/>
      <c r="C14" s="385"/>
      <c r="D14" s="385"/>
      <c r="E14" s="66">
        <v>1</v>
      </c>
      <c r="F14" s="66">
        <v>2</v>
      </c>
      <c r="G14" s="66">
        <v>3</v>
      </c>
      <c r="H14" s="66">
        <v>4</v>
      </c>
      <c r="I14" s="66">
        <v>5</v>
      </c>
      <c r="J14" s="66">
        <v>6</v>
      </c>
      <c r="K14" s="66">
        <v>7</v>
      </c>
      <c r="L14" s="66">
        <v>8</v>
      </c>
      <c r="M14" s="66">
        <v>9</v>
      </c>
      <c r="N14" s="66">
        <v>10</v>
      </c>
      <c r="O14" s="66">
        <v>11</v>
      </c>
      <c r="P14" s="66">
        <v>12</v>
      </c>
      <c r="Q14" s="66">
        <v>13</v>
      </c>
      <c r="R14" s="12">
        <v>14</v>
      </c>
      <c r="S14" s="66">
        <v>15</v>
      </c>
      <c r="T14" s="66">
        <v>16</v>
      </c>
      <c r="U14" s="66">
        <v>17</v>
      </c>
      <c r="V14" s="66">
        <v>18</v>
      </c>
      <c r="W14" s="66">
        <v>19</v>
      </c>
      <c r="X14" s="66">
        <v>20</v>
      </c>
    </row>
    <row r="15" spans="1:25" s="81" customFormat="1" ht="18" customHeight="1" x14ac:dyDescent="0.15">
      <c r="A15" s="385" t="s">
        <v>55</v>
      </c>
      <c r="B15" s="385"/>
      <c r="C15" s="385"/>
      <c r="D15" s="385"/>
      <c r="E15" s="79" t="s">
        <v>56</v>
      </c>
      <c r="F15" s="79" t="s">
        <v>56</v>
      </c>
      <c r="G15" s="79" t="s">
        <v>57</v>
      </c>
      <c r="H15" s="79" t="s">
        <v>58</v>
      </c>
      <c r="I15" s="79" t="s">
        <v>59</v>
      </c>
      <c r="J15" s="79" t="s">
        <v>60</v>
      </c>
      <c r="K15" s="79" t="s">
        <v>61</v>
      </c>
      <c r="L15" s="79" t="s">
        <v>62</v>
      </c>
      <c r="M15" s="79" t="s">
        <v>63</v>
      </c>
      <c r="N15" s="79" t="s">
        <v>64</v>
      </c>
      <c r="O15" s="80" t="s">
        <v>65</v>
      </c>
      <c r="P15" s="79"/>
      <c r="Q15" s="79"/>
      <c r="R15" s="80"/>
      <c r="S15" s="79"/>
      <c r="T15" s="79"/>
      <c r="U15" s="79"/>
      <c r="V15" s="79"/>
      <c r="W15" s="79"/>
      <c r="X15" s="79"/>
    </row>
    <row r="16" spans="1:25" s="81" customFormat="1" ht="125.1" customHeight="1" x14ac:dyDescent="0.15">
      <c r="A16" s="379"/>
      <c r="B16" s="380"/>
      <c r="C16" s="380"/>
      <c r="D16" s="381"/>
      <c r="E16" s="82"/>
      <c r="F16" s="83"/>
      <c r="G16" s="83"/>
      <c r="H16" s="83"/>
      <c r="I16" s="83"/>
      <c r="J16" s="83"/>
      <c r="K16" s="82"/>
      <c r="L16" s="83"/>
      <c r="M16" s="83"/>
      <c r="N16" s="83"/>
      <c r="O16" s="80"/>
      <c r="P16" s="82"/>
      <c r="Q16" s="83"/>
      <c r="R16" s="83"/>
      <c r="S16" s="83"/>
      <c r="T16" s="83"/>
      <c r="U16" s="83"/>
      <c r="V16" s="83"/>
      <c r="W16" s="83"/>
      <c r="X16" s="80"/>
      <c r="Y16" s="84"/>
    </row>
    <row r="17" spans="1:24" ht="18" customHeight="1" x14ac:dyDescent="0.15">
      <c r="A17" s="379" t="s">
        <v>66</v>
      </c>
      <c r="B17" s="380"/>
      <c r="C17" s="380" t="s">
        <v>67</v>
      </c>
      <c r="D17" s="381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</row>
    <row r="18" spans="1:24" ht="18" customHeight="1" x14ac:dyDescent="0.15">
      <c r="A18" s="379" t="s">
        <v>68</v>
      </c>
      <c r="B18" s="380"/>
      <c r="C18" s="380" t="s">
        <v>69</v>
      </c>
      <c r="D18" s="381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</row>
    <row r="19" spans="1:24" ht="18" customHeight="1" x14ac:dyDescent="0.15">
      <c r="A19" s="379" t="s">
        <v>70</v>
      </c>
      <c r="B19" s="380"/>
      <c r="C19" s="380" t="s">
        <v>71</v>
      </c>
      <c r="D19" s="381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</row>
    <row r="20" spans="1:24" ht="18" customHeight="1" x14ac:dyDescent="0.15">
      <c r="A20" s="379" t="s">
        <v>72</v>
      </c>
      <c r="B20" s="380"/>
      <c r="C20" s="380" t="s">
        <v>73</v>
      </c>
      <c r="D20" s="381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</row>
    <row r="21" spans="1:24" ht="18" customHeight="1" x14ac:dyDescent="0.15">
      <c r="A21" s="379"/>
      <c r="B21" s="380"/>
      <c r="C21" s="380"/>
      <c r="D21" s="381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</row>
    <row r="22" spans="1:24" ht="18" customHeight="1" x14ac:dyDescent="0.15">
      <c r="A22" s="379"/>
      <c r="B22" s="380"/>
      <c r="C22" s="380"/>
      <c r="D22" s="381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</row>
    <row r="23" spans="1:24" ht="18" customHeight="1" x14ac:dyDescent="0.15">
      <c r="A23" s="379"/>
      <c r="B23" s="380"/>
      <c r="C23" s="380"/>
      <c r="D23" s="381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</row>
    <row r="24" spans="1:24" ht="18" customHeight="1" x14ac:dyDescent="0.15">
      <c r="A24" s="379"/>
      <c r="B24" s="380"/>
      <c r="C24" s="380"/>
      <c r="D24" s="381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</row>
    <row r="25" spans="1:24" ht="18" customHeight="1" x14ac:dyDescent="0.15">
      <c r="A25" s="379"/>
      <c r="B25" s="380"/>
      <c r="C25" s="380"/>
      <c r="D25" s="381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</row>
    <row r="26" spans="1:24" ht="18" customHeight="1" x14ac:dyDescent="0.15">
      <c r="A26" s="376"/>
      <c r="B26" s="377"/>
      <c r="C26" s="377"/>
      <c r="D26" s="378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</row>
    <row r="27" spans="1:24" ht="18" customHeight="1" x14ac:dyDescent="0.15">
      <c r="A27" s="376"/>
      <c r="B27" s="377"/>
      <c r="C27" s="377"/>
      <c r="D27" s="378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</row>
    <row r="28" spans="1:24" ht="18" customHeight="1" x14ac:dyDescent="0.15">
      <c r="A28" s="376"/>
      <c r="B28" s="377"/>
      <c r="C28" s="377"/>
      <c r="D28" s="378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</row>
    <row r="29" spans="1:24" ht="18" customHeight="1" x14ac:dyDescent="0.15">
      <c r="A29" s="376"/>
      <c r="B29" s="377"/>
      <c r="C29" s="377"/>
      <c r="D29" s="378"/>
      <c r="E29" s="85"/>
      <c r="F29" s="85"/>
      <c r="G29" s="85"/>
      <c r="H29" s="86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</row>
    <row r="30" spans="1:24" ht="18" customHeight="1" x14ac:dyDescent="0.15">
      <c r="A30" s="376"/>
      <c r="B30" s="377"/>
      <c r="C30" s="377"/>
      <c r="D30" s="378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</row>
    <row r="31" spans="1:24" ht="18" customHeight="1" x14ac:dyDescent="0.15">
      <c r="A31" s="376"/>
      <c r="B31" s="377"/>
      <c r="C31" s="377"/>
      <c r="D31" s="378"/>
      <c r="E31" s="85"/>
      <c r="F31" s="85"/>
      <c r="G31" s="85"/>
      <c r="H31" s="85"/>
      <c r="I31" s="66"/>
      <c r="J31" s="66"/>
      <c r="K31" s="85"/>
      <c r="L31" s="85"/>
      <c r="M31" s="85"/>
      <c r="N31" s="66"/>
      <c r="O31" s="66"/>
      <c r="P31" s="67"/>
      <c r="Q31" s="67"/>
      <c r="R31" s="67"/>
      <c r="S31" s="85"/>
      <c r="T31" s="85"/>
      <c r="U31" s="85"/>
      <c r="V31" s="85"/>
      <c r="W31" s="85"/>
      <c r="X31" s="85"/>
    </row>
    <row r="32" spans="1:24" ht="18" customHeight="1" x14ac:dyDescent="0.15">
      <c r="A32" s="376"/>
      <c r="B32" s="377"/>
      <c r="C32" s="377"/>
      <c r="D32" s="378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85"/>
      <c r="P32" s="67"/>
      <c r="Q32" s="67"/>
      <c r="R32" s="67"/>
      <c r="S32" s="85"/>
      <c r="T32" s="85"/>
      <c r="U32" s="85"/>
      <c r="V32" s="85"/>
      <c r="W32" s="85"/>
      <c r="X32" s="85"/>
    </row>
    <row r="33" spans="1:24" ht="18" customHeight="1" x14ac:dyDescent="0.15">
      <c r="A33" s="87" t="s">
        <v>74</v>
      </c>
      <c r="B33" s="88" t="s">
        <v>75</v>
      </c>
      <c r="C33" s="89">
        <f>SUM(E33:X33)</f>
        <v>180</v>
      </c>
      <c r="D33" s="90" t="s">
        <v>76</v>
      </c>
      <c r="E33" s="66">
        <v>50</v>
      </c>
      <c r="F33" s="66">
        <v>70</v>
      </c>
      <c r="G33" s="66">
        <v>16</v>
      </c>
      <c r="H33" s="66">
        <v>4</v>
      </c>
      <c r="I33" s="66">
        <v>3</v>
      </c>
      <c r="J33" s="66">
        <v>2</v>
      </c>
      <c r="K33" s="66">
        <v>15</v>
      </c>
      <c r="L33" s="66">
        <v>12</v>
      </c>
      <c r="M33" s="66">
        <v>3</v>
      </c>
      <c r="N33" s="66">
        <v>3</v>
      </c>
      <c r="O33" s="66">
        <v>2</v>
      </c>
      <c r="P33" s="66"/>
      <c r="Q33" s="66"/>
      <c r="R33" s="66"/>
      <c r="S33" s="66"/>
      <c r="T33" s="66"/>
      <c r="U33" s="66"/>
      <c r="V33" s="66"/>
      <c r="W33" s="66"/>
      <c r="X33" s="66"/>
    </row>
    <row r="34" spans="1:24" ht="18" customHeight="1" x14ac:dyDescent="0.15">
      <c r="A34" s="373" t="s">
        <v>77</v>
      </c>
      <c r="B34" s="374"/>
      <c r="C34" s="374"/>
      <c r="D34" s="375"/>
      <c r="E34" s="70">
        <v>110</v>
      </c>
      <c r="F34" s="70">
        <v>110</v>
      </c>
      <c r="G34" s="70">
        <v>10</v>
      </c>
      <c r="H34" s="70">
        <v>110</v>
      </c>
      <c r="I34" s="70">
        <v>10</v>
      </c>
      <c r="J34" s="70">
        <v>10</v>
      </c>
      <c r="K34" s="70">
        <v>110</v>
      </c>
      <c r="L34" s="70">
        <v>10</v>
      </c>
      <c r="M34" s="70">
        <v>110</v>
      </c>
      <c r="N34" s="70">
        <v>10</v>
      </c>
      <c r="O34" s="70">
        <v>10</v>
      </c>
      <c r="P34" s="70"/>
      <c r="Q34" s="70"/>
      <c r="R34" s="70"/>
      <c r="S34" s="70"/>
      <c r="T34" s="70"/>
      <c r="U34" s="70"/>
      <c r="V34" s="70"/>
      <c r="W34" s="70"/>
      <c r="X34" s="70"/>
    </row>
    <row r="35" spans="1:24" ht="18" customHeight="1" x14ac:dyDescent="0.15">
      <c r="A35" s="373" t="s">
        <v>78</v>
      </c>
      <c r="B35" s="374"/>
      <c r="C35" s="374"/>
      <c r="D35" s="375"/>
      <c r="E35" s="70">
        <v>8</v>
      </c>
      <c r="F35" s="70">
        <v>0.95</v>
      </c>
      <c r="G35" s="70">
        <v>0.95</v>
      </c>
      <c r="H35" s="70">
        <v>0.95</v>
      </c>
      <c r="I35" s="70">
        <v>0.95</v>
      </c>
      <c r="J35" s="70">
        <v>0.95</v>
      </c>
      <c r="K35" s="70">
        <v>8</v>
      </c>
      <c r="L35" s="70">
        <v>0.95</v>
      </c>
      <c r="M35" s="70">
        <v>0.95</v>
      </c>
      <c r="N35" s="70">
        <v>0.95</v>
      </c>
      <c r="O35" s="70">
        <v>0.95</v>
      </c>
      <c r="P35" s="70"/>
      <c r="Q35" s="70"/>
      <c r="R35" s="70"/>
      <c r="S35" s="70"/>
      <c r="T35" s="70"/>
      <c r="U35" s="70"/>
      <c r="V35" s="70"/>
      <c r="W35" s="70"/>
      <c r="X35" s="70"/>
    </row>
    <row r="36" spans="1:24" ht="18" customHeight="1" x14ac:dyDescent="0.15">
      <c r="A36" s="373" t="s">
        <v>79</v>
      </c>
      <c r="B36" s="374"/>
      <c r="C36" s="374"/>
      <c r="D36" s="375"/>
      <c r="E36" s="70" t="s">
        <v>80</v>
      </c>
      <c r="F36" s="70" t="s">
        <v>80</v>
      </c>
      <c r="G36" s="70" t="s">
        <v>81</v>
      </c>
      <c r="H36" s="70" t="s">
        <v>81</v>
      </c>
      <c r="I36" s="70" t="s">
        <v>81</v>
      </c>
      <c r="J36" s="70" t="s">
        <v>81</v>
      </c>
      <c r="K36" s="70" t="s">
        <v>81</v>
      </c>
      <c r="L36" s="70" t="s">
        <v>80</v>
      </c>
      <c r="M36" s="70" t="s">
        <v>80</v>
      </c>
      <c r="N36" s="70" t="s">
        <v>80</v>
      </c>
      <c r="O36" s="70" t="s">
        <v>80</v>
      </c>
      <c r="P36" s="70"/>
      <c r="Q36" s="70"/>
      <c r="R36" s="70"/>
      <c r="S36" s="70"/>
      <c r="T36" s="70"/>
      <c r="U36" s="70"/>
      <c r="V36" s="70"/>
      <c r="W36" s="70"/>
      <c r="X36" s="70"/>
    </row>
  </sheetData>
  <mergeCells count="75">
    <mergeCell ref="V2:X2"/>
    <mergeCell ref="T1:U1"/>
    <mergeCell ref="V1:X1"/>
    <mergeCell ref="H2:K2"/>
    <mergeCell ref="L2:M2"/>
    <mergeCell ref="N2:O2"/>
    <mergeCell ref="P2:R2"/>
    <mergeCell ref="T2:U2"/>
    <mergeCell ref="A3:B3"/>
    <mergeCell ref="C3:D3"/>
    <mergeCell ref="A4:B4"/>
    <mergeCell ref="C4:D4"/>
    <mergeCell ref="P1:S1"/>
    <mergeCell ref="A2:E2"/>
    <mergeCell ref="F2:G2"/>
    <mergeCell ref="A1:E1"/>
    <mergeCell ref="F1:G1"/>
    <mergeCell ref="H1:M1"/>
    <mergeCell ref="N1:O1"/>
    <mergeCell ref="A7:B7"/>
    <mergeCell ref="C7:D7"/>
    <mergeCell ref="A8:B8"/>
    <mergeCell ref="C8:D8"/>
    <mergeCell ref="A5:B5"/>
    <mergeCell ref="C5:D5"/>
    <mergeCell ref="A6:B6"/>
    <mergeCell ref="C6:D6"/>
    <mergeCell ref="A11:B11"/>
    <mergeCell ref="C11:D11"/>
    <mergeCell ref="A12:B12"/>
    <mergeCell ref="C12:D12"/>
    <mergeCell ref="A9:B9"/>
    <mergeCell ref="C9:D9"/>
    <mergeCell ref="A10:B10"/>
    <mergeCell ref="C10:D10"/>
    <mergeCell ref="A13:B13"/>
    <mergeCell ref="C13:D13"/>
    <mergeCell ref="A14:D14"/>
    <mergeCell ref="A15:D15"/>
    <mergeCell ref="A21:B21"/>
    <mergeCell ref="C21:D21"/>
    <mergeCell ref="A16:D16"/>
    <mergeCell ref="A17:B17"/>
    <mergeCell ref="C17:D17"/>
    <mergeCell ref="A18:B18"/>
    <mergeCell ref="C18:D18"/>
    <mergeCell ref="A22:B22"/>
    <mergeCell ref="C22:D22"/>
    <mergeCell ref="A19:B19"/>
    <mergeCell ref="C19:D19"/>
    <mergeCell ref="A20:B20"/>
    <mergeCell ref="C20:D20"/>
    <mergeCell ref="A25:B25"/>
    <mergeCell ref="C25:D25"/>
    <mergeCell ref="A26:B26"/>
    <mergeCell ref="C26:D26"/>
    <mergeCell ref="A23:B23"/>
    <mergeCell ref="C23:D23"/>
    <mergeCell ref="A24:B24"/>
    <mergeCell ref="C24:D24"/>
    <mergeCell ref="A29:B29"/>
    <mergeCell ref="C29:D29"/>
    <mergeCell ref="A30:B30"/>
    <mergeCell ref="C30:D30"/>
    <mergeCell ref="A27:B27"/>
    <mergeCell ref="C27:D27"/>
    <mergeCell ref="A28:B28"/>
    <mergeCell ref="C28:D28"/>
    <mergeCell ref="A34:D34"/>
    <mergeCell ref="A35:D35"/>
    <mergeCell ref="A36:D36"/>
    <mergeCell ref="A31:B31"/>
    <mergeCell ref="C31:D31"/>
    <mergeCell ref="A32:B32"/>
    <mergeCell ref="C32:D32"/>
  </mergeCells>
  <phoneticPr fontId="1"/>
  <pageMargins left="0.78740157480314965" right="0.19685039370078741" top="0.78740157480314965" bottom="0.78740157480314965" header="0.51181102362204722" footer="0.51181102362204722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2026-02-13</vt:lpstr>
      <vt:lpstr>70345</vt:lpstr>
      <vt:lpstr>440345</vt:lpstr>
      <vt:lpstr>'2026-02-13'!Print_Area</vt:lpstr>
      <vt:lpstr>'440345'!Print_Area</vt:lpstr>
      <vt:lpstr>'70345'!Print_Area</vt:lpstr>
    </vt:vector>
  </TitlesOfParts>
  <Company>000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hdoi</dc:creator>
  <cp:lastModifiedBy>繁内 修二</cp:lastModifiedBy>
  <cp:lastPrinted>2025-09-08T06:58:08Z</cp:lastPrinted>
  <dcterms:created xsi:type="dcterms:W3CDTF">2004-12-08T01:52:09Z</dcterms:created>
  <dcterms:modified xsi:type="dcterms:W3CDTF">2026-02-21T14:08:36Z</dcterms:modified>
</cp:coreProperties>
</file>