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87C71390-6194-472B-8966-AC6C2D3CF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1" sheetId="3" r:id="rId1"/>
    <sheet name="70068" sheetId="2" r:id="rId2"/>
    <sheet name="420068" sheetId="1" r:id="rId3"/>
  </sheets>
  <definedNames>
    <definedName name="_xlnm.Print_Area" localSheetId="0">'2026-02-11'!$A$1:$X$38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5" i="3" l="1"/>
  <c r="AA34" i="3"/>
  <c r="C34" i="3"/>
  <c r="AA15" i="3"/>
  <c r="AD15" i="3" s="1"/>
  <c r="AA14" i="3"/>
  <c r="AD14" i="3" s="1"/>
  <c r="C35" i="3"/>
  <c r="C33" i="2"/>
  <c r="C33" i="1"/>
</calcChain>
</file>

<file path=xl/sharedStrings.xml><?xml version="1.0" encoding="utf-8"?>
<sst xmlns="http://schemas.openxmlformats.org/spreadsheetml/2006/main" count="195" uniqueCount="78">
  <si>
    <t>規制番号　名称</t>
    <rPh sb="0" eb="2">
      <t>キセイ</t>
    </rPh>
    <rPh sb="2" eb="4">
      <t>バンゴウ</t>
    </rPh>
    <rPh sb="5" eb="7">
      <t>メイショウ</t>
    </rPh>
    <phoneticPr fontId="3"/>
  </si>
  <si>
    <t>引野町４丁目</t>
    <rPh sb="0" eb="2">
      <t>ヒキノ</t>
    </rPh>
    <rPh sb="2" eb="3">
      <t>チョウ</t>
    </rPh>
    <rPh sb="4" eb="6">
      <t>チョウメ</t>
    </rPh>
    <phoneticPr fontId="3"/>
  </si>
  <si>
    <t>運　用</t>
    <rPh sb="0" eb="1">
      <t>ウン</t>
    </rPh>
    <rPh sb="2" eb="3">
      <t>ヨウ</t>
    </rPh>
    <phoneticPr fontId="3"/>
  </si>
  <si>
    <t>製造番号</t>
    <rPh sb="0" eb="2">
      <t>セイゾウ</t>
    </rPh>
    <rPh sb="2" eb="4">
      <t>バンゴウ</t>
    </rPh>
    <phoneticPr fontId="3"/>
  </si>
  <si>
    <t>管制番号　名称</t>
    <rPh sb="0" eb="2">
      <t>カンセイ</t>
    </rPh>
    <rPh sb="2" eb="4">
      <t>バンゴウ</t>
    </rPh>
    <rPh sb="5" eb="7">
      <t>メイショウ</t>
    </rPh>
    <phoneticPr fontId="3"/>
  </si>
  <si>
    <t>開始日時</t>
    <rPh sb="0" eb="2">
      <t>カイシ</t>
    </rPh>
    <rPh sb="2" eb="4">
      <t>ニチジ</t>
    </rPh>
    <phoneticPr fontId="3"/>
  </si>
  <si>
    <t>製造年月</t>
    <rPh sb="0" eb="2">
      <t>セイゾウ</t>
    </rPh>
    <rPh sb="2" eb="4">
      <t>ネンゲツ</t>
    </rPh>
    <phoneticPr fontId="3"/>
  </si>
  <si>
    <t>ステップ番号</t>
    <rPh sb="4" eb="6">
      <t>バンゴウ</t>
    </rPh>
    <phoneticPr fontId="3"/>
  </si>
  <si>
    <t>ステップ名称</t>
    <rPh sb="4" eb="6">
      <t>メイショウ</t>
    </rPh>
    <phoneticPr fontId="3"/>
  </si>
  <si>
    <t>1PG</t>
    <phoneticPr fontId="3"/>
  </si>
  <si>
    <t>1PW</t>
    <phoneticPr fontId="3"/>
  </si>
  <si>
    <t>1 G</t>
    <phoneticPr fontId="3"/>
  </si>
  <si>
    <t>1 Y</t>
    <phoneticPr fontId="3"/>
  </si>
  <si>
    <t>1 R</t>
    <phoneticPr fontId="3"/>
  </si>
  <si>
    <t>2PG</t>
    <phoneticPr fontId="3"/>
  </si>
  <si>
    <t>2PW</t>
    <phoneticPr fontId="3"/>
  </si>
  <si>
    <t>2 G</t>
    <phoneticPr fontId="3"/>
  </si>
  <si>
    <t>2 Y</t>
    <phoneticPr fontId="3"/>
  </si>
  <si>
    <t>2 A</t>
    <phoneticPr fontId="3"/>
  </si>
  <si>
    <t>2 R</t>
    <phoneticPr fontId="3"/>
  </si>
  <si>
    <t xml:space="preserve">  １Ｐ</t>
    <phoneticPr fontId="3"/>
  </si>
  <si>
    <t>[ 1P ]</t>
    <phoneticPr fontId="3"/>
  </si>
  <si>
    <t>１</t>
    <phoneticPr fontId="3"/>
  </si>
  <si>
    <t>[ 1V ]</t>
    <phoneticPr fontId="3"/>
  </si>
  <si>
    <t xml:space="preserve">  ２Ｐ</t>
    <phoneticPr fontId="3"/>
  </si>
  <si>
    <t>[ 2P ]</t>
    <phoneticPr fontId="3"/>
  </si>
  <si>
    <t>２</t>
    <phoneticPr fontId="3"/>
  </si>
  <si>
    <t>[ 2V ]</t>
    <phoneticPr fontId="3"/>
  </si>
  <si>
    <t>保安秒時</t>
    <rPh sb="0" eb="2">
      <t>ホアン</t>
    </rPh>
    <rPh sb="2" eb="4">
      <t>ビョウジ</t>
    </rPh>
    <phoneticPr fontId="3"/>
  </si>
  <si>
    <t>(</t>
    <phoneticPr fontId="3"/>
  </si>
  <si>
    <t>)</t>
    <phoneticPr fontId="3"/>
  </si>
  <si>
    <t>最長時間（秒）</t>
    <rPh sb="0" eb="2">
      <t>サイチョウ</t>
    </rPh>
    <rPh sb="2" eb="4">
      <t>ジカン</t>
    </rPh>
    <rPh sb="5" eb="6">
      <t>ビョウ</t>
    </rPh>
    <phoneticPr fontId="3"/>
  </si>
  <si>
    <t>最短時間（秒）</t>
    <rPh sb="0" eb="2">
      <t>サイタン</t>
    </rPh>
    <rPh sb="2" eb="4">
      <t>ジカン</t>
    </rPh>
    <rPh sb="5" eb="6">
      <t>ビョウ</t>
    </rPh>
    <phoneticPr fontId="3"/>
  </si>
  <si>
    <t>ＡＢ連動出力</t>
    <rPh sb="2" eb="4">
      <t>レンドウ</t>
    </rPh>
    <rPh sb="4" eb="6">
      <t>シュツリョク</t>
    </rPh>
    <phoneticPr fontId="3"/>
  </si>
  <si>
    <t>A</t>
    <phoneticPr fontId="3"/>
  </si>
  <si>
    <t>B</t>
    <phoneticPr fontId="3"/>
  </si>
  <si>
    <t xml:space="preserve">7-0068 </t>
    <phoneticPr fontId="3"/>
  </si>
  <si>
    <t xml:space="preserve">070068 </t>
    <phoneticPr fontId="3"/>
  </si>
  <si>
    <t>２Ａ</t>
    <phoneticPr fontId="3"/>
  </si>
  <si>
    <t>[ 2A ]</t>
    <phoneticPr fontId="3"/>
  </si>
  <si>
    <t>ＵＣ－ＵＤ（ＴＣＵ）</t>
    <phoneticPr fontId="3"/>
  </si>
  <si>
    <t xml:space="preserve"> </t>
    <phoneticPr fontId="3"/>
  </si>
  <si>
    <t>3N1851</t>
    <phoneticPr fontId="3"/>
  </si>
  <si>
    <t>引野町４丁目</t>
    <rPh sb="0" eb="2">
      <t>ヒキノ</t>
    </rPh>
    <rPh sb="2" eb="3">
      <t>マチ</t>
    </rPh>
    <rPh sb="4" eb="6">
      <t>チョウメ</t>
    </rPh>
    <phoneticPr fontId="3"/>
  </si>
  <si>
    <t>14:08～</t>
    <phoneticPr fontId="3"/>
  </si>
  <si>
    <t xml:space="preserve">070068 </t>
    <phoneticPr fontId="3"/>
  </si>
  <si>
    <t>ＵＣ－ＵＤ（ＴＣＵ）</t>
    <phoneticPr fontId="3"/>
  </si>
  <si>
    <t>[ 2A ]</t>
    <phoneticPr fontId="3"/>
  </si>
  <si>
    <t xml:space="preserve">  ２Ｐ</t>
    <phoneticPr fontId="3"/>
  </si>
  <si>
    <t>　２Ａ</t>
    <phoneticPr fontId="3"/>
  </si>
  <si>
    <t>　１Ａ</t>
    <phoneticPr fontId="3"/>
  </si>
  <si>
    <t>[ 1A ]</t>
    <phoneticPr fontId="3"/>
  </si>
  <si>
    <t>1 A</t>
    <phoneticPr fontId="3"/>
  </si>
  <si>
    <t>1 Y</t>
    <phoneticPr fontId="3"/>
  </si>
  <si>
    <t>1 R</t>
    <phoneticPr fontId="3"/>
  </si>
  <si>
    <t>～</t>
    <phoneticPr fontId="3"/>
  </si>
  <si>
    <t>3N1851</t>
    <phoneticPr fontId="3"/>
  </si>
  <si>
    <t>最終指定</t>
    <rPh sb="0" eb="2">
      <t>サイシュウ</t>
    </rPh>
    <rPh sb="2" eb="4">
      <t>シテイ</t>
    </rPh>
    <phoneticPr fontId="3"/>
  </si>
  <si>
    <t>可変指定</t>
    <rPh sb="0" eb="2">
      <t>カヘン</t>
    </rPh>
    <rPh sb="2" eb="4">
      <t>シテイ</t>
    </rPh>
    <phoneticPr fontId="3"/>
  </si>
  <si>
    <t>○</t>
    <phoneticPr fontId="3"/>
  </si>
  <si>
    <t>○</t>
    <phoneticPr fontId="3"/>
  </si>
  <si>
    <t>○</t>
    <phoneticPr fontId="3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</si>
  <si>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3"/>
  </si>
  <si>
    <t>1012号「版6」</t>
    <phoneticPr fontId="3"/>
  </si>
  <si>
    <t>メーカー</t>
    <phoneticPr fontId="3"/>
  </si>
  <si>
    <t>Int№：</t>
    <phoneticPr fontId="3"/>
  </si>
  <si>
    <t>ＰＵ</t>
    <phoneticPr fontId="3"/>
  </si>
  <si>
    <t>ＰＬ</t>
    <phoneticPr fontId="3"/>
  </si>
  <si>
    <t>引野町４丁目</t>
    <rPh sb="0" eb="3">
      <t>ヒキノチョウ</t>
    </rPh>
    <rPh sb="4" eb="6">
      <t>チョウメ</t>
    </rPh>
    <phoneticPr fontId="3"/>
  </si>
  <si>
    <t>07-0068</t>
    <phoneticPr fontId="3"/>
  </si>
  <si>
    <t>70068</t>
    <phoneticPr fontId="3"/>
  </si>
  <si>
    <t>(S9-TCU)</t>
    <phoneticPr fontId="3"/>
  </si>
  <si>
    <t>１Ｐ</t>
    <phoneticPr fontId="3"/>
  </si>
  <si>
    <t>１右矢</t>
    <rPh sb="1" eb="2">
      <t>ミギ</t>
    </rPh>
    <rPh sb="2" eb="3">
      <t>ヤ</t>
    </rPh>
    <phoneticPr fontId="3"/>
  </si>
  <si>
    <t>２Ｐ</t>
    <phoneticPr fontId="3"/>
  </si>
  <si>
    <t>２右矢</t>
    <rPh sb="1" eb="2">
      <t>ミギ</t>
    </rPh>
    <rPh sb="2" eb="3">
      <t>ヤ</t>
    </rPh>
    <phoneticPr fontId="3"/>
  </si>
  <si>
    <t>日本信号</t>
    <rPh sb="0" eb="4">
      <t>ニホンシンゴウ</t>
    </rPh>
    <phoneticPr fontId="3"/>
  </si>
  <si>
    <t>K0000004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</si>
</sst>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right" vertical="center"/>
    </xf>
    <xf numFmtId="177" fontId="4" fillId="0" borderId="10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9" fontId="11" fillId="0" borderId="6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49" fontId="11" fillId="0" borderId="0" xfId="0" applyNumberFormat="1" applyFont="1" applyAlignment="1">
      <alignment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right" vertical="center"/>
    </xf>
    <xf numFmtId="177" fontId="13" fillId="0" borderId="10" xfId="0" applyNumberFormat="1" applyFont="1" applyBorder="1" applyAlignment="1">
      <alignment horizontal="center" vertical="center"/>
    </xf>
    <xf numFmtId="181" fontId="11" fillId="0" borderId="0" xfId="0" applyNumberFormat="1" applyFont="1" applyAlignment="1">
      <alignment vertical="center"/>
    </xf>
    <xf numFmtId="49" fontId="13" fillId="0" borderId="19" xfId="0" applyNumberFormat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right" vertical="center"/>
    </xf>
    <xf numFmtId="49" fontId="13" fillId="0" borderId="1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1" xfId="0" applyFont="1" applyBorder="1" applyAlignment="1">
      <alignment vertical="center" shrinkToFit="1"/>
    </xf>
    <xf numFmtId="49" fontId="13" fillId="0" borderId="9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left" vertical="center"/>
    </xf>
    <xf numFmtId="176" fontId="13" fillId="0" borderId="7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1" fillId="0" borderId="2" xfId="0" applyFont="1" applyBorder="1" applyAlignment="1">
      <alignment horizontal="right" vertical="center"/>
    </xf>
    <xf numFmtId="179" fontId="11" fillId="0" borderId="20" xfId="0" applyNumberFormat="1" applyFont="1" applyBorder="1" applyAlignment="1">
      <alignment horizontal="center" vertical="center"/>
    </xf>
    <xf numFmtId="179" fontId="11" fillId="0" borderId="3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19" xfId="0" applyNumberFormat="1" applyFont="1" applyBorder="1" applyAlignment="1">
      <alignment horizontal="center" vertical="center"/>
    </xf>
    <xf numFmtId="179" fontId="11" fillId="0" borderId="6" xfId="0" applyNumberFormat="1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9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180" fontId="11" fillId="0" borderId="25" xfId="0" applyNumberFormat="1" applyFont="1" applyBorder="1" applyAlignment="1">
      <alignment horizontal="center" vertical="center"/>
    </xf>
    <xf numFmtId="180" fontId="11" fillId="0" borderId="26" xfId="0" applyNumberFormat="1" applyFont="1" applyBorder="1" applyAlignment="1">
      <alignment horizontal="center" vertical="center"/>
    </xf>
    <xf numFmtId="180" fontId="11" fillId="0" borderId="19" xfId="0" applyNumberFormat="1" applyFont="1" applyBorder="1" applyAlignment="1">
      <alignment horizontal="center" vertical="center"/>
    </xf>
    <xf numFmtId="180" fontId="11" fillId="0" borderId="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178" fontId="11" fillId="0" borderId="20" xfId="0" applyNumberFormat="1" applyFont="1" applyBorder="1" applyAlignment="1">
      <alignment horizontal="center" vertical="center"/>
    </xf>
    <xf numFmtId="178" fontId="11" fillId="0" borderId="3" xfId="0" applyNumberFormat="1" applyFont="1" applyBorder="1" applyAlignment="1">
      <alignment horizontal="center" vertical="center"/>
    </xf>
    <xf numFmtId="178" fontId="11" fillId="0" borderId="4" xfId="0" applyNumberFormat="1" applyFont="1" applyBorder="1" applyAlignment="1">
      <alignment horizontal="center" vertical="center"/>
    </xf>
    <xf numFmtId="178" fontId="11" fillId="0" borderId="22" xfId="0" applyNumberFormat="1" applyFont="1" applyBorder="1" applyAlignment="1">
      <alignment horizontal="center" vertical="center"/>
    </xf>
    <xf numFmtId="178" fontId="11" fillId="0" borderId="23" xfId="0" applyNumberFormat="1" applyFont="1" applyBorder="1" applyAlignment="1">
      <alignment horizontal="center" vertical="center"/>
    </xf>
    <xf numFmtId="178" fontId="11" fillId="0" borderId="24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49" fontId="11" fillId="0" borderId="20" xfId="0" quotePrefix="1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vertical="center"/>
    </xf>
    <xf numFmtId="49" fontId="13" fillId="0" borderId="10" xfId="0" applyNumberFormat="1" applyFont="1" applyBorder="1" applyAlignment="1">
      <alignment vertical="center"/>
    </xf>
    <xf numFmtId="49" fontId="13" fillId="0" borderId="7" xfId="0" applyNumberFormat="1" applyFont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13" fillId="0" borderId="6" xfId="0" applyNumberFormat="1" applyFont="1" applyBorder="1" applyAlignment="1">
      <alignment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left" vertical="center"/>
    </xf>
    <xf numFmtId="49" fontId="11" fillId="0" borderId="19" xfId="0" applyNumberFormat="1" applyFont="1" applyBorder="1" applyAlignment="1">
      <alignment horizontal="right" vertical="center"/>
    </xf>
    <xf numFmtId="49" fontId="11" fillId="0" borderId="6" xfId="0" applyNumberFormat="1" applyFont="1" applyBorder="1" applyAlignment="1">
      <alignment horizontal="right" vertical="center"/>
    </xf>
    <xf numFmtId="49" fontId="11" fillId="0" borderId="6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20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32" fontId="10" fillId="0" borderId="11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178" fontId="10" fillId="0" borderId="16" xfId="0" applyNumberFormat="1" applyFont="1" applyBorder="1" applyAlignment="1">
      <alignment horizontal="center" vertical="center"/>
    </xf>
    <xf numFmtId="178" fontId="10" fillId="0" borderId="17" xfId="0" applyNumberFormat="1" applyFont="1" applyBorder="1" applyAlignment="1">
      <alignment horizontal="center" vertical="center"/>
    </xf>
    <xf numFmtId="178" fontId="10" fillId="0" borderId="18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right" vertical="center"/>
    </xf>
    <xf numFmtId="49" fontId="4" fillId="0" borderId="6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4" fillId="0" borderId="19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shrinkToFit="1"/>
    </xf>
    <xf numFmtId="49" fontId="4" fillId="0" borderId="10" xfId="0" applyNumberFormat="1" applyFont="1" applyBorder="1" applyAlignment="1">
      <alignment horizontal="center" vertical="center" shrinkToFit="1"/>
    </xf>
    <xf numFmtId="49" fontId="4" fillId="0" borderId="7" xfId="0" applyNumberFormat="1" applyFont="1" applyBorder="1" applyAlignment="1">
      <alignment horizontal="center" vertical="center" shrinkToFit="1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2" fontId="2" fillId="0" borderId="1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57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76201</xdr:colOff>
      <xdr:row>4</xdr:row>
      <xdr:rowOff>76200</xdr:rowOff>
    </xdr:from>
    <xdr:to>
      <xdr:col>21</xdr:col>
      <xdr:colOff>247650</xdr:colOff>
      <xdr:row>14</xdr:row>
      <xdr:rowOff>33289</xdr:rowOff>
    </xdr:to>
    <xdr:grpSp>
      <xdr:nvGrpSpPr>
        <xdr:cNvPr id="165" name="グループ化 164">
          <a:extLst>
            <a:ext uri="{FF2B5EF4-FFF2-40B4-BE49-F238E27FC236}">
              <a16:creationId xmlns:a16="http://schemas.microsoft.com/office/drawing/2014/main" id="{CF35AE55-822E-42B6-B22C-C2ADDC9B3070}"/>
            </a:ext>
          </a:extLst>
        </xdr:cNvPr>
        <xdr:cNvGrpSpPr>
          <a:grpSpLocks noChangeAspect="1"/>
        </xdr:cNvGrpSpPr>
      </xdr:nvGrpSpPr>
      <xdr:grpSpPr>
        <a:xfrm>
          <a:off x="647701" y="647700"/>
          <a:ext cx="6257924" cy="3890914"/>
          <a:chOff x="8048625" y="1609725"/>
          <a:chExt cx="13219047" cy="8219048"/>
        </a:xfrm>
      </xdr:grpSpPr>
      <xdr:pic>
        <xdr:nvPicPr>
          <xdr:cNvPr id="113" name="図 112">
            <a:extLst>
              <a:ext uri="{FF2B5EF4-FFF2-40B4-BE49-F238E27FC236}">
                <a16:creationId xmlns:a16="http://schemas.microsoft.com/office/drawing/2014/main" id="{A135A52A-522F-485E-BF6C-DF01BF9FF7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048625" y="1609725"/>
            <a:ext cx="13219047" cy="8219048"/>
          </a:xfrm>
          <a:prstGeom prst="rect">
            <a:avLst/>
          </a:prstGeom>
        </xdr:spPr>
      </xdr:pic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F5A9211A-6291-4493-B311-5FC570B74A5F}"/>
              </a:ext>
            </a:extLst>
          </xdr:cNvPr>
          <xdr:cNvSpPr/>
        </xdr:nvSpPr>
        <xdr:spPr bwMode="auto">
          <a:xfrm>
            <a:off x="8210550" y="1628775"/>
            <a:ext cx="4095750" cy="1676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 cap="flat" cmpd="sng" algn="ctr">
            <a:noFill/>
            <a:prstDash val="solid"/>
            <a:round/>
            <a:headEnd type="triangle" w="med" len="med"/>
            <a:tailEnd type="triangl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6569DA99-91B3-48EA-BA01-E689540B1EE8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18</xdr:row>
      <xdr:rowOff>95250</xdr:rowOff>
    </xdr:from>
    <xdr:to>
      <xdr:col>18</xdr:col>
      <xdr:colOff>9525</xdr:colOff>
      <xdr:row>18</xdr:row>
      <xdr:rowOff>142875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F8FB3D2E-5E9E-4539-8012-23CF8344ED8E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781425" cy="47625"/>
          <a:chOff x="158" y="715"/>
          <a:chExt cx="33" cy="5"/>
        </a:xfrm>
      </xdr:grpSpPr>
      <xdr:sp macro="" textlink="">
        <xdr:nvSpPr>
          <xdr:cNvPr id="5" name="Line 3">
            <a:extLst>
              <a:ext uri="{FF2B5EF4-FFF2-40B4-BE49-F238E27FC236}">
                <a16:creationId xmlns:a16="http://schemas.microsoft.com/office/drawing/2014/main" id="{55951EB2-3B32-41F6-93DB-590049B2B4A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4">
            <a:extLst>
              <a:ext uri="{FF2B5EF4-FFF2-40B4-BE49-F238E27FC236}">
                <a16:creationId xmlns:a16="http://schemas.microsoft.com/office/drawing/2014/main" id="{6CD705E4-E020-4C99-8800-7FA23A0D310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7" name="Group 5">
          <a:extLst>
            <a:ext uri="{FF2B5EF4-FFF2-40B4-BE49-F238E27FC236}">
              <a16:creationId xmlns:a16="http://schemas.microsoft.com/office/drawing/2014/main" id="{134E799A-24EF-46FC-BE24-D995DBADB01A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2514600" cy="47625"/>
          <a:chOff x="158" y="715"/>
          <a:chExt cx="33" cy="5"/>
        </a:xfrm>
      </xdr:grpSpPr>
      <xdr:sp macro="" textlink="">
        <xdr:nvSpPr>
          <xdr:cNvPr id="8" name="Line 6">
            <a:extLst>
              <a:ext uri="{FF2B5EF4-FFF2-40B4-BE49-F238E27FC236}">
                <a16:creationId xmlns:a16="http://schemas.microsoft.com/office/drawing/2014/main" id="{97D1BB2D-2755-449C-9910-7C9B96A10A3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id="{46D0D787-C8A1-465C-8754-A652AF785D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22</xdr:row>
      <xdr:rowOff>47625</xdr:rowOff>
    </xdr:from>
    <xdr:to>
      <xdr:col>16</xdr:col>
      <xdr:colOff>304800</xdr:colOff>
      <xdr:row>22</xdr:row>
      <xdr:rowOff>190500</xdr:rowOff>
    </xdr:to>
    <xdr:sp macro="" textlink="">
      <xdr:nvSpPr>
        <xdr:cNvPr id="10" name="Freeform 8">
          <a:extLst>
            <a:ext uri="{FF2B5EF4-FFF2-40B4-BE49-F238E27FC236}">
              <a16:creationId xmlns:a16="http://schemas.microsoft.com/office/drawing/2014/main" id="{73976832-2683-4F7C-8E7A-2F04CA27D4E5}"/>
            </a:ext>
          </a:extLst>
        </xdr:cNvPr>
        <xdr:cNvSpPr>
          <a:spLocks/>
        </xdr:cNvSpPr>
      </xdr:nvSpPr>
      <xdr:spPr bwMode="auto">
        <a:xfrm>
          <a:off x="465772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21</xdr:row>
      <xdr:rowOff>104775</xdr:rowOff>
    </xdr:from>
    <xdr:to>
      <xdr:col>18</xdr:col>
      <xdr:colOff>0</xdr:colOff>
      <xdr:row>21</xdr:row>
      <xdr:rowOff>152400</xdr:rowOff>
    </xdr:to>
    <xdr:grpSp>
      <xdr:nvGrpSpPr>
        <xdr:cNvPr id="11" name="Group 9">
          <a:extLst>
            <a:ext uri="{FF2B5EF4-FFF2-40B4-BE49-F238E27FC236}">
              <a16:creationId xmlns:a16="http://schemas.microsoft.com/office/drawing/2014/main" id="{697C8631-E644-4AE2-B05A-573EAD6BB08E}"/>
            </a:ext>
          </a:extLst>
        </xdr:cNvPr>
        <xdr:cNvGrpSpPr>
          <a:grpSpLocks/>
        </xdr:cNvGrpSpPr>
      </xdr:nvGrpSpPr>
      <xdr:grpSpPr bwMode="auto">
        <a:xfrm>
          <a:off x="4143375" y="7562850"/>
          <a:ext cx="1571625" cy="47625"/>
          <a:chOff x="158" y="715"/>
          <a:chExt cx="33" cy="5"/>
        </a:xfrm>
      </xdr:grpSpPr>
      <xdr:sp macro="" textlink="">
        <xdr:nvSpPr>
          <xdr:cNvPr id="12" name="Line 10">
            <a:extLst>
              <a:ext uri="{FF2B5EF4-FFF2-40B4-BE49-F238E27FC236}">
                <a16:creationId xmlns:a16="http://schemas.microsoft.com/office/drawing/2014/main" id="{0FC77CFD-8CFF-4715-9E3F-EF13ACADC8A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1">
            <a:extLst>
              <a:ext uri="{FF2B5EF4-FFF2-40B4-BE49-F238E27FC236}">
                <a16:creationId xmlns:a16="http://schemas.microsoft.com/office/drawing/2014/main" id="{E716B5B7-8C1F-4FA0-84A6-9B27B127CEC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22</xdr:row>
      <xdr:rowOff>104775</xdr:rowOff>
    </xdr:from>
    <xdr:to>
      <xdr:col>18</xdr:col>
      <xdr:colOff>0</xdr:colOff>
      <xdr:row>22</xdr:row>
      <xdr:rowOff>152400</xdr:rowOff>
    </xdr:to>
    <xdr:grpSp>
      <xdr:nvGrpSpPr>
        <xdr:cNvPr id="14" name="Group 12">
          <a:extLst>
            <a:ext uri="{FF2B5EF4-FFF2-40B4-BE49-F238E27FC236}">
              <a16:creationId xmlns:a16="http://schemas.microsoft.com/office/drawing/2014/main" id="{7C3978F4-66EA-429A-882D-D7335D444CB5}"/>
            </a:ext>
          </a:extLst>
        </xdr:cNvPr>
        <xdr:cNvGrpSpPr>
          <a:grpSpLocks/>
        </xdr:cNvGrpSpPr>
      </xdr:nvGrpSpPr>
      <xdr:grpSpPr bwMode="auto">
        <a:xfrm>
          <a:off x="5400675" y="7791450"/>
          <a:ext cx="314325" cy="47625"/>
          <a:chOff x="158" y="715"/>
          <a:chExt cx="33" cy="5"/>
        </a:xfrm>
      </xdr:grpSpPr>
      <xdr:sp macro="" textlink="">
        <xdr:nvSpPr>
          <xdr:cNvPr id="15" name="Line 13">
            <a:extLst>
              <a:ext uri="{FF2B5EF4-FFF2-40B4-BE49-F238E27FC236}">
                <a16:creationId xmlns:a16="http://schemas.microsoft.com/office/drawing/2014/main" id="{7BB93102-759D-4772-80DA-25A51E6382A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4">
            <a:extLst>
              <a:ext uri="{FF2B5EF4-FFF2-40B4-BE49-F238E27FC236}">
                <a16:creationId xmlns:a16="http://schemas.microsoft.com/office/drawing/2014/main" id="{B3C9AC44-8D24-4969-84BA-9FA90078950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104775</xdr:rowOff>
    </xdr:from>
    <xdr:to>
      <xdr:col>11</xdr:col>
      <xdr:colOff>0</xdr:colOff>
      <xdr:row>21</xdr:row>
      <xdr:rowOff>161925</xdr:rowOff>
    </xdr:to>
    <xdr:grpSp>
      <xdr:nvGrpSpPr>
        <xdr:cNvPr id="17" name="Group 15">
          <a:extLst>
            <a:ext uri="{FF2B5EF4-FFF2-40B4-BE49-F238E27FC236}">
              <a16:creationId xmlns:a16="http://schemas.microsoft.com/office/drawing/2014/main" id="{F6FDDF0D-3FA2-4BD6-B5B7-6D1DB283CEF4}"/>
            </a:ext>
          </a:extLst>
        </xdr:cNvPr>
        <xdr:cNvGrpSpPr>
          <a:grpSpLocks/>
        </xdr:cNvGrpSpPr>
      </xdr:nvGrpSpPr>
      <xdr:grpSpPr bwMode="auto">
        <a:xfrm>
          <a:off x="1314450" y="7562850"/>
          <a:ext cx="2200275" cy="57150"/>
          <a:chOff x="158" y="715"/>
          <a:chExt cx="33" cy="5"/>
        </a:xfrm>
      </xdr:grpSpPr>
      <xdr:sp macro="" textlink="">
        <xdr:nvSpPr>
          <xdr:cNvPr id="18" name="Line 16">
            <a:extLst>
              <a:ext uri="{FF2B5EF4-FFF2-40B4-BE49-F238E27FC236}">
                <a16:creationId xmlns:a16="http://schemas.microsoft.com/office/drawing/2014/main" id="{14236F29-1605-42B9-A468-C881C45244D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7">
            <a:extLst>
              <a:ext uri="{FF2B5EF4-FFF2-40B4-BE49-F238E27FC236}">
                <a16:creationId xmlns:a16="http://schemas.microsoft.com/office/drawing/2014/main" id="{AA35DA5B-20E2-4EE4-867D-BEA862F745B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22</xdr:row>
      <xdr:rowOff>95250</xdr:rowOff>
    </xdr:from>
    <xdr:to>
      <xdr:col>11</xdr:col>
      <xdr:colOff>0</xdr:colOff>
      <xdr:row>22</xdr:row>
      <xdr:rowOff>152400</xdr:rowOff>
    </xdr:to>
    <xdr:grpSp>
      <xdr:nvGrpSpPr>
        <xdr:cNvPr id="20" name="Group 18">
          <a:extLst>
            <a:ext uri="{FF2B5EF4-FFF2-40B4-BE49-F238E27FC236}">
              <a16:creationId xmlns:a16="http://schemas.microsoft.com/office/drawing/2014/main" id="{9F277FAC-2BEF-4995-ACD4-727EBC219C3B}"/>
            </a:ext>
          </a:extLst>
        </xdr:cNvPr>
        <xdr:cNvGrpSpPr>
          <a:grpSpLocks/>
        </xdr:cNvGrpSpPr>
      </xdr:nvGrpSpPr>
      <xdr:grpSpPr bwMode="auto">
        <a:xfrm>
          <a:off x="1323975" y="7781925"/>
          <a:ext cx="2190750" cy="57150"/>
          <a:chOff x="158" y="715"/>
          <a:chExt cx="33" cy="5"/>
        </a:xfrm>
      </xdr:grpSpPr>
      <xdr:sp macro="" textlink="">
        <xdr:nvSpPr>
          <xdr:cNvPr id="21" name="Line 19">
            <a:extLst>
              <a:ext uri="{FF2B5EF4-FFF2-40B4-BE49-F238E27FC236}">
                <a16:creationId xmlns:a16="http://schemas.microsoft.com/office/drawing/2014/main" id="{B5D5B402-656D-4EB7-A2AD-92F3CAD6017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0">
            <a:extLst>
              <a:ext uri="{FF2B5EF4-FFF2-40B4-BE49-F238E27FC236}">
                <a16:creationId xmlns:a16="http://schemas.microsoft.com/office/drawing/2014/main" id="{F8B6E9CB-4C43-4111-8AF4-827AAFF2B35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123825</xdr:rowOff>
    </xdr:from>
    <xdr:to>
      <xdr:col>5</xdr:col>
      <xdr:colOff>0</xdr:colOff>
      <xdr:row>18</xdr:row>
      <xdr:rowOff>123825</xdr:rowOff>
    </xdr:to>
    <xdr:sp macro="" textlink="">
      <xdr:nvSpPr>
        <xdr:cNvPr id="23" name="Line 21">
          <a:extLst>
            <a:ext uri="{FF2B5EF4-FFF2-40B4-BE49-F238E27FC236}">
              <a16:creationId xmlns:a16="http://schemas.microsoft.com/office/drawing/2014/main" id="{56A48F44-D3FD-4FCA-B76E-EA699BC4867C}"/>
            </a:ext>
          </a:extLst>
        </xdr:cNvPr>
        <xdr:cNvSpPr>
          <a:spLocks noChangeShapeType="1"/>
        </xdr:cNvSpPr>
      </xdr:nvSpPr>
      <xdr:spPr bwMode="auto">
        <a:xfrm>
          <a:off x="876300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19</xdr:row>
      <xdr:rowOff>123825</xdr:rowOff>
    </xdr:from>
    <xdr:to>
      <xdr:col>6</xdr:col>
      <xdr:colOff>304800</xdr:colOff>
      <xdr:row>19</xdr:row>
      <xdr:rowOff>123825</xdr:rowOff>
    </xdr:to>
    <xdr:sp macro="" textlink="">
      <xdr:nvSpPr>
        <xdr:cNvPr id="24" name="Line 22">
          <a:extLst>
            <a:ext uri="{FF2B5EF4-FFF2-40B4-BE49-F238E27FC236}">
              <a16:creationId xmlns:a16="http://schemas.microsoft.com/office/drawing/2014/main" id="{8C71C690-CB0D-4808-A930-B6CADC13CD30}"/>
            </a:ext>
          </a:extLst>
        </xdr:cNvPr>
        <xdr:cNvSpPr>
          <a:spLocks noChangeShapeType="1"/>
        </xdr:cNvSpPr>
      </xdr:nvSpPr>
      <xdr:spPr bwMode="auto">
        <a:xfrm>
          <a:off x="885825" y="7048500"/>
          <a:ext cx="9239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25" name="Group 23">
          <a:extLst>
            <a:ext uri="{FF2B5EF4-FFF2-40B4-BE49-F238E27FC236}">
              <a16:creationId xmlns:a16="http://schemas.microsoft.com/office/drawing/2014/main" id="{9471E14A-3526-4E76-9528-F0958AD0911C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26" name="Line 24">
            <a:extLst>
              <a:ext uri="{FF2B5EF4-FFF2-40B4-BE49-F238E27FC236}">
                <a16:creationId xmlns:a16="http://schemas.microsoft.com/office/drawing/2014/main" id="{F77F76F9-D981-43B9-8151-987DE38754E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5">
            <a:extLst>
              <a:ext uri="{FF2B5EF4-FFF2-40B4-BE49-F238E27FC236}">
                <a16:creationId xmlns:a16="http://schemas.microsoft.com/office/drawing/2014/main" id="{5589AD5A-DB63-48D0-912A-2E2A6FD18B0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6">
            <a:extLst>
              <a:ext uri="{FF2B5EF4-FFF2-40B4-BE49-F238E27FC236}">
                <a16:creationId xmlns:a16="http://schemas.microsoft.com/office/drawing/2014/main" id="{0A09DA68-D629-414C-85D2-4B79EAF0B4F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7">
            <a:extLst>
              <a:ext uri="{FF2B5EF4-FFF2-40B4-BE49-F238E27FC236}">
                <a16:creationId xmlns:a16="http://schemas.microsoft.com/office/drawing/2014/main" id="{F3438960-7C19-4721-B433-99897A31058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30" name="Freeform 28">
          <a:extLst>
            <a:ext uri="{FF2B5EF4-FFF2-40B4-BE49-F238E27FC236}">
              <a16:creationId xmlns:a16="http://schemas.microsoft.com/office/drawing/2014/main" id="{F8351EBC-87F7-4785-9CA5-B8FA94F580C7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292558</xdr:colOff>
      <xdr:row>17</xdr:row>
      <xdr:rowOff>459919</xdr:rowOff>
    </xdr:from>
    <xdr:to>
      <xdr:col>16</xdr:col>
      <xdr:colOff>311607</xdr:colOff>
      <xdr:row>17</xdr:row>
      <xdr:rowOff>1117144</xdr:rowOff>
    </xdr:to>
    <xdr:grpSp>
      <xdr:nvGrpSpPr>
        <xdr:cNvPr id="33" name="Group 145">
          <a:extLst>
            <a:ext uri="{FF2B5EF4-FFF2-40B4-BE49-F238E27FC236}">
              <a16:creationId xmlns:a16="http://schemas.microsoft.com/office/drawing/2014/main" id="{4C4F63CD-E480-4378-A563-5B579B61349E}"/>
            </a:ext>
          </a:extLst>
        </xdr:cNvPr>
        <xdr:cNvGrpSpPr>
          <a:grpSpLocks/>
        </xdr:cNvGrpSpPr>
      </xdr:nvGrpSpPr>
      <xdr:grpSpPr bwMode="auto">
        <a:xfrm rot="1191787">
          <a:off x="5064583" y="5651044"/>
          <a:ext cx="333374" cy="657225"/>
          <a:chOff x="488" y="591"/>
          <a:chExt cx="35" cy="69"/>
        </a:xfrm>
      </xdr:grpSpPr>
      <xdr:grpSp>
        <xdr:nvGrpSpPr>
          <xdr:cNvPr id="34" name="Group 31">
            <a:extLst>
              <a:ext uri="{FF2B5EF4-FFF2-40B4-BE49-F238E27FC236}">
                <a16:creationId xmlns:a16="http://schemas.microsoft.com/office/drawing/2014/main" id="{EBD8E8BB-C252-41BE-8492-53F4AEFF0BAF}"/>
              </a:ext>
            </a:extLst>
          </xdr:cNvPr>
          <xdr:cNvGrpSpPr>
            <a:grpSpLocks/>
          </xdr:cNvGrpSpPr>
        </xdr:nvGrpSpPr>
        <xdr:grpSpPr bwMode="auto">
          <a:xfrm rot="5400000">
            <a:off x="501" y="597"/>
            <a:ext cx="28" cy="16"/>
            <a:chOff x="248" y="601"/>
            <a:chExt cx="28" cy="16"/>
          </a:xfrm>
        </xdr:grpSpPr>
        <xdr:sp macro="" textlink="">
          <xdr:nvSpPr>
            <xdr:cNvPr id="40" name="Line 32">
              <a:extLst>
                <a:ext uri="{FF2B5EF4-FFF2-40B4-BE49-F238E27FC236}">
                  <a16:creationId xmlns:a16="http://schemas.microsoft.com/office/drawing/2014/main" id="{5F28E3A4-98EA-41B7-BE9E-6CB0DE14683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Freeform 33">
              <a:extLst>
                <a:ext uri="{FF2B5EF4-FFF2-40B4-BE49-F238E27FC236}">
                  <a16:creationId xmlns:a16="http://schemas.microsoft.com/office/drawing/2014/main" id="{F54697CA-6EE5-4C60-BA7C-C47A845CF501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2" name="Line 34">
              <a:extLst>
                <a:ext uri="{FF2B5EF4-FFF2-40B4-BE49-F238E27FC236}">
                  <a16:creationId xmlns:a16="http://schemas.microsoft.com/office/drawing/2014/main" id="{E40DCC75-4460-4D4A-A466-AA688802DF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" name="Freeform 35">
              <a:extLst>
                <a:ext uri="{FF2B5EF4-FFF2-40B4-BE49-F238E27FC236}">
                  <a16:creationId xmlns:a16="http://schemas.microsoft.com/office/drawing/2014/main" id="{33BA0E00-9459-4CE4-A1F7-FE68E7FD436C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5" name="Group 36">
            <a:extLst>
              <a:ext uri="{FF2B5EF4-FFF2-40B4-BE49-F238E27FC236}">
                <a16:creationId xmlns:a16="http://schemas.microsoft.com/office/drawing/2014/main" id="{D7FCD8E6-FA44-4EC1-AF67-3118DC2E6E86}"/>
              </a:ext>
            </a:extLst>
          </xdr:cNvPr>
          <xdr:cNvGrpSpPr>
            <a:grpSpLocks/>
          </xdr:cNvGrpSpPr>
        </xdr:nvGrpSpPr>
        <xdr:grpSpPr bwMode="auto">
          <a:xfrm rot="-5400000">
            <a:off x="482" y="638"/>
            <a:ext cx="28" cy="16"/>
            <a:chOff x="248" y="601"/>
            <a:chExt cx="28" cy="16"/>
          </a:xfrm>
        </xdr:grpSpPr>
        <xdr:sp macro="" textlink="">
          <xdr:nvSpPr>
            <xdr:cNvPr id="36" name="Line 37">
              <a:extLst>
                <a:ext uri="{FF2B5EF4-FFF2-40B4-BE49-F238E27FC236}">
                  <a16:creationId xmlns:a16="http://schemas.microsoft.com/office/drawing/2014/main" id="{CD9D4744-DEF9-44FF-963A-7F1FBA3C6EB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" name="Freeform 38">
              <a:extLst>
                <a:ext uri="{FF2B5EF4-FFF2-40B4-BE49-F238E27FC236}">
                  <a16:creationId xmlns:a16="http://schemas.microsoft.com/office/drawing/2014/main" id="{07701E07-7AE8-4531-B6C9-B6B9D0A4F65B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8" name="Line 39">
              <a:extLst>
                <a:ext uri="{FF2B5EF4-FFF2-40B4-BE49-F238E27FC236}">
                  <a16:creationId xmlns:a16="http://schemas.microsoft.com/office/drawing/2014/main" id="{DE465BE0-F48A-4F7F-B937-C30FD1F5F6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Freeform 40">
              <a:extLst>
                <a:ext uri="{FF2B5EF4-FFF2-40B4-BE49-F238E27FC236}">
                  <a16:creationId xmlns:a16="http://schemas.microsoft.com/office/drawing/2014/main" id="{7F08A881-31DE-4BE9-ADEC-56BB86005386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0</xdr:colOff>
      <xdr:row>22</xdr:row>
      <xdr:rowOff>95250</xdr:rowOff>
    </xdr:from>
    <xdr:to>
      <xdr:col>16</xdr:col>
      <xdr:colOff>0</xdr:colOff>
      <xdr:row>22</xdr:row>
      <xdr:rowOff>142875</xdr:rowOff>
    </xdr:to>
    <xdr:grpSp>
      <xdr:nvGrpSpPr>
        <xdr:cNvPr id="44" name="Group 41">
          <a:extLst>
            <a:ext uri="{FF2B5EF4-FFF2-40B4-BE49-F238E27FC236}">
              <a16:creationId xmlns:a16="http://schemas.microsoft.com/office/drawing/2014/main" id="{1A7DDD44-D82D-4224-82B9-A2C354CB74C9}"/>
            </a:ext>
          </a:extLst>
        </xdr:cNvPr>
        <xdr:cNvGrpSpPr>
          <a:grpSpLocks/>
        </xdr:cNvGrpSpPr>
      </xdr:nvGrpSpPr>
      <xdr:grpSpPr bwMode="auto">
        <a:xfrm>
          <a:off x="4772025" y="7781925"/>
          <a:ext cx="314325" cy="47625"/>
          <a:chOff x="158" y="715"/>
          <a:chExt cx="33" cy="5"/>
        </a:xfrm>
      </xdr:grpSpPr>
      <xdr:sp macro="" textlink="">
        <xdr:nvSpPr>
          <xdr:cNvPr id="45" name="Line 42">
            <a:extLst>
              <a:ext uri="{FF2B5EF4-FFF2-40B4-BE49-F238E27FC236}">
                <a16:creationId xmlns:a16="http://schemas.microsoft.com/office/drawing/2014/main" id="{45232930-BE0C-4BE2-86C0-C913F0840ED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43">
            <a:extLst>
              <a:ext uri="{FF2B5EF4-FFF2-40B4-BE49-F238E27FC236}">
                <a16:creationId xmlns:a16="http://schemas.microsoft.com/office/drawing/2014/main" id="{999527A4-EF59-4BA9-8E95-73B54BEC056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22</xdr:row>
      <xdr:rowOff>47625</xdr:rowOff>
    </xdr:from>
    <xdr:to>
      <xdr:col>14</xdr:col>
      <xdr:colOff>304800</xdr:colOff>
      <xdr:row>22</xdr:row>
      <xdr:rowOff>190500</xdr:rowOff>
    </xdr:to>
    <xdr:sp macro="" textlink="">
      <xdr:nvSpPr>
        <xdr:cNvPr id="47" name="Freeform 44">
          <a:extLst>
            <a:ext uri="{FF2B5EF4-FFF2-40B4-BE49-F238E27FC236}">
              <a16:creationId xmlns:a16="http://schemas.microsoft.com/office/drawing/2014/main" id="{067DCB47-AD02-4152-8431-CCA6CC80BCDA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19050</xdr:colOff>
      <xdr:row>23</xdr:row>
      <xdr:rowOff>28575</xdr:rowOff>
    </xdr:from>
    <xdr:to>
      <xdr:col>15</xdr:col>
      <xdr:colOff>295275</xdr:colOff>
      <xdr:row>23</xdr:row>
      <xdr:rowOff>200025</xdr:rowOff>
    </xdr:to>
    <xdr:grpSp>
      <xdr:nvGrpSpPr>
        <xdr:cNvPr id="48" name="Group 45">
          <a:extLst>
            <a:ext uri="{FF2B5EF4-FFF2-40B4-BE49-F238E27FC236}">
              <a16:creationId xmlns:a16="http://schemas.microsoft.com/office/drawing/2014/main" id="{5F591543-E024-4132-8283-33A8F9ED014B}"/>
            </a:ext>
          </a:extLst>
        </xdr:cNvPr>
        <xdr:cNvGrpSpPr>
          <a:grpSpLocks/>
        </xdr:cNvGrpSpPr>
      </xdr:nvGrpSpPr>
      <xdr:grpSpPr bwMode="auto">
        <a:xfrm>
          <a:off x="4791075" y="7943850"/>
          <a:ext cx="276225" cy="171450"/>
          <a:chOff x="226" y="755"/>
          <a:chExt cx="29" cy="18"/>
        </a:xfrm>
      </xdr:grpSpPr>
      <xdr:sp macro="" textlink="">
        <xdr:nvSpPr>
          <xdr:cNvPr id="49" name="Oval 46">
            <a:extLst>
              <a:ext uri="{FF2B5EF4-FFF2-40B4-BE49-F238E27FC236}">
                <a16:creationId xmlns:a16="http://schemas.microsoft.com/office/drawing/2014/main" id="{6041261B-39FF-4431-B0D9-64FCB5A45B2A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47">
            <a:extLst>
              <a:ext uri="{FF2B5EF4-FFF2-40B4-BE49-F238E27FC236}">
                <a16:creationId xmlns:a16="http://schemas.microsoft.com/office/drawing/2014/main" id="{DC82076A-7B71-4171-84B3-4196EA994579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48">
            <a:extLst>
              <a:ext uri="{FF2B5EF4-FFF2-40B4-BE49-F238E27FC236}">
                <a16:creationId xmlns:a16="http://schemas.microsoft.com/office/drawing/2014/main" id="{D7F04DCB-4199-4968-BFAA-75077EEA6FB9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22</xdr:row>
      <xdr:rowOff>133350</xdr:rowOff>
    </xdr:from>
    <xdr:to>
      <xdr:col>14</xdr:col>
      <xdr:colOff>0</xdr:colOff>
      <xdr:row>22</xdr:row>
      <xdr:rowOff>133350</xdr:rowOff>
    </xdr:to>
    <xdr:sp macro="" textlink="">
      <xdr:nvSpPr>
        <xdr:cNvPr id="52" name="Line 49">
          <a:extLst>
            <a:ext uri="{FF2B5EF4-FFF2-40B4-BE49-F238E27FC236}">
              <a16:creationId xmlns:a16="http://schemas.microsoft.com/office/drawing/2014/main" id="{DB17CB59-7753-4A93-B52E-F21A8B2CC806}"/>
            </a:ext>
          </a:extLst>
        </xdr:cNvPr>
        <xdr:cNvSpPr>
          <a:spLocks noChangeShapeType="1"/>
        </xdr:cNvSpPr>
      </xdr:nvSpPr>
      <xdr:spPr bwMode="auto">
        <a:xfrm>
          <a:off x="3076575" y="774382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47625</xdr:colOff>
      <xdr:row>21</xdr:row>
      <xdr:rowOff>47625</xdr:rowOff>
    </xdr:from>
    <xdr:to>
      <xdr:col>12</xdr:col>
      <xdr:colOff>266700</xdr:colOff>
      <xdr:row>21</xdr:row>
      <xdr:rowOff>200025</xdr:rowOff>
    </xdr:to>
    <xdr:grpSp>
      <xdr:nvGrpSpPr>
        <xdr:cNvPr id="53" name="Group 50">
          <a:extLst>
            <a:ext uri="{FF2B5EF4-FFF2-40B4-BE49-F238E27FC236}">
              <a16:creationId xmlns:a16="http://schemas.microsoft.com/office/drawing/2014/main" id="{7F2724D8-FA58-42FB-B9FD-37CB53265FC0}"/>
            </a:ext>
          </a:extLst>
        </xdr:cNvPr>
        <xdr:cNvGrpSpPr>
          <a:grpSpLocks/>
        </xdr:cNvGrpSpPr>
      </xdr:nvGrpSpPr>
      <xdr:grpSpPr bwMode="auto">
        <a:xfrm>
          <a:off x="3876675" y="7505700"/>
          <a:ext cx="219075" cy="152400"/>
          <a:chOff x="132" y="708"/>
          <a:chExt cx="20" cy="14"/>
        </a:xfrm>
      </xdr:grpSpPr>
      <xdr:sp macro="" textlink="">
        <xdr:nvSpPr>
          <xdr:cNvPr id="54" name="Line 51">
            <a:extLst>
              <a:ext uri="{FF2B5EF4-FFF2-40B4-BE49-F238E27FC236}">
                <a16:creationId xmlns:a16="http://schemas.microsoft.com/office/drawing/2014/main" id="{0F8D083F-7A96-49B1-99CE-2B423FDA3C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2">
            <a:extLst>
              <a:ext uri="{FF2B5EF4-FFF2-40B4-BE49-F238E27FC236}">
                <a16:creationId xmlns:a16="http://schemas.microsoft.com/office/drawing/2014/main" id="{F9EDCA12-DCE3-44AD-931F-8B516E9A3BA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53">
            <a:extLst>
              <a:ext uri="{FF2B5EF4-FFF2-40B4-BE49-F238E27FC236}">
                <a16:creationId xmlns:a16="http://schemas.microsoft.com/office/drawing/2014/main" id="{EDC864E5-70C1-474F-8071-1D2ED209100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4">
            <a:extLst>
              <a:ext uri="{FF2B5EF4-FFF2-40B4-BE49-F238E27FC236}">
                <a16:creationId xmlns:a16="http://schemas.microsoft.com/office/drawing/2014/main" id="{0B5D5D25-7E19-4FF9-BAB3-8D6F3025A5A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58" name="Line 55">
          <a:extLst>
            <a:ext uri="{FF2B5EF4-FFF2-40B4-BE49-F238E27FC236}">
              <a16:creationId xmlns:a16="http://schemas.microsoft.com/office/drawing/2014/main" id="{694B0915-A2D0-4818-9CFE-6E91C75BA7F3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200025</xdr:colOff>
      <xdr:row>17</xdr:row>
      <xdr:rowOff>285750</xdr:rowOff>
    </xdr:from>
    <xdr:to>
      <xdr:col>6</xdr:col>
      <xdr:colOff>304800</xdr:colOff>
      <xdr:row>17</xdr:row>
      <xdr:rowOff>342900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FE0F03DF-5511-4775-92A7-7CB435826B1B}"/>
            </a:ext>
          </a:extLst>
        </xdr:cNvPr>
        <xdr:cNvGrpSpPr>
          <a:grpSpLocks/>
        </xdr:cNvGrpSpPr>
      </xdr:nvGrpSpPr>
      <xdr:grpSpPr bwMode="auto">
        <a:xfrm>
          <a:off x="1514475" y="5476875"/>
          <a:ext cx="733425" cy="57150"/>
          <a:chOff x="123" y="549"/>
          <a:chExt cx="77" cy="6"/>
        </a:xfrm>
      </xdr:grpSpPr>
      <xdr:sp macro="" textlink="">
        <xdr:nvSpPr>
          <xdr:cNvPr id="61" name="Line 60">
            <a:extLst>
              <a:ext uri="{FF2B5EF4-FFF2-40B4-BE49-F238E27FC236}">
                <a16:creationId xmlns:a16="http://schemas.microsoft.com/office/drawing/2014/main" id="{32064C4E-1F8B-4986-9B2B-304D5297331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30C7A81E-6268-493A-A99F-F57F9BF518C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4DF9A4A8-2C8D-4C55-87E3-ACC6DD59BA7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200025</xdr:colOff>
      <xdr:row>17</xdr:row>
      <xdr:rowOff>1209675</xdr:rowOff>
    </xdr:from>
    <xdr:to>
      <xdr:col>6</xdr:col>
      <xdr:colOff>304800</xdr:colOff>
      <xdr:row>17</xdr:row>
      <xdr:rowOff>1266825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5A82FD9A-F0DC-4263-B56E-D24AC9BDD5D5}"/>
            </a:ext>
          </a:extLst>
        </xdr:cNvPr>
        <xdr:cNvGrpSpPr>
          <a:grpSpLocks/>
        </xdr:cNvGrpSpPr>
      </xdr:nvGrpSpPr>
      <xdr:grpSpPr bwMode="auto">
        <a:xfrm>
          <a:off x="1514475" y="6400800"/>
          <a:ext cx="733425" cy="57150"/>
          <a:chOff x="123" y="549"/>
          <a:chExt cx="77" cy="6"/>
        </a:xfrm>
      </xdr:grpSpPr>
      <xdr:sp macro="" textlink="">
        <xdr:nvSpPr>
          <xdr:cNvPr id="65" name="Line 64">
            <a:extLst>
              <a:ext uri="{FF2B5EF4-FFF2-40B4-BE49-F238E27FC236}">
                <a16:creationId xmlns:a16="http://schemas.microsoft.com/office/drawing/2014/main" id="{A87EFFA7-A628-406B-A2E6-05F889AD421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050C8688-0081-444A-B355-6278F9E8A5C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ECDAD98A-3EA5-4826-AFE0-AC81A1B355D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76200</xdr:colOff>
      <xdr:row>17</xdr:row>
      <xdr:rowOff>457200</xdr:rowOff>
    </xdr:from>
    <xdr:to>
      <xdr:col>7</xdr:col>
      <xdr:colOff>133350</xdr:colOff>
      <xdr:row>17</xdr:row>
      <xdr:rowOff>762000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3B8D2AA0-0649-43C0-8C77-34D6754A930B}"/>
            </a:ext>
          </a:extLst>
        </xdr:cNvPr>
        <xdr:cNvGrpSpPr>
          <a:grpSpLocks/>
        </xdr:cNvGrpSpPr>
      </xdr:nvGrpSpPr>
      <xdr:grpSpPr bwMode="auto">
        <a:xfrm>
          <a:off x="1390650" y="5648325"/>
          <a:ext cx="1000125" cy="304800"/>
          <a:chOff x="110" y="567"/>
          <a:chExt cx="105" cy="32"/>
        </a:xfrm>
      </xdr:grpSpPr>
      <xdr:sp macro="" textlink="">
        <xdr:nvSpPr>
          <xdr:cNvPr id="69" name="Line 68">
            <a:extLst>
              <a:ext uri="{FF2B5EF4-FFF2-40B4-BE49-F238E27FC236}">
                <a16:creationId xmlns:a16="http://schemas.microsoft.com/office/drawing/2014/main" id="{C86BFF86-EC3C-4DDB-BDCE-5493A006D9CE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A24F8080-A66C-4BB7-985C-C42397806344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742623A7-AA42-4C05-9DF6-EB0124315CBF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2" name="Line 71">
            <a:extLst>
              <a:ext uri="{FF2B5EF4-FFF2-40B4-BE49-F238E27FC236}">
                <a16:creationId xmlns:a16="http://schemas.microsoft.com/office/drawing/2014/main" id="{A76BB610-6F39-426A-BE0E-B1BEE3EDB8D5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E7475D41-B4C3-4CAD-8FB5-504646DD130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A7415201-617D-4F04-87B7-4E672F7C3F85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" name="Line 74">
            <a:extLst>
              <a:ext uri="{FF2B5EF4-FFF2-40B4-BE49-F238E27FC236}">
                <a16:creationId xmlns:a16="http://schemas.microsoft.com/office/drawing/2014/main" id="{4975FE46-4DC5-4D4F-BBCE-4543F118D518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890E1A0E-3091-4BBE-BCC2-3D49A5E05C14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17</xdr:row>
      <xdr:rowOff>819150</xdr:rowOff>
    </xdr:from>
    <xdr:to>
      <xdr:col>7</xdr:col>
      <xdr:colOff>133350</xdr:colOff>
      <xdr:row>17</xdr:row>
      <xdr:rowOff>1123950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EDEDBB10-0608-4063-8AF8-4E42D143ECDF}"/>
            </a:ext>
          </a:extLst>
        </xdr:cNvPr>
        <xdr:cNvGrpSpPr>
          <a:grpSpLocks/>
        </xdr:cNvGrpSpPr>
      </xdr:nvGrpSpPr>
      <xdr:grpSpPr bwMode="auto">
        <a:xfrm>
          <a:off x="1381125" y="6010275"/>
          <a:ext cx="1009650" cy="304800"/>
          <a:chOff x="105" y="627"/>
          <a:chExt cx="106" cy="32"/>
        </a:xfrm>
      </xdr:grpSpPr>
      <xdr:sp macro="" textlink="">
        <xdr:nvSpPr>
          <xdr:cNvPr id="78" name="Line 77">
            <a:extLst>
              <a:ext uri="{FF2B5EF4-FFF2-40B4-BE49-F238E27FC236}">
                <a16:creationId xmlns:a16="http://schemas.microsoft.com/office/drawing/2014/main" id="{D6073B21-F2C1-4ED6-96D5-5C126F9A3656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Freeform 78">
            <a:extLst>
              <a:ext uri="{FF2B5EF4-FFF2-40B4-BE49-F238E27FC236}">
                <a16:creationId xmlns:a16="http://schemas.microsoft.com/office/drawing/2014/main" id="{940E4288-5FC5-45A1-B66F-2080439955EF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3843AD5D-747C-4DE8-92D1-77C9ABA44B9B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1" name="Line 80">
            <a:extLst>
              <a:ext uri="{FF2B5EF4-FFF2-40B4-BE49-F238E27FC236}">
                <a16:creationId xmlns:a16="http://schemas.microsoft.com/office/drawing/2014/main" id="{73C76AD0-2D47-4CB1-9075-87B69C0EC39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Freeform 81">
            <a:extLst>
              <a:ext uri="{FF2B5EF4-FFF2-40B4-BE49-F238E27FC236}">
                <a16:creationId xmlns:a16="http://schemas.microsoft.com/office/drawing/2014/main" id="{C502F2A3-4E33-4640-8D32-695B23D1D1F2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3" name="Freeform 82">
            <a:extLst>
              <a:ext uri="{FF2B5EF4-FFF2-40B4-BE49-F238E27FC236}">
                <a16:creationId xmlns:a16="http://schemas.microsoft.com/office/drawing/2014/main" id="{509B7063-F887-45EE-8902-9C975E43FBB1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4" name="Line 83">
            <a:extLst>
              <a:ext uri="{FF2B5EF4-FFF2-40B4-BE49-F238E27FC236}">
                <a16:creationId xmlns:a16="http://schemas.microsoft.com/office/drawing/2014/main" id="{846B6E26-BC8E-4C91-918E-77ED1284F33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3ED7ACD1-F32C-4CDC-906F-7FAB295E977C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13</xdr:col>
      <xdr:colOff>137428</xdr:colOff>
      <xdr:row>17</xdr:row>
      <xdr:rowOff>1200149</xdr:rowOff>
    </xdr:from>
    <xdr:ext cx="288541" cy="150041"/>
    <xdr:sp macro="" textlink="">
      <xdr:nvSpPr>
        <xdr:cNvPr id="108" name="Text Box 107">
          <a:extLst>
            <a:ext uri="{FF2B5EF4-FFF2-40B4-BE49-F238E27FC236}">
              <a16:creationId xmlns:a16="http://schemas.microsoft.com/office/drawing/2014/main" id="{5FDE8598-AAFD-4CEA-93EC-3950EA6E02EA}"/>
            </a:ext>
          </a:extLst>
        </xdr:cNvPr>
        <xdr:cNvSpPr txBox="1">
          <a:spLocks noChangeArrowheads="1"/>
        </xdr:cNvSpPr>
      </xdr:nvSpPr>
      <xdr:spPr bwMode="auto">
        <a:xfrm>
          <a:off x="4280803" y="6391274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5</xdr:col>
      <xdr:colOff>104775</xdr:colOff>
      <xdr:row>17</xdr:row>
      <xdr:rowOff>1255938</xdr:rowOff>
    </xdr:from>
    <xdr:ext cx="288541" cy="150041"/>
    <xdr:sp macro="" textlink="">
      <xdr:nvSpPr>
        <xdr:cNvPr id="109" name="Text Box 108">
          <a:extLst>
            <a:ext uri="{FF2B5EF4-FFF2-40B4-BE49-F238E27FC236}">
              <a16:creationId xmlns:a16="http://schemas.microsoft.com/office/drawing/2014/main" id="{D4FB77A7-25B3-4B10-9D88-4A9DC26EF3C8}"/>
            </a:ext>
          </a:extLst>
        </xdr:cNvPr>
        <xdr:cNvSpPr txBox="1">
          <a:spLocks noChangeArrowheads="1"/>
        </xdr:cNvSpPr>
      </xdr:nvSpPr>
      <xdr:spPr bwMode="auto">
        <a:xfrm>
          <a:off x="1733550" y="6447063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6</xdr:col>
      <xdr:colOff>266695</xdr:colOff>
      <xdr:row>17</xdr:row>
      <xdr:rowOff>93885</xdr:rowOff>
    </xdr:from>
    <xdr:ext cx="288541" cy="150041"/>
    <xdr:sp macro="" textlink="">
      <xdr:nvSpPr>
        <xdr:cNvPr id="110" name="Text Box 109">
          <a:extLst>
            <a:ext uri="{FF2B5EF4-FFF2-40B4-BE49-F238E27FC236}">
              <a16:creationId xmlns:a16="http://schemas.microsoft.com/office/drawing/2014/main" id="{3CD2E52E-4131-43A0-A32E-A5304EFB1945}"/>
            </a:ext>
          </a:extLst>
        </xdr:cNvPr>
        <xdr:cNvSpPr txBox="1">
          <a:spLocks noChangeArrowheads="1"/>
        </xdr:cNvSpPr>
      </xdr:nvSpPr>
      <xdr:spPr bwMode="auto">
        <a:xfrm>
          <a:off x="2209795" y="528501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276222</xdr:colOff>
      <xdr:row>17</xdr:row>
      <xdr:rowOff>1300845</xdr:rowOff>
    </xdr:from>
    <xdr:ext cx="288541" cy="150041"/>
    <xdr:sp macro="" textlink="">
      <xdr:nvSpPr>
        <xdr:cNvPr id="111" name="Text Box 110">
          <a:extLst>
            <a:ext uri="{FF2B5EF4-FFF2-40B4-BE49-F238E27FC236}">
              <a16:creationId xmlns:a16="http://schemas.microsoft.com/office/drawing/2014/main" id="{5D4483E2-03E2-49D9-B36C-DB50B175E6A4}"/>
            </a:ext>
          </a:extLst>
        </xdr:cNvPr>
        <xdr:cNvSpPr txBox="1">
          <a:spLocks noChangeArrowheads="1"/>
        </xdr:cNvSpPr>
      </xdr:nvSpPr>
      <xdr:spPr bwMode="auto">
        <a:xfrm>
          <a:off x="2219322" y="649197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13</xdr:col>
      <xdr:colOff>270780</xdr:colOff>
      <xdr:row>17</xdr:row>
      <xdr:rowOff>209550</xdr:rowOff>
    </xdr:from>
    <xdr:ext cx="288541" cy="150041"/>
    <xdr:sp macro="" textlink="">
      <xdr:nvSpPr>
        <xdr:cNvPr id="112" name="Text Box 111">
          <a:extLst>
            <a:ext uri="{FF2B5EF4-FFF2-40B4-BE49-F238E27FC236}">
              <a16:creationId xmlns:a16="http://schemas.microsoft.com/office/drawing/2014/main" id="{59FE3FEE-34EE-4386-BFF6-12F932F77DB2}"/>
            </a:ext>
          </a:extLst>
        </xdr:cNvPr>
        <xdr:cNvSpPr txBox="1">
          <a:spLocks noChangeArrowheads="1"/>
        </xdr:cNvSpPr>
      </xdr:nvSpPr>
      <xdr:spPr bwMode="auto">
        <a:xfrm>
          <a:off x="4414155" y="54006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5</xdr:col>
      <xdr:colOff>104775</xdr:colOff>
      <xdr:row>17</xdr:row>
      <xdr:rowOff>129267</xdr:rowOff>
    </xdr:from>
    <xdr:ext cx="288541" cy="150041"/>
    <xdr:sp macro="" textlink="">
      <xdr:nvSpPr>
        <xdr:cNvPr id="122" name="Text Box 126">
          <a:extLst>
            <a:ext uri="{FF2B5EF4-FFF2-40B4-BE49-F238E27FC236}">
              <a16:creationId xmlns:a16="http://schemas.microsoft.com/office/drawing/2014/main" id="{040344F3-19D8-4C01-B018-113860A3F723}"/>
            </a:ext>
          </a:extLst>
        </xdr:cNvPr>
        <xdr:cNvSpPr txBox="1">
          <a:spLocks noChangeArrowheads="1"/>
        </xdr:cNvSpPr>
      </xdr:nvSpPr>
      <xdr:spPr bwMode="auto">
        <a:xfrm>
          <a:off x="1733550" y="5320392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8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23" name="Group 127">
          <a:extLst>
            <a:ext uri="{FF2B5EF4-FFF2-40B4-BE49-F238E27FC236}">
              <a16:creationId xmlns:a16="http://schemas.microsoft.com/office/drawing/2014/main" id="{E90EC3A2-7D81-4CCF-80AC-4C04706ACAF2}"/>
            </a:ext>
          </a:extLst>
        </xdr:cNvPr>
        <xdr:cNvGrpSpPr>
          <a:grpSpLocks/>
        </xdr:cNvGrpSpPr>
      </xdr:nvGrpSpPr>
      <xdr:grpSpPr bwMode="auto">
        <a:xfrm>
          <a:off x="2571750" y="7096125"/>
          <a:ext cx="314325" cy="47625"/>
          <a:chOff x="158" y="715"/>
          <a:chExt cx="33" cy="5"/>
        </a:xfrm>
      </xdr:grpSpPr>
      <xdr:sp macro="" textlink="">
        <xdr:nvSpPr>
          <xdr:cNvPr id="124" name="Line 128">
            <a:extLst>
              <a:ext uri="{FF2B5EF4-FFF2-40B4-BE49-F238E27FC236}">
                <a16:creationId xmlns:a16="http://schemas.microsoft.com/office/drawing/2014/main" id="{4ECA3FAC-C5B8-4C8D-9108-BED14829A6E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129">
            <a:extLst>
              <a:ext uri="{FF2B5EF4-FFF2-40B4-BE49-F238E27FC236}">
                <a16:creationId xmlns:a16="http://schemas.microsoft.com/office/drawing/2014/main" id="{A5757CEE-E1C4-449A-84D0-E0746E4FBED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47625</xdr:rowOff>
    </xdr:from>
    <xdr:to>
      <xdr:col>9</xdr:col>
      <xdr:colOff>304800</xdr:colOff>
      <xdr:row>19</xdr:row>
      <xdr:rowOff>190500</xdr:rowOff>
    </xdr:to>
    <xdr:sp macro="" textlink="">
      <xdr:nvSpPr>
        <xdr:cNvPr id="126" name="Freeform 130">
          <a:extLst>
            <a:ext uri="{FF2B5EF4-FFF2-40B4-BE49-F238E27FC236}">
              <a16:creationId xmlns:a16="http://schemas.microsoft.com/office/drawing/2014/main" id="{51BB1174-9C7E-492F-B0F0-21260CD9662A}"/>
            </a:ext>
          </a:extLst>
        </xdr:cNvPr>
        <xdr:cNvSpPr>
          <a:spLocks/>
        </xdr:cNvSpPr>
      </xdr:nvSpPr>
      <xdr:spPr bwMode="auto">
        <a:xfrm>
          <a:off x="245745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</xdr:colOff>
      <xdr:row>20</xdr:row>
      <xdr:rowOff>28575</xdr:rowOff>
    </xdr:from>
    <xdr:to>
      <xdr:col>8</xdr:col>
      <xdr:colOff>295275</xdr:colOff>
      <xdr:row>20</xdr:row>
      <xdr:rowOff>200025</xdr:rowOff>
    </xdr:to>
    <xdr:grpSp>
      <xdr:nvGrpSpPr>
        <xdr:cNvPr id="127" name="Group 131">
          <a:extLst>
            <a:ext uri="{FF2B5EF4-FFF2-40B4-BE49-F238E27FC236}">
              <a16:creationId xmlns:a16="http://schemas.microsoft.com/office/drawing/2014/main" id="{30F6601F-7405-496B-8BEC-CB97A3C0E0BF}"/>
            </a:ext>
          </a:extLst>
        </xdr:cNvPr>
        <xdr:cNvGrpSpPr>
          <a:grpSpLocks/>
        </xdr:cNvGrpSpPr>
      </xdr:nvGrpSpPr>
      <xdr:grpSpPr bwMode="auto">
        <a:xfrm>
          <a:off x="2590800" y="7258050"/>
          <a:ext cx="276225" cy="171450"/>
          <a:chOff x="226" y="755"/>
          <a:chExt cx="29" cy="18"/>
        </a:xfrm>
      </xdr:grpSpPr>
      <xdr:sp macro="" textlink="">
        <xdr:nvSpPr>
          <xdr:cNvPr id="128" name="Oval 132">
            <a:extLst>
              <a:ext uri="{FF2B5EF4-FFF2-40B4-BE49-F238E27FC236}">
                <a16:creationId xmlns:a16="http://schemas.microsoft.com/office/drawing/2014/main" id="{FD327BA9-85F0-42ED-8CD1-E0EC4D8CC5CC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9" name="Line 133">
            <a:extLst>
              <a:ext uri="{FF2B5EF4-FFF2-40B4-BE49-F238E27FC236}">
                <a16:creationId xmlns:a16="http://schemas.microsoft.com/office/drawing/2014/main" id="{E6C0F7C9-97D9-4BA0-9494-E6DF7DF9C233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Freeform 134">
            <a:extLst>
              <a:ext uri="{FF2B5EF4-FFF2-40B4-BE49-F238E27FC236}">
                <a16:creationId xmlns:a16="http://schemas.microsoft.com/office/drawing/2014/main" id="{918AF813-22B7-42AD-B302-76B3776430F9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238125</xdr:colOff>
      <xdr:row>17</xdr:row>
      <xdr:rowOff>819150</xdr:rowOff>
    </xdr:from>
    <xdr:to>
      <xdr:col>10</xdr:col>
      <xdr:colOff>190500</xdr:colOff>
      <xdr:row>17</xdr:row>
      <xdr:rowOff>971550</xdr:rowOff>
    </xdr:to>
    <xdr:grpSp>
      <xdr:nvGrpSpPr>
        <xdr:cNvPr id="131" name="Group 135">
          <a:extLst>
            <a:ext uri="{FF2B5EF4-FFF2-40B4-BE49-F238E27FC236}">
              <a16:creationId xmlns:a16="http://schemas.microsoft.com/office/drawing/2014/main" id="{6881E42A-6688-4FF5-B1E6-D393560F69A6}"/>
            </a:ext>
          </a:extLst>
        </xdr:cNvPr>
        <xdr:cNvGrpSpPr>
          <a:grpSpLocks/>
        </xdr:cNvGrpSpPr>
      </xdr:nvGrpSpPr>
      <xdr:grpSpPr bwMode="auto">
        <a:xfrm rot="10800000">
          <a:off x="3124200" y="6010275"/>
          <a:ext cx="266700" cy="152400"/>
          <a:chOff x="248" y="601"/>
          <a:chExt cx="28" cy="16"/>
        </a:xfrm>
      </xdr:grpSpPr>
      <xdr:sp macro="" textlink="">
        <xdr:nvSpPr>
          <xdr:cNvPr id="132" name="Line 136">
            <a:extLst>
              <a:ext uri="{FF2B5EF4-FFF2-40B4-BE49-F238E27FC236}">
                <a16:creationId xmlns:a16="http://schemas.microsoft.com/office/drawing/2014/main" id="{63C05846-67ED-4461-ACB1-FEDA452E3D0E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Freeform 137">
            <a:extLst>
              <a:ext uri="{FF2B5EF4-FFF2-40B4-BE49-F238E27FC236}">
                <a16:creationId xmlns:a16="http://schemas.microsoft.com/office/drawing/2014/main" id="{98E41A50-7AD0-4542-BEEE-177069E8F9EE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4" name="Line 138">
            <a:extLst>
              <a:ext uri="{FF2B5EF4-FFF2-40B4-BE49-F238E27FC236}">
                <a16:creationId xmlns:a16="http://schemas.microsoft.com/office/drawing/2014/main" id="{81DA8E19-8176-4448-B740-A3B5CDC9F98D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Freeform 139">
            <a:extLst>
              <a:ext uri="{FF2B5EF4-FFF2-40B4-BE49-F238E27FC236}">
                <a16:creationId xmlns:a16="http://schemas.microsoft.com/office/drawing/2014/main" id="{85137D34-27F7-4B82-A646-3801C4EBBDF7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133350</xdr:colOff>
      <xdr:row>17</xdr:row>
      <xdr:rowOff>600075</xdr:rowOff>
    </xdr:from>
    <xdr:to>
      <xdr:col>9</xdr:col>
      <xdr:colOff>85725</xdr:colOff>
      <xdr:row>17</xdr:row>
      <xdr:rowOff>752475</xdr:rowOff>
    </xdr:to>
    <xdr:grpSp>
      <xdr:nvGrpSpPr>
        <xdr:cNvPr id="136" name="Group 140">
          <a:extLst>
            <a:ext uri="{FF2B5EF4-FFF2-40B4-BE49-F238E27FC236}">
              <a16:creationId xmlns:a16="http://schemas.microsoft.com/office/drawing/2014/main" id="{227FAE7C-0AE3-478F-BA36-D37DC7CE4DB3}"/>
            </a:ext>
          </a:extLst>
        </xdr:cNvPr>
        <xdr:cNvGrpSpPr>
          <a:grpSpLocks/>
        </xdr:cNvGrpSpPr>
      </xdr:nvGrpSpPr>
      <xdr:grpSpPr bwMode="auto">
        <a:xfrm>
          <a:off x="2705100" y="5791200"/>
          <a:ext cx="266700" cy="152400"/>
          <a:chOff x="248" y="601"/>
          <a:chExt cx="28" cy="16"/>
        </a:xfrm>
      </xdr:grpSpPr>
      <xdr:sp macro="" textlink="">
        <xdr:nvSpPr>
          <xdr:cNvPr id="137" name="Line 141">
            <a:extLst>
              <a:ext uri="{FF2B5EF4-FFF2-40B4-BE49-F238E27FC236}">
                <a16:creationId xmlns:a16="http://schemas.microsoft.com/office/drawing/2014/main" id="{F68013D4-E801-4A34-8976-F8F054999E73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142">
            <a:extLst>
              <a:ext uri="{FF2B5EF4-FFF2-40B4-BE49-F238E27FC236}">
                <a16:creationId xmlns:a16="http://schemas.microsoft.com/office/drawing/2014/main" id="{1504B60B-E157-4E1B-9678-A51C607F6F85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143">
            <a:extLst>
              <a:ext uri="{FF2B5EF4-FFF2-40B4-BE49-F238E27FC236}">
                <a16:creationId xmlns:a16="http://schemas.microsoft.com/office/drawing/2014/main" id="{3D7D1232-15E7-49EE-A4F4-2CC993D90B4D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Freeform 144">
            <a:extLst>
              <a:ext uri="{FF2B5EF4-FFF2-40B4-BE49-F238E27FC236}">
                <a16:creationId xmlns:a16="http://schemas.microsoft.com/office/drawing/2014/main" id="{AA85AAED-0C6E-4BC3-85A0-A35C8C1195C3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13379</xdr:colOff>
      <xdr:row>17</xdr:row>
      <xdr:rowOff>221010</xdr:rowOff>
    </xdr:from>
    <xdr:to>
      <xdr:col>13</xdr:col>
      <xdr:colOff>3854</xdr:colOff>
      <xdr:row>17</xdr:row>
      <xdr:rowOff>1221135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541616D7-C53E-49F0-8216-CF1FC9577E88}"/>
            </a:ext>
          </a:extLst>
        </xdr:cNvPr>
        <xdr:cNvGrpSpPr>
          <a:grpSpLocks/>
        </xdr:cNvGrpSpPr>
      </xdr:nvGrpSpPr>
      <xdr:grpSpPr bwMode="auto">
        <a:xfrm rot="1320133">
          <a:off x="3842429" y="5412135"/>
          <a:ext cx="304800" cy="1000125"/>
          <a:chOff x="322" y="565"/>
          <a:chExt cx="32" cy="105"/>
        </a:xfrm>
      </xdr:grpSpPr>
      <xdr:sp macro="" textlink="">
        <xdr:nvSpPr>
          <xdr:cNvPr id="87" name="Line 86">
            <a:extLst>
              <a:ext uri="{FF2B5EF4-FFF2-40B4-BE49-F238E27FC236}">
                <a16:creationId xmlns:a16="http://schemas.microsoft.com/office/drawing/2014/main" id="{A99F4594-5C57-4436-A164-317F4299C857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86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BCE2D89C-C5C4-4AF5-B889-66DCADFF91C8}"/>
              </a:ext>
            </a:extLst>
          </xdr:cNvPr>
          <xdr:cNvSpPr>
            <a:spLocks/>
          </xdr:cNvSpPr>
        </xdr:nvSpPr>
        <xdr:spPr bwMode="auto">
          <a:xfrm rot="-5400000">
            <a:off x="334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8A7DD45B-CBE5-4275-8FB2-3994FCFE8CC5}"/>
              </a:ext>
            </a:extLst>
          </xdr:cNvPr>
          <xdr:cNvSpPr>
            <a:spLocks/>
          </xdr:cNvSpPr>
        </xdr:nvSpPr>
        <xdr:spPr bwMode="auto">
          <a:xfrm rot="-5400000">
            <a:off x="330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0" name="Line 89">
            <a:extLst>
              <a:ext uri="{FF2B5EF4-FFF2-40B4-BE49-F238E27FC236}">
                <a16:creationId xmlns:a16="http://schemas.microsoft.com/office/drawing/2014/main" id="{F1DD7BEF-8BBE-43A9-B097-833BDBF51B36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26" y="63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Freeform 90">
            <a:extLst>
              <a:ext uri="{FF2B5EF4-FFF2-40B4-BE49-F238E27FC236}">
                <a16:creationId xmlns:a16="http://schemas.microsoft.com/office/drawing/2014/main" id="{47C4ADEC-A45E-4EDD-8323-851CBC140CFB}"/>
              </a:ext>
            </a:extLst>
          </xdr:cNvPr>
          <xdr:cNvSpPr>
            <a:spLocks/>
          </xdr:cNvSpPr>
        </xdr:nvSpPr>
        <xdr:spPr bwMode="auto">
          <a:xfrm rot="-5400000">
            <a:off x="322" y="634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502A162C-E62E-4BA0-B290-223833589044}"/>
              </a:ext>
            </a:extLst>
          </xdr:cNvPr>
          <xdr:cNvSpPr>
            <a:spLocks/>
          </xdr:cNvSpPr>
        </xdr:nvSpPr>
        <xdr:spPr bwMode="auto">
          <a:xfrm rot="-5400000">
            <a:off x="338" y="627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Line 92">
            <a:extLst>
              <a:ext uri="{FF2B5EF4-FFF2-40B4-BE49-F238E27FC236}">
                <a16:creationId xmlns:a16="http://schemas.microsoft.com/office/drawing/2014/main" id="{50402BBE-7F55-47CD-A5AD-729237011253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49" y="62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808C5EAC-950A-4FB1-A6BD-3DBC7148A0BB}"/>
              </a:ext>
            </a:extLst>
          </xdr:cNvPr>
          <xdr:cNvSpPr>
            <a:spLocks/>
          </xdr:cNvSpPr>
        </xdr:nvSpPr>
        <xdr:spPr bwMode="auto">
          <a:xfrm rot="-5400000">
            <a:off x="347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107635</xdr:colOff>
      <xdr:row>17</xdr:row>
      <xdr:rowOff>458848</xdr:rowOff>
    </xdr:from>
    <xdr:to>
      <xdr:col>14</xdr:col>
      <xdr:colOff>164785</xdr:colOff>
      <xdr:row>17</xdr:row>
      <xdr:rowOff>1192273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CD6C3CC6-187B-4922-B92D-332E48D770BF}"/>
            </a:ext>
          </a:extLst>
        </xdr:cNvPr>
        <xdr:cNvGrpSpPr>
          <a:grpSpLocks/>
        </xdr:cNvGrpSpPr>
      </xdr:nvGrpSpPr>
      <xdr:grpSpPr bwMode="auto">
        <a:xfrm rot="6720133">
          <a:off x="4227197" y="5988111"/>
          <a:ext cx="733425" cy="57150"/>
          <a:chOff x="123" y="549"/>
          <a:chExt cx="77" cy="6"/>
        </a:xfrm>
      </xdr:grpSpPr>
      <xdr:sp macro="" textlink="">
        <xdr:nvSpPr>
          <xdr:cNvPr id="96" name="Line 95">
            <a:extLst>
              <a:ext uri="{FF2B5EF4-FFF2-40B4-BE49-F238E27FC236}">
                <a16:creationId xmlns:a16="http://schemas.microsoft.com/office/drawing/2014/main" id="{986C198C-E702-4840-B3A5-EBE590ED417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E504DC6B-DCE9-4248-AC4D-26B3BD7DCC0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76710E24-CBD1-4C52-80FF-79880FBB5EB5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22442</xdr:colOff>
      <xdr:row>17</xdr:row>
      <xdr:rowOff>360856</xdr:rowOff>
    </xdr:from>
    <xdr:to>
      <xdr:col>14</xdr:col>
      <xdr:colOff>11556</xdr:colOff>
      <xdr:row>17</xdr:row>
      <xdr:rowOff>1360981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3948C9E9-3A7B-42E3-AEC5-BE97D8635669}"/>
            </a:ext>
          </a:extLst>
        </xdr:cNvPr>
        <xdr:cNvGrpSpPr>
          <a:grpSpLocks/>
        </xdr:cNvGrpSpPr>
      </xdr:nvGrpSpPr>
      <xdr:grpSpPr bwMode="auto">
        <a:xfrm rot="6720133">
          <a:off x="3817474" y="5900324"/>
          <a:ext cx="1000125" cy="303439"/>
          <a:chOff x="110" y="567"/>
          <a:chExt cx="105" cy="32"/>
        </a:xfrm>
      </xdr:grpSpPr>
      <xdr:sp macro="" textlink="">
        <xdr:nvSpPr>
          <xdr:cNvPr id="100" name="Line 99">
            <a:extLst>
              <a:ext uri="{FF2B5EF4-FFF2-40B4-BE49-F238E27FC236}">
                <a16:creationId xmlns:a16="http://schemas.microsoft.com/office/drawing/2014/main" id="{7126FAF8-A1F2-4539-8A5B-43BCD5AA8ED9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Freeform 100">
            <a:extLst>
              <a:ext uri="{FF2B5EF4-FFF2-40B4-BE49-F238E27FC236}">
                <a16:creationId xmlns:a16="http://schemas.microsoft.com/office/drawing/2014/main" id="{CD7EA936-4F3C-4C53-85BF-DE548DDEADB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" name="Freeform 101">
            <a:extLst>
              <a:ext uri="{FF2B5EF4-FFF2-40B4-BE49-F238E27FC236}">
                <a16:creationId xmlns:a16="http://schemas.microsoft.com/office/drawing/2014/main" id="{EF3A8EE0-BB7E-43BC-B4EF-4AE0318929FA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" name="Line 102">
            <a:extLst>
              <a:ext uri="{FF2B5EF4-FFF2-40B4-BE49-F238E27FC236}">
                <a16:creationId xmlns:a16="http://schemas.microsoft.com/office/drawing/2014/main" id="{60DAC8CE-37D3-4725-85BF-4E8921BCD87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Freeform 103">
            <a:extLst>
              <a:ext uri="{FF2B5EF4-FFF2-40B4-BE49-F238E27FC236}">
                <a16:creationId xmlns:a16="http://schemas.microsoft.com/office/drawing/2014/main" id="{467135A2-03BF-4B85-8A31-E27774D5F8B0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Freeform 104">
            <a:extLst>
              <a:ext uri="{FF2B5EF4-FFF2-40B4-BE49-F238E27FC236}">
                <a16:creationId xmlns:a16="http://schemas.microsoft.com/office/drawing/2014/main" id="{E19F11DF-AC3F-4283-A2DB-26DFAF88B6F6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" name="Line 105">
            <a:extLst>
              <a:ext uri="{FF2B5EF4-FFF2-40B4-BE49-F238E27FC236}">
                <a16:creationId xmlns:a16="http://schemas.microsoft.com/office/drawing/2014/main" id="{568AA30F-8364-4A99-BE30-0E1D9AE335D5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Freeform 106">
            <a:extLst>
              <a:ext uri="{FF2B5EF4-FFF2-40B4-BE49-F238E27FC236}">
                <a16:creationId xmlns:a16="http://schemas.microsoft.com/office/drawing/2014/main" id="{9CC8DA02-259A-43FE-82AA-36B2B495E56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161093</xdr:colOff>
      <xdr:row>17</xdr:row>
      <xdr:rowOff>417510</xdr:rowOff>
    </xdr:from>
    <xdr:to>
      <xdr:col>11</xdr:col>
      <xdr:colOff>218243</xdr:colOff>
      <xdr:row>17</xdr:row>
      <xdr:rowOff>1150935</xdr:rowOff>
    </xdr:to>
    <xdr:grpSp>
      <xdr:nvGrpSpPr>
        <xdr:cNvPr id="141" name="Group 94">
          <a:extLst>
            <a:ext uri="{FF2B5EF4-FFF2-40B4-BE49-F238E27FC236}">
              <a16:creationId xmlns:a16="http://schemas.microsoft.com/office/drawing/2014/main" id="{9F5A236D-1C72-4DBD-997D-1B8120423196}"/>
            </a:ext>
          </a:extLst>
        </xdr:cNvPr>
        <xdr:cNvGrpSpPr>
          <a:grpSpLocks/>
        </xdr:cNvGrpSpPr>
      </xdr:nvGrpSpPr>
      <xdr:grpSpPr bwMode="auto">
        <a:xfrm rot="6720133">
          <a:off x="3337680" y="5946773"/>
          <a:ext cx="733425" cy="57150"/>
          <a:chOff x="123" y="549"/>
          <a:chExt cx="77" cy="6"/>
        </a:xfrm>
      </xdr:grpSpPr>
      <xdr:sp macro="" textlink="">
        <xdr:nvSpPr>
          <xdr:cNvPr id="142" name="Line 95">
            <a:extLst>
              <a:ext uri="{FF2B5EF4-FFF2-40B4-BE49-F238E27FC236}">
                <a16:creationId xmlns:a16="http://schemas.microsoft.com/office/drawing/2014/main" id="{99406A11-A4D6-4A54-B061-BAD26672708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Freeform 96">
            <a:extLst>
              <a:ext uri="{FF2B5EF4-FFF2-40B4-BE49-F238E27FC236}">
                <a16:creationId xmlns:a16="http://schemas.microsoft.com/office/drawing/2014/main" id="{279F30B0-76B8-48A2-80DA-707735094FA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4" name="Freeform 97">
            <a:extLst>
              <a:ext uri="{FF2B5EF4-FFF2-40B4-BE49-F238E27FC236}">
                <a16:creationId xmlns:a16="http://schemas.microsoft.com/office/drawing/2014/main" id="{4405074D-3EB3-46C7-A41B-7B0312C9ADF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11</xdr:col>
      <xdr:colOff>131994</xdr:colOff>
      <xdr:row>17</xdr:row>
      <xdr:rowOff>243563</xdr:rowOff>
    </xdr:from>
    <xdr:ext cx="288541" cy="150041"/>
    <xdr:sp macro="" textlink="">
      <xdr:nvSpPr>
        <xdr:cNvPr id="145" name="Text Box 107">
          <a:extLst>
            <a:ext uri="{FF2B5EF4-FFF2-40B4-BE49-F238E27FC236}">
              <a16:creationId xmlns:a16="http://schemas.microsoft.com/office/drawing/2014/main" id="{FA7D914A-D672-4063-83B4-FDA4214F17C9}"/>
            </a:ext>
          </a:extLst>
        </xdr:cNvPr>
        <xdr:cNvSpPr txBox="1">
          <a:spLocks noChangeArrowheads="1"/>
        </xdr:cNvSpPr>
      </xdr:nvSpPr>
      <xdr:spPr bwMode="auto">
        <a:xfrm>
          <a:off x="3646719" y="5434688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11</xdr:col>
      <xdr:colOff>13610</xdr:colOff>
      <xdr:row>17</xdr:row>
      <xdr:rowOff>1191979</xdr:rowOff>
    </xdr:from>
    <xdr:ext cx="288541" cy="150041"/>
    <xdr:sp macro="" textlink="">
      <xdr:nvSpPr>
        <xdr:cNvPr id="146" name="Text Box 111">
          <a:extLst>
            <a:ext uri="{FF2B5EF4-FFF2-40B4-BE49-F238E27FC236}">
              <a16:creationId xmlns:a16="http://schemas.microsoft.com/office/drawing/2014/main" id="{7E84C5E9-4067-4FF3-8645-3E849B998E41}"/>
            </a:ext>
          </a:extLst>
        </xdr:cNvPr>
        <xdr:cNvSpPr txBox="1">
          <a:spLocks noChangeArrowheads="1"/>
        </xdr:cNvSpPr>
      </xdr:nvSpPr>
      <xdr:spPr bwMode="auto">
        <a:xfrm>
          <a:off x="3528335" y="6383104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</xdr:col>
      <xdr:colOff>142875</xdr:colOff>
      <xdr:row>9</xdr:row>
      <xdr:rowOff>781050</xdr:rowOff>
    </xdr:from>
    <xdr:ext cx="287252" cy="288000"/>
    <xdr:pic>
      <xdr:nvPicPr>
        <xdr:cNvPr id="148" name="図 147">
          <a:extLst>
            <a:ext uri="{FF2B5EF4-FFF2-40B4-BE49-F238E27FC236}">
              <a16:creationId xmlns:a16="http://schemas.microsoft.com/office/drawing/2014/main" id="{D60823EA-C9F9-4012-900C-319E105E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2495550"/>
          <a:ext cx="287252" cy="288000"/>
        </a:xfrm>
        <a:prstGeom prst="rect">
          <a:avLst/>
        </a:prstGeom>
      </xdr:spPr>
    </xdr:pic>
    <xdr:clientData/>
  </xdr:oneCellAnchor>
  <xdr:oneCellAnchor>
    <xdr:from>
      <xdr:col>21</xdr:col>
      <xdr:colOff>247650</xdr:colOff>
      <xdr:row>9</xdr:row>
      <xdr:rowOff>1190625</xdr:rowOff>
    </xdr:from>
    <xdr:ext cx="287252" cy="288000"/>
    <xdr:pic>
      <xdr:nvPicPr>
        <xdr:cNvPr id="149" name="図 148">
          <a:extLst>
            <a:ext uri="{FF2B5EF4-FFF2-40B4-BE49-F238E27FC236}">
              <a16:creationId xmlns:a16="http://schemas.microsoft.com/office/drawing/2014/main" id="{03DA77C6-A299-4470-8CD2-60C5F0126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5" y="2905125"/>
          <a:ext cx="287252" cy="288000"/>
        </a:xfrm>
        <a:prstGeom prst="rect">
          <a:avLst/>
        </a:prstGeom>
      </xdr:spPr>
    </xdr:pic>
    <xdr:clientData/>
  </xdr:oneCellAnchor>
  <xdr:oneCellAnchor>
    <xdr:from>
      <xdr:col>16</xdr:col>
      <xdr:colOff>161925</xdr:colOff>
      <xdr:row>4</xdr:row>
      <xdr:rowOff>114300</xdr:rowOff>
    </xdr:from>
    <xdr:ext cx="287252" cy="288000"/>
    <xdr:pic>
      <xdr:nvPicPr>
        <xdr:cNvPr id="150" name="図 149">
          <a:extLst>
            <a:ext uri="{FF2B5EF4-FFF2-40B4-BE49-F238E27FC236}">
              <a16:creationId xmlns:a16="http://schemas.microsoft.com/office/drawing/2014/main" id="{DB92CF8F-94F4-4D43-A706-698285170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8275" y="685800"/>
          <a:ext cx="287252" cy="288000"/>
        </a:xfrm>
        <a:prstGeom prst="rect">
          <a:avLst/>
        </a:prstGeom>
      </xdr:spPr>
    </xdr:pic>
    <xdr:clientData/>
  </xdr:oneCellAnchor>
  <xdr:twoCellAnchor>
    <xdr:from>
      <xdr:col>12</xdr:col>
      <xdr:colOff>28575</xdr:colOff>
      <xdr:row>9</xdr:row>
      <xdr:rowOff>66675</xdr:rowOff>
    </xdr:from>
    <xdr:to>
      <xdr:col>15</xdr:col>
      <xdr:colOff>238125</xdr:colOff>
      <xdr:row>10</xdr:row>
      <xdr:rowOff>209551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04B903AA-BCFA-4BBE-8962-67D12820F7EC}"/>
            </a:ext>
          </a:extLst>
        </xdr:cNvPr>
        <xdr:cNvCxnSpPr/>
      </xdr:nvCxnSpPr>
      <xdr:spPr>
        <a:xfrm flipV="1">
          <a:off x="3857625" y="1781175"/>
          <a:ext cx="1152525" cy="201930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190500</xdr:colOff>
      <xdr:row>9</xdr:row>
      <xdr:rowOff>1295399</xdr:rowOff>
    </xdr:from>
    <xdr:ext cx="436521" cy="250453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238D25C6-1D59-4348-A42D-A764256A7651}"/>
            </a:ext>
          </a:extLst>
        </xdr:cNvPr>
        <xdr:cNvSpPr txBox="1"/>
      </xdr:nvSpPr>
      <xdr:spPr>
        <a:xfrm>
          <a:off x="3705225" y="3009899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43.5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8</xdr:col>
      <xdr:colOff>257176</xdr:colOff>
      <xdr:row>9</xdr:row>
      <xdr:rowOff>914400</xdr:rowOff>
    </xdr:from>
    <xdr:to>
      <xdr:col>16</xdr:col>
      <xdr:colOff>228600</xdr:colOff>
      <xdr:row>9</xdr:row>
      <xdr:rowOff>933451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1FEBFA3E-A76E-43A7-BD37-969C2F7E3E36}"/>
            </a:ext>
          </a:extLst>
        </xdr:cNvPr>
        <xdr:cNvCxnSpPr/>
      </xdr:nvCxnSpPr>
      <xdr:spPr>
        <a:xfrm flipH="1">
          <a:off x="2828926" y="2628900"/>
          <a:ext cx="2486024" cy="1905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152400</xdr:colOff>
      <xdr:row>9</xdr:row>
      <xdr:rowOff>657225</xdr:rowOff>
    </xdr:from>
    <xdr:ext cx="436521" cy="250453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C874B0C2-19FD-45BE-9A24-7B1532AF2D07}"/>
            </a:ext>
          </a:extLst>
        </xdr:cNvPr>
        <xdr:cNvSpPr txBox="1"/>
      </xdr:nvSpPr>
      <xdr:spPr>
        <a:xfrm>
          <a:off x="3981450" y="237172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46.3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9</xdr:col>
      <xdr:colOff>180975</xdr:colOff>
      <xdr:row>13</xdr:row>
      <xdr:rowOff>57150</xdr:rowOff>
    </xdr:from>
    <xdr:ext cx="287252" cy="288000"/>
    <xdr:pic>
      <xdr:nvPicPr>
        <xdr:cNvPr id="163" name="図 162">
          <a:extLst>
            <a:ext uri="{FF2B5EF4-FFF2-40B4-BE49-F238E27FC236}">
              <a16:creationId xmlns:a16="http://schemas.microsoft.com/office/drawing/2014/main" id="{AFF76FDA-0695-49E4-9650-667F84BCE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7050" y="4333875"/>
          <a:ext cx="287252" cy="288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9525</xdr:rowOff>
    </xdr:from>
    <xdr:ext cx="844265" cy="636516"/>
    <xdr:sp macro="" textlink="">
      <xdr:nvSpPr>
        <xdr:cNvPr id="59" name="Text Box 57">
          <a:extLst>
            <a:ext uri="{FF2B5EF4-FFF2-40B4-BE49-F238E27FC236}">
              <a16:creationId xmlns:a16="http://schemas.microsoft.com/office/drawing/2014/main" id="{C587B879-8314-405E-B8E5-382F782F04DC}"/>
            </a:ext>
          </a:extLst>
        </xdr:cNvPr>
        <xdr:cNvSpPr txBox="1">
          <a:spLocks noChangeArrowheads="1"/>
        </xdr:cNvSpPr>
      </xdr:nvSpPr>
      <xdr:spPr bwMode="auto">
        <a:xfrm>
          <a:off x="38100" y="4057650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18</xdr:col>
      <xdr:colOff>19050</xdr:colOff>
      <xdr:row>13</xdr:row>
      <xdr:rowOff>219075</xdr:rowOff>
    </xdr:from>
    <xdr:ext cx="1803946" cy="222744"/>
    <xdr:sp macro="" textlink="">
      <xdr:nvSpPr>
        <xdr:cNvPr id="166" name="Text Box 131">
          <a:extLst>
            <a:ext uri="{FF2B5EF4-FFF2-40B4-BE49-F238E27FC236}">
              <a16:creationId xmlns:a16="http://schemas.microsoft.com/office/drawing/2014/main" id="{17B191F8-349D-4416-A966-339D9056DC46}"/>
            </a:ext>
          </a:extLst>
        </xdr:cNvPr>
        <xdr:cNvSpPr txBox="1">
          <a:spLocks noChangeArrowheads="1"/>
        </xdr:cNvSpPr>
      </xdr:nvSpPr>
      <xdr:spPr bwMode="auto">
        <a:xfrm>
          <a:off x="5734050" y="4495800"/>
          <a:ext cx="1803946" cy="222744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8,9Step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で保障（終日）</a:t>
          </a:r>
        </a:p>
      </xdr:txBody>
    </xdr:sp>
    <xdr:clientData/>
  </xdr:oneCellAnchor>
  <xdr:oneCellAnchor>
    <xdr:from>
      <xdr:col>20</xdr:col>
      <xdr:colOff>266700</xdr:colOff>
      <xdr:row>17</xdr:row>
      <xdr:rowOff>1085850</xdr:rowOff>
    </xdr:from>
    <xdr:ext cx="1015715" cy="666750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114D77A2-88F1-4010-8FD9-44A71C87678A}"/>
            </a:ext>
          </a:extLst>
        </xdr:cNvPr>
        <xdr:cNvSpPr txBox="1">
          <a:spLocks noChangeArrowheads="1"/>
        </xdr:cNvSpPr>
      </xdr:nvSpPr>
      <xdr:spPr bwMode="auto">
        <a:xfrm>
          <a:off x="6610350" y="627697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EC6680L-15225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3</xdr:row>
      <xdr:rowOff>190500</xdr:rowOff>
    </xdr:from>
    <xdr:to>
      <xdr:col>20</xdr:col>
      <xdr:colOff>142875</xdr:colOff>
      <xdr:row>12</xdr:row>
      <xdr:rowOff>47625</xdr:rowOff>
    </xdr:to>
    <xdr:pic>
      <xdr:nvPicPr>
        <xdr:cNvPr id="2167" name="Picture 119">
          <a:extLst>
            <a:ext uri="{FF2B5EF4-FFF2-40B4-BE49-F238E27FC236}">
              <a16:creationId xmlns:a16="http://schemas.microsoft.com/office/drawing/2014/main" id="{5CBCF38E-25D3-468F-ABE5-758FC2A84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914400"/>
          <a:ext cx="4381500" cy="3562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FA793E5-C766-475C-85C7-EE1F5DD5640A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9525</xdr:colOff>
      <xdr:row>16</xdr:row>
      <xdr:rowOff>142875</xdr:rowOff>
    </xdr:to>
    <xdr:grpSp>
      <xdr:nvGrpSpPr>
        <xdr:cNvPr id="2050" name="Group 2">
          <a:extLst>
            <a:ext uri="{FF2B5EF4-FFF2-40B4-BE49-F238E27FC236}">
              <a16:creationId xmlns:a16="http://schemas.microsoft.com/office/drawing/2014/main" id="{7351869A-07BA-467C-9B3A-608B42820EAF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781425" cy="47625"/>
          <a:chOff x="158" y="715"/>
          <a:chExt cx="33" cy="5"/>
        </a:xfrm>
      </xdr:grpSpPr>
      <xdr:sp macro="" textlink="">
        <xdr:nvSpPr>
          <xdr:cNvPr id="2051" name="Line 3">
            <a:extLst>
              <a:ext uri="{FF2B5EF4-FFF2-40B4-BE49-F238E27FC236}">
                <a16:creationId xmlns:a16="http://schemas.microsoft.com/office/drawing/2014/main" id="{F823C86C-0793-4927-AE59-9209FAF425E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2" name="Line 4">
            <a:extLst>
              <a:ext uri="{FF2B5EF4-FFF2-40B4-BE49-F238E27FC236}">
                <a16:creationId xmlns:a16="http://schemas.microsoft.com/office/drawing/2014/main" id="{57235ADE-6D68-46EB-A417-4E740203357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2053" name="Group 5">
          <a:extLst>
            <a:ext uri="{FF2B5EF4-FFF2-40B4-BE49-F238E27FC236}">
              <a16:creationId xmlns:a16="http://schemas.microsoft.com/office/drawing/2014/main" id="{A0CFBBBE-88B1-4B24-B61E-0E4D09AB60F2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2514600" cy="47625"/>
          <a:chOff x="158" y="715"/>
          <a:chExt cx="33" cy="5"/>
        </a:xfrm>
      </xdr:grpSpPr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1896CC57-1C58-49F1-95F1-8E40F627372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CE4E8C27-DB45-46AD-813E-8DA4B8F1938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20</xdr:row>
      <xdr:rowOff>47625</xdr:rowOff>
    </xdr:from>
    <xdr:to>
      <xdr:col>16</xdr:col>
      <xdr:colOff>304800</xdr:colOff>
      <xdr:row>20</xdr:row>
      <xdr:rowOff>190500</xdr:rowOff>
    </xdr:to>
    <xdr:sp macro="" textlink="">
      <xdr:nvSpPr>
        <xdr:cNvPr id="2056" name="Freeform 8">
          <a:extLst>
            <a:ext uri="{FF2B5EF4-FFF2-40B4-BE49-F238E27FC236}">
              <a16:creationId xmlns:a16="http://schemas.microsoft.com/office/drawing/2014/main" id="{B499BFF4-30D1-4ADD-8727-32443C5DB17D}"/>
            </a:ext>
          </a:extLst>
        </xdr:cNvPr>
        <xdr:cNvSpPr>
          <a:spLocks/>
        </xdr:cNvSpPr>
      </xdr:nvSpPr>
      <xdr:spPr bwMode="auto">
        <a:xfrm>
          <a:off x="465772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104775</xdr:rowOff>
    </xdr:from>
    <xdr:to>
      <xdr:col>18</xdr:col>
      <xdr:colOff>0</xdr:colOff>
      <xdr:row>19</xdr:row>
      <xdr:rowOff>152400</xdr:rowOff>
    </xdr:to>
    <xdr:grpSp>
      <xdr:nvGrpSpPr>
        <xdr:cNvPr id="2057" name="Group 9">
          <a:extLst>
            <a:ext uri="{FF2B5EF4-FFF2-40B4-BE49-F238E27FC236}">
              <a16:creationId xmlns:a16="http://schemas.microsoft.com/office/drawing/2014/main" id="{FE49D137-E269-402C-965C-B9698E3DF15E}"/>
            </a:ext>
          </a:extLst>
        </xdr:cNvPr>
        <xdr:cNvGrpSpPr>
          <a:grpSpLocks/>
        </xdr:cNvGrpSpPr>
      </xdr:nvGrpSpPr>
      <xdr:grpSpPr bwMode="auto">
        <a:xfrm>
          <a:off x="3705225" y="7486650"/>
          <a:ext cx="1571625" cy="47625"/>
          <a:chOff x="158" y="715"/>
          <a:chExt cx="33" cy="5"/>
        </a:xfrm>
      </xdr:grpSpPr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0CC4F7D5-BD84-44A7-9B6A-07F0711D3AD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4B2EAB95-B53A-4E3D-BFA9-7DB733A4A15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104775</xdr:rowOff>
    </xdr:from>
    <xdr:to>
      <xdr:col>18</xdr:col>
      <xdr:colOff>0</xdr:colOff>
      <xdr:row>20</xdr:row>
      <xdr:rowOff>152400</xdr:rowOff>
    </xdr:to>
    <xdr:grpSp>
      <xdr:nvGrpSpPr>
        <xdr:cNvPr id="2060" name="Group 12">
          <a:extLst>
            <a:ext uri="{FF2B5EF4-FFF2-40B4-BE49-F238E27FC236}">
              <a16:creationId xmlns:a16="http://schemas.microsoft.com/office/drawing/2014/main" id="{206E5801-60A5-46B3-AC3D-509D4A4BBB6D}"/>
            </a:ext>
          </a:extLst>
        </xdr:cNvPr>
        <xdr:cNvGrpSpPr>
          <a:grpSpLocks/>
        </xdr:cNvGrpSpPr>
      </xdr:nvGrpSpPr>
      <xdr:grpSpPr bwMode="auto">
        <a:xfrm>
          <a:off x="4962525" y="7715250"/>
          <a:ext cx="314325" cy="47625"/>
          <a:chOff x="158" y="715"/>
          <a:chExt cx="33" cy="5"/>
        </a:xfrm>
      </xdr:grpSpPr>
      <xdr:sp macro="" textlink="">
        <xdr:nvSpPr>
          <xdr:cNvPr id="2061" name="Line 13">
            <a:extLst>
              <a:ext uri="{FF2B5EF4-FFF2-40B4-BE49-F238E27FC236}">
                <a16:creationId xmlns:a16="http://schemas.microsoft.com/office/drawing/2014/main" id="{7035C3BE-9B4D-4E9E-8BD3-FA12BFAAC59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2" name="Line 14">
            <a:extLst>
              <a:ext uri="{FF2B5EF4-FFF2-40B4-BE49-F238E27FC236}">
                <a16:creationId xmlns:a16="http://schemas.microsoft.com/office/drawing/2014/main" id="{461AA1EB-D7EB-492A-AE04-D0CF2AB5A41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104775</xdr:rowOff>
    </xdr:from>
    <xdr:to>
      <xdr:col>11</xdr:col>
      <xdr:colOff>0</xdr:colOff>
      <xdr:row>19</xdr:row>
      <xdr:rowOff>161925</xdr:rowOff>
    </xdr:to>
    <xdr:grpSp>
      <xdr:nvGrpSpPr>
        <xdr:cNvPr id="2063" name="Group 15">
          <a:extLst>
            <a:ext uri="{FF2B5EF4-FFF2-40B4-BE49-F238E27FC236}">
              <a16:creationId xmlns:a16="http://schemas.microsoft.com/office/drawing/2014/main" id="{F946E780-3246-4027-8032-339643ED7930}"/>
            </a:ext>
          </a:extLst>
        </xdr:cNvPr>
        <xdr:cNvGrpSpPr>
          <a:grpSpLocks/>
        </xdr:cNvGrpSpPr>
      </xdr:nvGrpSpPr>
      <xdr:grpSpPr bwMode="auto">
        <a:xfrm>
          <a:off x="876300" y="7486650"/>
          <a:ext cx="2200275" cy="57150"/>
          <a:chOff x="158" y="715"/>
          <a:chExt cx="33" cy="5"/>
        </a:xfrm>
      </xdr:grpSpPr>
      <xdr:sp macro="" textlink="">
        <xdr:nvSpPr>
          <xdr:cNvPr id="2064" name="Line 16">
            <a:extLst>
              <a:ext uri="{FF2B5EF4-FFF2-40B4-BE49-F238E27FC236}">
                <a16:creationId xmlns:a16="http://schemas.microsoft.com/office/drawing/2014/main" id="{1CD0B8A4-CE10-435D-AEAA-69CD66AF03D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5" name="Line 17">
            <a:extLst>
              <a:ext uri="{FF2B5EF4-FFF2-40B4-BE49-F238E27FC236}">
                <a16:creationId xmlns:a16="http://schemas.microsoft.com/office/drawing/2014/main" id="{1010F3EC-E4B5-4AC6-B1F3-87C56E89277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95250</xdr:rowOff>
    </xdr:from>
    <xdr:to>
      <xdr:col>11</xdr:col>
      <xdr:colOff>0</xdr:colOff>
      <xdr:row>20</xdr:row>
      <xdr:rowOff>152400</xdr:rowOff>
    </xdr:to>
    <xdr:grpSp>
      <xdr:nvGrpSpPr>
        <xdr:cNvPr id="2066" name="Group 18">
          <a:extLst>
            <a:ext uri="{FF2B5EF4-FFF2-40B4-BE49-F238E27FC236}">
              <a16:creationId xmlns:a16="http://schemas.microsoft.com/office/drawing/2014/main" id="{678A952D-4828-4CA0-A263-1BA95E71FB58}"/>
            </a:ext>
          </a:extLst>
        </xdr:cNvPr>
        <xdr:cNvGrpSpPr>
          <a:grpSpLocks/>
        </xdr:cNvGrpSpPr>
      </xdr:nvGrpSpPr>
      <xdr:grpSpPr bwMode="auto">
        <a:xfrm>
          <a:off x="885825" y="7705725"/>
          <a:ext cx="2190750" cy="57150"/>
          <a:chOff x="158" y="715"/>
          <a:chExt cx="33" cy="5"/>
        </a:xfrm>
      </xdr:grpSpPr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7743DD56-F796-42BD-99EC-3218765A78F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Line 20">
            <a:extLst>
              <a:ext uri="{FF2B5EF4-FFF2-40B4-BE49-F238E27FC236}">
                <a16:creationId xmlns:a16="http://schemas.microsoft.com/office/drawing/2014/main" id="{B0B5E223-C718-4DB3-96ED-6FBD88DEDB0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0</xdr:colOff>
      <xdr:row>16</xdr:row>
      <xdr:rowOff>123825</xdr:rowOff>
    </xdr:to>
    <xdr:sp macro="" textlink="">
      <xdr:nvSpPr>
        <xdr:cNvPr id="2069" name="Line 21">
          <a:extLst>
            <a:ext uri="{FF2B5EF4-FFF2-40B4-BE49-F238E27FC236}">
              <a16:creationId xmlns:a16="http://schemas.microsoft.com/office/drawing/2014/main" id="{2E556BD7-C5F5-464D-A09E-4881543CD4BB}"/>
            </a:ext>
          </a:extLst>
        </xdr:cNvPr>
        <xdr:cNvSpPr>
          <a:spLocks noChangeShapeType="1"/>
        </xdr:cNvSpPr>
      </xdr:nvSpPr>
      <xdr:spPr bwMode="auto">
        <a:xfrm>
          <a:off x="876300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17</xdr:row>
      <xdr:rowOff>123825</xdr:rowOff>
    </xdr:from>
    <xdr:to>
      <xdr:col>6</xdr:col>
      <xdr:colOff>304800</xdr:colOff>
      <xdr:row>17</xdr:row>
      <xdr:rowOff>123825</xdr:rowOff>
    </xdr:to>
    <xdr:sp macro="" textlink="">
      <xdr:nvSpPr>
        <xdr:cNvPr id="2070" name="Line 22">
          <a:extLst>
            <a:ext uri="{FF2B5EF4-FFF2-40B4-BE49-F238E27FC236}">
              <a16:creationId xmlns:a16="http://schemas.microsoft.com/office/drawing/2014/main" id="{5C4A050B-9579-4194-983B-5D79C9D8D27A}"/>
            </a:ext>
          </a:extLst>
        </xdr:cNvPr>
        <xdr:cNvSpPr>
          <a:spLocks noChangeShapeType="1"/>
        </xdr:cNvSpPr>
      </xdr:nvSpPr>
      <xdr:spPr bwMode="auto">
        <a:xfrm>
          <a:off x="885825" y="7048500"/>
          <a:ext cx="9239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071" name="Group 23">
          <a:extLst>
            <a:ext uri="{FF2B5EF4-FFF2-40B4-BE49-F238E27FC236}">
              <a16:creationId xmlns:a16="http://schemas.microsoft.com/office/drawing/2014/main" id="{6FD9732F-7722-4191-827B-51946F1C946F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5A0A14E5-BF7E-4338-A1C4-C94891735E5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0507BB29-D291-45E4-92BA-AD3040F6382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Line 26">
            <a:extLst>
              <a:ext uri="{FF2B5EF4-FFF2-40B4-BE49-F238E27FC236}">
                <a16:creationId xmlns:a16="http://schemas.microsoft.com/office/drawing/2014/main" id="{1395C2EC-B0D1-4CBA-84B8-FA03D413049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DE20F0B-FDB2-415D-AD42-BC1C81F1465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076" name="Freeform 28">
          <a:extLst>
            <a:ext uri="{FF2B5EF4-FFF2-40B4-BE49-F238E27FC236}">
              <a16:creationId xmlns:a16="http://schemas.microsoft.com/office/drawing/2014/main" id="{C589E5B6-A425-44E2-87F4-5779DDC9884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7</xdr:row>
      <xdr:rowOff>609600</xdr:rowOff>
    </xdr:from>
    <xdr:to>
      <xdr:col>5</xdr:col>
      <xdr:colOff>285750</xdr:colOff>
      <xdr:row>7</xdr:row>
      <xdr:rowOff>1781175</xdr:rowOff>
    </xdr:to>
    <xdr:sp macro="" textlink="">
      <xdr:nvSpPr>
        <xdr:cNvPr id="2077" name="Text Box 29">
          <a:extLst>
            <a:ext uri="{FF2B5EF4-FFF2-40B4-BE49-F238E27FC236}">
              <a16:creationId xmlns:a16="http://schemas.microsoft.com/office/drawing/2014/main" id="{38122D4F-8A9B-4FE7-9F4E-B1E532ADA40D}"/>
            </a:ext>
          </a:extLst>
        </xdr:cNvPr>
        <xdr:cNvSpPr txBox="1">
          <a:spLocks noChangeArrowheads="1"/>
        </xdr:cNvSpPr>
      </xdr:nvSpPr>
      <xdr:spPr bwMode="auto">
        <a:xfrm>
          <a:off x="1228725" y="224790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21</xdr:col>
      <xdr:colOff>95250</xdr:colOff>
      <xdr:row>7</xdr:row>
      <xdr:rowOff>542925</xdr:rowOff>
    </xdr:from>
    <xdr:to>
      <xdr:col>22</xdr:col>
      <xdr:colOff>28575</xdr:colOff>
      <xdr:row>7</xdr:row>
      <xdr:rowOff>1724025</xdr:rowOff>
    </xdr:to>
    <xdr:sp macro="" textlink="">
      <xdr:nvSpPr>
        <xdr:cNvPr id="2078" name="Text Box 30">
          <a:extLst>
            <a:ext uri="{FF2B5EF4-FFF2-40B4-BE49-F238E27FC236}">
              <a16:creationId xmlns:a16="http://schemas.microsoft.com/office/drawing/2014/main" id="{2150C4AD-BBE4-4835-ABC5-58D9BD99550E}"/>
            </a:ext>
          </a:extLst>
        </xdr:cNvPr>
        <xdr:cNvSpPr txBox="1">
          <a:spLocks noChangeArrowheads="1"/>
        </xdr:cNvSpPr>
      </xdr:nvSpPr>
      <xdr:spPr bwMode="auto">
        <a:xfrm>
          <a:off x="6315075" y="2181225"/>
          <a:ext cx="2476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岡山</a:t>
          </a:r>
        </a:p>
      </xdr:txBody>
    </xdr:sp>
    <xdr:clientData/>
  </xdr:twoCellAnchor>
  <xdr:twoCellAnchor>
    <xdr:from>
      <xdr:col>16</xdr:col>
      <xdr:colOff>0</xdr:colOff>
      <xdr:row>15</xdr:row>
      <xdr:rowOff>514350</xdr:rowOff>
    </xdr:from>
    <xdr:to>
      <xdr:col>17</xdr:col>
      <xdr:colOff>19050</xdr:colOff>
      <xdr:row>15</xdr:row>
      <xdr:rowOff>1171575</xdr:rowOff>
    </xdr:to>
    <xdr:grpSp>
      <xdr:nvGrpSpPr>
        <xdr:cNvPr id="2193" name="Group 145">
          <a:extLst>
            <a:ext uri="{FF2B5EF4-FFF2-40B4-BE49-F238E27FC236}">
              <a16:creationId xmlns:a16="http://schemas.microsoft.com/office/drawing/2014/main" id="{B84F5C6D-93B5-4BB1-9D76-00841EEEC592}"/>
            </a:ext>
          </a:extLst>
        </xdr:cNvPr>
        <xdr:cNvGrpSpPr>
          <a:grpSpLocks/>
        </xdr:cNvGrpSpPr>
      </xdr:nvGrpSpPr>
      <xdr:grpSpPr bwMode="auto">
        <a:xfrm>
          <a:off x="4648200" y="5629275"/>
          <a:ext cx="333375" cy="657225"/>
          <a:chOff x="488" y="591"/>
          <a:chExt cx="35" cy="69"/>
        </a:xfrm>
      </xdr:grpSpPr>
      <xdr:grpSp>
        <xdr:nvGrpSpPr>
          <xdr:cNvPr id="2079" name="Group 31">
            <a:extLst>
              <a:ext uri="{FF2B5EF4-FFF2-40B4-BE49-F238E27FC236}">
                <a16:creationId xmlns:a16="http://schemas.microsoft.com/office/drawing/2014/main" id="{429EEFE7-F03B-460F-BA5E-1728AC50F5A9}"/>
              </a:ext>
            </a:extLst>
          </xdr:cNvPr>
          <xdr:cNvGrpSpPr>
            <a:grpSpLocks/>
          </xdr:cNvGrpSpPr>
        </xdr:nvGrpSpPr>
        <xdr:grpSpPr bwMode="auto">
          <a:xfrm rot="5400000">
            <a:off x="501" y="597"/>
            <a:ext cx="28" cy="16"/>
            <a:chOff x="248" y="601"/>
            <a:chExt cx="28" cy="16"/>
          </a:xfrm>
        </xdr:grpSpPr>
        <xdr:sp macro="" textlink="">
          <xdr:nvSpPr>
            <xdr:cNvPr id="2080" name="Line 32">
              <a:extLst>
                <a:ext uri="{FF2B5EF4-FFF2-40B4-BE49-F238E27FC236}">
                  <a16:creationId xmlns:a16="http://schemas.microsoft.com/office/drawing/2014/main" id="{2D8F3C08-2693-420F-9565-5B14EC772A4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81" name="Freeform 33">
              <a:extLst>
                <a:ext uri="{FF2B5EF4-FFF2-40B4-BE49-F238E27FC236}">
                  <a16:creationId xmlns:a16="http://schemas.microsoft.com/office/drawing/2014/main" id="{900970DB-1C40-4CA3-BF8F-2BFAF709CC0D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082" name="Line 34">
              <a:extLst>
                <a:ext uri="{FF2B5EF4-FFF2-40B4-BE49-F238E27FC236}">
                  <a16:creationId xmlns:a16="http://schemas.microsoft.com/office/drawing/2014/main" id="{94626E7E-21C1-4286-ADA1-AE097CF149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83" name="Freeform 35">
              <a:extLst>
                <a:ext uri="{FF2B5EF4-FFF2-40B4-BE49-F238E27FC236}">
                  <a16:creationId xmlns:a16="http://schemas.microsoft.com/office/drawing/2014/main" id="{C077CF54-6F64-4CA7-A4DA-AC2E2FB416F8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084" name="Group 36">
            <a:extLst>
              <a:ext uri="{FF2B5EF4-FFF2-40B4-BE49-F238E27FC236}">
                <a16:creationId xmlns:a16="http://schemas.microsoft.com/office/drawing/2014/main" id="{D1E1EBA2-E211-494F-8D84-9FDA8DACDA8E}"/>
              </a:ext>
            </a:extLst>
          </xdr:cNvPr>
          <xdr:cNvGrpSpPr>
            <a:grpSpLocks/>
          </xdr:cNvGrpSpPr>
        </xdr:nvGrpSpPr>
        <xdr:grpSpPr bwMode="auto">
          <a:xfrm rot="-5400000">
            <a:off x="482" y="638"/>
            <a:ext cx="28" cy="16"/>
            <a:chOff x="248" y="601"/>
            <a:chExt cx="28" cy="16"/>
          </a:xfrm>
        </xdr:grpSpPr>
        <xdr:sp macro="" textlink="">
          <xdr:nvSpPr>
            <xdr:cNvPr id="2085" name="Line 37">
              <a:extLst>
                <a:ext uri="{FF2B5EF4-FFF2-40B4-BE49-F238E27FC236}">
                  <a16:creationId xmlns:a16="http://schemas.microsoft.com/office/drawing/2014/main" id="{6FA61552-ECF6-4849-8E7B-3529B76B1F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86" name="Freeform 38">
              <a:extLst>
                <a:ext uri="{FF2B5EF4-FFF2-40B4-BE49-F238E27FC236}">
                  <a16:creationId xmlns:a16="http://schemas.microsoft.com/office/drawing/2014/main" id="{5C45DD0F-DD67-4E79-965C-0B584FBF8586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087" name="Line 39">
              <a:extLst>
                <a:ext uri="{FF2B5EF4-FFF2-40B4-BE49-F238E27FC236}">
                  <a16:creationId xmlns:a16="http://schemas.microsoft.com/office/drawing/2014/main" id="{D6CBF9B4-937A-473F-AE36-928A7B69B2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88" name="Freeform 40">
              <a:extLst>
                <a:ext uri="{FF2B5EF4-FFF2-40B4-BE49-F238E27FC236}">
                  <a16:creationId xmlns:a16="http://schemas.microsoft.com/office/drawing/2014/main" id="{44485F6A-1BDE-482B-9206-050B97301FF1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2089" name="Group 41">
          <a:extLst>
            <a:ext uri="{FF2B5EF4-FFF2-40B4-BE49-F238E27FC236}">
              <a16:creationId xmlns:a16="http://schemas.microsoft.com/office/drawing/2014/main" id="{6C67716F-D272-44FA-A022-3F819EBAA812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2090" name="Line 42">
            <a:extLst>
              <a:ext uri="{FF2B5EF4-FFF2-40B4-BE49-F238E27FC236}">
                <a16:creationId xmlns:a16="http://schemas.microsoft.com/office/drawing/2014/main" id="{A38F93FA-0FD1-4456-A356-57554564E2F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21DB976F-3FF2-4471-B148-F5206EEB97D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304800</xdr:colOff>
      <xdr:row>20</xdr:row>
      <xdr:rowOff>190500</xdr:rowOff>
    </xdr:to>
    <xdr:sp macro="" textlink="">
      <xdr:nvSpPr>
        <xdr:cNvPr id="2092" name="Freeform 44">
          <a:extLst>
            <a:ext uri="{FF2B5EF4-FFF2-40B4-BE49-F238E27FC236}">
              <a16:creationId xmlns:a16="http://schemas.microsoft.com/office/drawing/2014/main" id="{0F68FFF2-E234-41C3-B6C4-FA04DF3F0EB7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19050</xdr:colOff>
      <xdr:row>21</xdr:row>
      <xdr:rowOff>28575</xdr:rowOff>
    </xdr:from>
    <xdr:to>
      <xdr:col>15</xdr:col>
      <xdr:colOff>295275</xdr:colOff>
      <xdr:row>21</xdr:row>
      <xdr:rowOff>200025</xdr:rowOff>
    </xdr:to>
    <xdr:grpSp>
      <xdr:nvGrpSpPr>
        <xdr:cNvPr id="2093" name="Group 45">
          <a:extLst>
            <a:ext uri="{FF2B5EF4-FFF2-40B4-BE49-F238E27FC236}">
              <a16:creationId xmlns:a16="http://schemas.microsoft.com/office/drawing/2014/main" id="{E252CD6D-88D5-485A-B447-60081B688262}"/>
            </a:ext>
          </a:extLst>
        </xdr:cNvPr>
        <xdr:cNvGrpSpPr>
          <a:grpSpLocks/>
        </xdr:cNvGrpSpPr>
      </xdr:nvGrpSpPr>
      <xdr:grpSpPr bwMode="auto">
        <a:xfrm>
          <a:off x="4352925" y="7867650"/>
          <a:ext cx="276225" cy="171450"/>
          <a:chOff x="226" y="755"/>
          <a:chExt cx="29" cy="18"/>
        </a:xfrm>
      </xdr:grpSpPr>
      <xdr:sp macro="" textlink="">
        <xdr:nvSpPr>
          <xdr:cNvPr id="2094" name="Oval 46">
            <a:extLst>
              <a:ext uri="{FF2B5EF4-FFF2-40B4-BE49-F238E27FC236}">
                <a16:creationId xmlns:a16="http://schemas.microsoft.com/office/drawing/2014/main" id="{CEC8A193-09E9-49C9-8A07-17D8E9D8914F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5" name="Line 47">
            <a:extLst>
              <a:ext uri="{FF2B5EF4-FFF2-40B4-BE49-F238E27FC236}">
                <a16:creationId xmlns:a16="http://schemas.microsoft.com/office/drawing/2014/main" id="{D0127DEB-05E1-430D-A9E2-2CA05465FDE8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6" name="Freeform 48">
            <a:extLst>
              <a:ext uri="{FF2B5EF4-FFF2-40B4-BE49-F238E27FC236}">
                <a16:creationId xmlns:a16="http://schemas.microsoft.com/office/drawing/2014/main" id="{7A55ADDD-D310-4676-8B45-31AEBBDD0F44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133350</xdr:rowOff>
    </xdr:from>
    <xdr:to>
      <xdr:col>14</xdr:col>
      <xdr:colOff>0</xdr:colOff>
      <xdr:row>20</xdr:row>
      <xdr:rowOff>133350</xdr:rowOff>
    </xdr:to>
    <xdr:sp macro="" textlink="">
      <xdr:nvSpPr>
        <xdr:cNvPr id="2097" name="Line 49">
          <a:extLst>
            <a:ext uri="{FF2B5EF4-FFF2-40B4-BE49-F238E27FC236}">
              <a16:creationId xmlns:a16="http://schemas.microsoft.com/office/drawing/2014/main" id="{882F0488-7DD2-499B-9315-68062FE813AA}"/>
            </a:ext>
          </a:extLst>
        </xdr:cNvPr>
        <xdr:cNvSpPr>
          <a:spLocks noChangeShapeType="1"/>
        </xdr:cNvSpPr>
      </xdr:nvSpPr>
      <xdr:spPr bwMode="auto">
        <a:xfrm>
          <a:off x="3076575" y="774382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47625</xdr:rowOff>
    </xdr:from>
    <xdr:to>
      <xdr:col>12</xdr:col>
      <xdr:colOff>266700</xdr:colOff>
      <xdr:row>19</xdr:row>
      <xdr:rowOff>200025</xdr:rowOff>
    </xdr:to>
    <xdr:grpSp>
      <xdr:nvGrpSpPr>
        <xdr:cNvPr id="2098" name="Group 50">
          <a:extLst>
            <a:ext uri="{FF2B5EF4-FFF2-40B4-BE49-F238E27FC236}">
              <a16:creationId xmlns:a16="http://schemas.microsoft.com/office/drawing/2014/main" id="{9DF35523-9D7C-4F15-A267-1923E5B7D351}"/>
            </a:ext>
          </a:extLst>
        </xdr:cNvPr>
        <xdr:cNvGrpSpPr>
          <a:grpSpLocks/>
        </xdr:cNvGrpSpPr>
      </xdr:nvGrpSpPr>
      <xdr:grpSpPr bwMode="auto">
        <a:xfrm>
          <a:off x="3438525" y="7429500"/>
          <a:ext cx="219075" cy="152400"/>
          <a:chOff x="132" y="708"/>
          <a:chExt cx="20" cy="14"/>
        </a:xfrm>
      </xdr:grpSpPr>
      <xdr:sp macro="" textlink="">
        <xdr:nvSpPr>
          <xdr:cNvPr id="2099" name="Line 51">
            <a:extLst>
              <a:ext uri="{FF2B5EF4-FFF2-40B4-BE49-F238E27FC236}">
                <a16:creationId xmlns:a16="http://schemas.microsoft.com/office/drawing/2014/main" id="{11D46709-DFE5-45C7-BD47-B613080BC8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0" name="Line 52">
            <a:extLst>
              <a:ext uri="{FF2B5EF4-FFF2-40B4-BE49-F238E27FC236}">
                <a16:creationId xmlns:a16="http://schemas.microsoft.com/office/drawing/2014/main" id="{9C184395-CB32-4E3E-AF51-335FBD20A3B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1" name="Line 53">
            <a:extLst>
              <a:ext uri="{FF2B5EF4-FFF2-40B4-BE49-F238E27FC236}">
                <a16:creationId xmlns:a16="http://schemas.microsoft.com/office/drawing/2014/main" id="{9CCB6283-F434-4890-8FB1-1908BCFB772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2" name="Line 54">
            <a:extLst>
              <a:ext uri="{FF2B5EF4-FFF2-40B4-BE49-F238E27FC236}">
                <a16:creationId xmlns:a16="http://schemas.microsoft.com/office/drawing/2014/main" id="{97082196-095A-4926-ABD0-E34CC95438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2103" name="Line 55">
          <a:extLst>
            <a:ext uri="{FF2B5EF4-FFF2-40B4-BE49-F238E27FC236}">
              <a16:creationId xmlns:a16="http://schemas.microsoft.com/office/drawing/2014/main" id="{90A393ED-11A0-412F-9D38-90ABF86F1043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9</xdr:row>
      <xdr:rowOff>104775</xdr:rowOff>
    </xdr:from>
    <xdr:to>
      <xdr:col>6</xdr:col>
      <xdr:colOff>200025</xdr:colOff>
      <xdr:row>13</xdr:row>
      <xdr:rowOff>28575</xdr:rowOff>
    </xdr:to>
    <xdr:sp macro="" textlink="">
      <xdr:nvSpPr>
        <xdr:cNvPr id="2105" name="Text Box 57">
          <a:extLst>
            <a:ext uri="{FF2B5EF4-FFF2-40B4-BE49-F238E27FC236}">
              <a16:creationId xmlns:a16="http://schemas.microsoft.com/office/drawing/2014/main" id="{16095D9F-D02C-47C8-995B-BAEFF50FCB6F}"/>
            </a:ext>
          </a:extLst>
        </xdr:cNvPr>
        <xdr:cNvSpPr txBox="1">
          <a:spLocks noChangeArrowheads="1"/>
        </xdr:cNvSpPr>
      </xdr:nvSpPr>
      <xdr:spPr bwMode="auto">
        <a:xfrm>
          <a:off x="76200" y="3848100"/>
          <a:ext cx="1628775" cy="838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Ｓ８０筐体</a:t>
          </a:r>
        </a:p>
      </xdr:txBody>
    </xdr:sp>
    <xdr:clientData/>
  </xdr:twoCellAnchor>
  <xdr:twoCellAnchor>
    <xdr:from>
      <xdr:col>4</xdr:col>
      <xdr:colOff>200025</xdr:colOff>
      <xdr:row>15</xdr:row>
      <xdr:rowOff>285750</xdr:rowOff>
    </xdr:from>
    <xdr:to>
      <xdr:col>6</xdr:col>
      <xdr:colOff>304800</xdr:colOff>
      <xdr:row>15</xdr:row>
      <xdr:rowOff>342900</xdr:rowOff>
    </xdr:to>
    <xdr:grpSp>
      <xdr:nvGrpSpPr>
        <xdr:cNvPr id="2107" name="Group 59">
          <a:extLst>
            <a:ext uri="{FF2B5EF4-FFF2-40B4-BE49-F238E27FC236}">
              <a16:creationId xmlns:a16="http://schemas.microsoft.com/office/drawing/2014/main" id="{3D01B03B-F36D-46D1-9DCE-312FA246D454}"/>
            </a:ext>
          </a:extLst>
        </xdr:cNvPr>
        <xdr:cNvGrpSpPr>
          <a:grpSpLocks/>
        </xdr:cNvGrpSpPr>
      </xdr:nvGrpSpPr>
      <xdr:grpSpPr bwMode="auto">
        <a:xfrm>
          <a:off x="1076325" y="5400675"/>
          <a:ext cx="733425" cy="57150"/>
          <a:chOff x="123" y="549"/>
          <a:chExt cx="77" cy="6"/>
        </a:xfrm>
      </xdr:grpSpPr>
      <xdr:sp macro="" textlink="">
        <xdr:nvSpPr>
          <xdr:cNvPr id="2108" name="Line 60">
            <a:extLst>
              <a:ext uri="{FF2B5EF4-FFF2-40B4-BE49-F238E27FC236}">
                <a16:creationId xmlns:a16="http://schemas.microsoft.com/office/drawing/2014/main" id="{54F11CD5-F68B-4469-9454-22A58F665E7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9" name="Freeform 61">
            <a:extLst>
              <a:ext uri="{FF2B5EF4-FFF2-40B4-BE49-F238E27FC236}">
                <a16:creationId xmlns:a16="http://schemas.microsoft.com/office/drawing/2014/main" id="{ADB58053-A303-4A69-A996-0DC709A3A16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0" name="Freeform 62">
            <a:extLst>
              <a:ext uri="{FF2B5EF4-FFF2-40B4-BE49-F238E27FC236}">
                <a16:creationId xmlns:a16="http://schemas.microsoft.com/office/drawing/2014/main" id="{3AE5372A-D064-48E8-B1A6-23BD68C6C85E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200025</xdr:colOff>
      <xdr:row>15</xdr:row>
      <xdr:rowOff>1209675</xdr:rowOff>
    </xdr:from>
    <xdr:to>
      <xdr:col>6</xdr:col>
      <xdr:colOff>304800</xdr:colOff>
      <xdr:row>15</xdr:row>
      <xdr:rowOff>1266825</xdr:rowOff>
    </xdr:to>
    <xdr:grpSp>
      <xdr:nvGrpSpPr>
        <xdr:cNvPr id="2111" name="Group 63">
          <a:extLst>
            <a:ext uri="{FF2B5EF4-FFF2-40B4-BE49-F238E27FC236}">
              <a16:creationId xmlns:a16="http://schemas.microsoft.com/office/drawing/2014/main" id="{6C3B523E-AB5A-4783-9EB9-933105AECB9E}"/>
            </a:ext>
          </a:extLst>
        </xdr:cNvPr>
        <xdr:cNvGrpSpPr>
          <a:grpSpLocks/>
        </xdr:cNvGrpSpPr>
      </xdr:nvGrpSpPr>
      <xdr:grpSpPr bwMode="auto">
        <a:xfrm>
          <a:off x="1076325" y="6324600"/>
          <a:ext cx="733425" cy="57150"/>
          <a:chOff x="123" y="549"/>
          <a:chExt cx="77" cy="6"/>
        </a:xfrm>
      </xdr:grpSpPr>
      <xdr:sp macro="" textlink="">
        <xdr:nvSpPr>
          <xdr:cNvPr id="2112" name="Line 64">
            <a:extLst>
              <a:ext uri="{FF2B5EF4-FFF2-40B4-BE49-F238E27FC236}">
                <a16:creationId xmlns:a16="http://schemas.microsoft.com/office/drawing/2014/main" id="{34B2716B-6BD3-4831-92A8-C476663B838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3" name="Freeform 65">
            <a:extLst>
              <a:ext uri="{FF2B5EF4-FFF2-40B4-BE49-F238E27FC236}">
                <a16:creationId xmlns:a16="http://schemas.microsoft.com/office/drawing/2014/main" id="{483262ED-AB62-4763-92DD-6759930753B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4" name="Freeform 66">
            <a:extLst>
              <a:ext uri="{FF2B5EF4-FFF2-40B4-BE49-F238E27FC236}">
                <a16:creationId xmlns:a16="http://schemas.microsoft.com/office/drawing/2014/main" id="{DBD03833-CC30-4225-B812-6620F09D906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76200</xdr:colOff>
      <xdr:row>15</xdr:row>
      <xdr:rowOff>457200</xdr:rowOff>
    </xdr:from>
    <xdr:to>
      <xdr:col>7</xdr:col>
      <xdr:colOff>133350</xdr:colOff>
      <xdr:row>15</xdr:row>
      <xdr:rowOff>762000</xdr:rowOff>
    </xdr:to>
    <xdr:grpSp>
      <xdr:nvGrpSpPr>
        <xdr:cNvPr id="2115" name="Group 67">
          <a:extLst>
            <a:ext uri="{FF2B5EF4-FFF2-40B4-BE49-F238E27FC236}">
              <a16:creationId xmlns:a16="http://schemas.microsoft.com/office/drawing/2014/main" id="{78170A22-6D1F-4B07-B598-8A4FD5A4DCED}"/>
            </a:ext>
          </a:extLst>
        </xdr:cNvPr>
        <xdr:cNvGrpSpPr>
          <a:grpSpLocks/>
        </xdr:cNvGrpSpPr>
      </xdr:nvGrpSpPr>
      <xdr:grpSpPr bwMode="auto">
        <a:xfrm>
          <a:off x="952500" y="5572125"/>
          <a:ext cx="1000125" cy="304800"/>
          <a:chOff x="110" y="567"/>
          <a:chExt cx="105" cy="32"/>
        </a:xfrm>
      </xdr:grpSpPr>
      <xdr:sp macro="" textlink="">
        <xdr:nvSpPr>
          <xdr:cNvPr id="2116" name="Line 68">
            <a:extLst>
              <a:ext uri="{FF2B5EF4-FFF2-40B4-BE49-F238E27FC236}">
                <a16:creationId xmlns:a16="http://schemas.microsoft.com/office/drawing/2014/main" id="{0396FD5C-C170-42C2-A047-AC9A6DD3C78F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7" name="Freeform 69">
            <a:extLst>
              <a:ext uri="{FF2B5EF4-FFF2-40B4-BE49-F238E27FC236}">
                <a16:creationId xmlns:a16="http://schemas.microsoft.com/office/drawing/2014/main" id="{AD413417-6E24-4555-94C8-26492B012FF3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8" name="Freeform 70">
            <a:extLst>
              <a:ext uri="{FF2B5EF4-FFF2-40B4-BE49-F238E27FC236}">
                <a16:creationId xmlns:a16="http://schemas.microsoft.com/office/drawing/2014/main" id="{2FE53AA5-4220-4CAD-89DB-8B9CD9915109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9" name="Line 71">
            <a:extLst>
              <a:ext uri="{FF2B5EF4-FFF2-40B4-BE49-F238E27FC236}">
                <a16:creationId xmlns:a16="http://schemas.microsoft.com/office/drawing/2014/main" id="{2F7FE06C-9771-4288-A6B3-B55C9AF7B675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0" name="Freeform 72">
            <a:extLst>
              <a:ext uri="{FF2B5EF4-FFF2-40B4-BE49-F238E27FC236}">
                <a16:creationId xmlns:a16="http://schemas.microsoft.com/office/drawing/2014/main" id="{EFBF4991-BED2-4E06-9231-862B8F81DB46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1" name="Freeform 73">
            <a:extLst>
              <a:ext uri="{FF2B5EF4-FFF2-40B4-BE49-F238E27FC236}">
                <a16:creationId xmlns:a16="http://schemas.microsoft.com/office/drawing/2014/main" id="{293BFC78-18CC-446D-B123-A0F780A21574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2" name="Line 74">
            <a:extLst>
              <a:ext uri="{FF2B5EF4-FFF2-40B4-BE49-F238E27FC236}">
                <a16:creationId xmlns:a16="http://schemas.microsoft.com/office/drawing/2014/main" id="{76AC995C-9D3C-496A-9163-D93051C65E66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3" name="Freeform 75">
            <a:extLst>
              <a:ext uri="{FF2B5EF4-FFF2-40B4-BE49-F238E27FC236}">
                <a16:creationId xmlns:a16="http://schemas.microsoft.com/office/drawing/2014/main" id="{3C4A3452-496C-4E2D-8499-7A6808A0EC9E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15</xdr:row>
      <xdr:rowOff>819150</xdr:rowOff>
    </xdr:from>
    <xdr:to>
      <xdr:col>7</xdr:col>
      <xdr:colOff>133350</xdr:colOff>
      <xdr:row>15</xdr:row>
      <xdr:rowOff>1123950</xdr:rowOff>
    </xdr:to>
    <xdr:grpSp>
      <xdr:nvGrpSpPr>
        <xdr:cNvPr id="2124" name="Group 76">
          <a:extLst>
            <a:ext uri="{FF2B5EF4-FFF2-40B4-BE49-F238E27FC236}">
              <a16:creationId xmlns:a16="http://schemas.microsoft.com/office/drawing/2014/main" id="{0EF357BB-FB03-4693-8097-FD6F2B2F27EA}"/>
            </a:ext>
          </a:extLst>
        </xdr:cNvPr>
        <xdr:cNvGrpSpPr>
          <a:grpSpLocks/>
        </xdr:cNvGrpSpPr>
      </xdr:nvGrpSpPr>
      <xdr:grpSpPr bwMode="auto">
        <a:xfrm>
          <a:off x="942975" y="5934075"/>
          <a:ext cx="1009650" cy="304800"/>
          <a:chOff x="105" y="627"/>
          <a:chExt cx="106" cy="32"/>
        </a:xfrm>
      </xdr:grpSpPr>
      <xdr:sp macro="" textlink="">
        <xdr:nvSpPr>
          <xdr:cNvPr id="2125" name="Line 77">
            <a:extLst>
              <a:ext uri="{FF2B5EF4-FFF2-40B4-BE49-F238E27FC236}">
                <a16:creationId xmlns:a16="http://schemas.microsoft.com/office/drawing/2014/main" id="{20564AC4-F021-4CD9-BC7A-9841C08F68F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6" name="Freeform 78">
            <a:extLst>
              <a:ext uri="{FF2B5EF4-FFF2-40B4-BE49-F238E27FC236}">
                <a16:creationId xmlns:a16="http://schemas.microsoft.com/office/drawing/2014/main" id="{DF38F28E-329D-4487-B343-5C59D6FD9765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7" name="Freeform 79">
            <a:extLst>
              <a:ext uri="{FF2B5EF4-FFF2-40B4-BE49-F238E27FC236}">
                <a16:creationId xmlns:a16="http://schemas.microsoft.com/office/drawing/2014/main" id="{211DFB77-2A2F-470D-8A96-DA356A4C7782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8" name="Line 80">
            <a:extLst>
              <a:ext uri="{FF2B5EF4-FFF2-40B4-BE49-F238E27FC236}">
                <a16:creationId xmlns:a16="http://schemas.microsoft.com/office/drawing/2014/main" id="{57A77C31-6B9A-48B6-AACF-BED74C4D6B2C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9" name="Freeform 81">
            <a:extLst>
              <a:ext uri="{FF2B5EF4-FFF2-40B4-BE49-F238E27FC236}">
                <a16:creationId xmlns:a16="http://schemas.microsoft.com/office/drawing/2014/main" id="{6BE53C18-3AB4-4F2B-B289-860375A1D939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0" name="Freeform 82">
            <a:extLst>
              <a:ext uri="{FF2B5EF4-FFF2-40B4-BE49-F238E27FC236}">
                <a16:creationId xmlns:a16="http://schemas.microsoft.com/office/drawing/2014/main" id="{6CE2D171-B996-4AD1-9D42-4F95DB4C401C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1" name="Line 83">
            <a:extLst>
              <a:ext uri="{FF2B5EF4-FFF2-40B4-BE49-F238E27FC236}">
                <a16:creationId xmlns:a16="http://schemas.microsoft.com/office/drawing/2014/main" id="{AED85D8E-07CC-436B-8310-A2244601923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2" name="Freeform 84">
            <a:extLst>
              <a:ext uri="{FF2B5EF4-FFF2-40B4-BE49-F238E27FC236}">
                <a16:creationId xmlns:a16="http://schemas.microsoft.com/office/drawing/2014/main" id="{1A385BBB-6F44-41A9-9E22-1E044671B3A9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295275</xdr:colOff>
      <xdr:row>15</xdr:row>
      <xdr:rowOff>266700</xdr:rowOff>
    </xdr:from>
    <xdr:to>
      <xdr:col>12</xdr:col>
      <xdr:colOff>285750</xdr:colOff>
      <xdr:row>15</xdr:row>
      <xdr:rowOff>1266825</xdr:rowOff>
    </xdr:to>
    <xdr:grpSp>
      <xdr:nvGrpSpPr>
        <xdr:cNvPr id="2133" name="Group 85">
          <a:extLst>
            <a:ext uri="{FF2B5EF4-FFF2-40B4-BE49-F238E27FC236}">
              <a16:creationId xmlns:a16="http://schemas.microsoft.com/office/drawing/2014/main" id="{B17E8DA0-BC83-4C2B-8A87-20594C69F011}"/>
            </a:ext>
          </a:extLst>
        </xdr:cNvPr>
        <xdr:cNvGrpSpPr>
          <a:grpSpLocks/>
        </xdr:cNvGrpSpPr>
      </xdr:nvGrpSpPr>
      <xdr:grpSpPr bwMode="auto">
        <a:xfrm>
          <a:off x="3371850" y="5381625"/>
          <a:ext cx="304800" cy="1000125"/>
          <a:chOff x="322" y="565"/>
          <a:chExt cx="32" cy="105"/>
        </a:xfrm>
      </xdr:grpSpPr>
      <xdr:sp macro="" textlink="">
        <xdr:nvSpPr>
          <xdr:cNvPr id="2134" name="Line 86">
            <a:extLst>
              <a:ext uri="{FF2B5EF4-FFF2-40B4-BE49-F238E27FC236}">
                <a16:creationId xmlns:a16="http://schemas.microsoft.com/office/drawing/2014/main" id="{EB378845-6911-4AF3-9643-970B440BC16C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86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5" name="Freeform 87">
            <a:extLst>
              <a:ext uri="{FF2B5EF4-FFF2-40B4-BE49-F238E27FC236}">
                <a16:creationId xmlns:a16="http://schemas.microsoft.com/office/drawing/2014/main" id="{EA9C65C2-378A-492D-9C1D-52F011587522}"/>
              </a:ext>
            </a:extLst>
          </xdr:cNvPr>
          <xdr:cNvSpPr>
            <a:spLocks/>
          </xdr:cNvSpPr>
        </xdr:nvSpPr>
        <xdr:spPr bwMode="auto">
          <a:xfrm rot="-5400000">
            <a:off x="334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6" name="Freeform 88">
            <a:extLst>
              <a:ext uri="{FF2B5EF4-FFF2-40B4-BE49-F238E27FC236}">
                <a16:creationId xmlns:a16="http://schemas.microsoft.com/office/drawing/2014/main" id="{9DD02837-CA51-4DC1-B483-1466BD867C42}"/>
              </a:ext>
            </a:extLst>
          </xdr:cNvPr>
          <xdr:cNvSpPr>
            <a:spLocks/>
          </xdr:cNvSpPr>
        </xdr:nvSpPr>
        <xdr:spPr bwMode="auto">
          <a:xfrm rot="-5400000">
            <a:off x="330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7" name="Line 89">
            <a:extLst>
              <a:ext uri="{FF2B5EF4-FFF2-40B4-BE49-F238E27FC236}">
                <a16:creationId xmlns:a16="http://schemas.microsoft.com/office/drawing/2014/main" id="{794BF0C9-73F0-4DD9-9CEF-6A36EAB59757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26" y="63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8" name="Freeform 90">
            <a:extLst>
              <a:ext uri="{FF2B5EF4-FFF2-40B4-BE49-F238E27FC236}">
                <a16:creationId xmlns:a16="http://schemas.microsoft.com/office/drawing/2014/main" id="{0886C9BA-E464-471A-B9A0-FD2BFAEC8A69}"/>
              </a:ext>
            </a:extLst>
          </xdr:cNvPr>
          <xdr:cNvSpPr>
            <a:spLocks/>
          </xdr:cNvSpPr>
        </xdr:nvSpPr>
        <xdr:spPr bwMode="auto">
          <a:xfrm rot="-5400000">
            <a:off x="322" y="634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9" name="Freeform 91">
            <a:extLst>
              <a:ext uri="{FF2B5EF4-FFF2-40B4-BE49-F238E27FC236}">
                <a16:creationId xmlns:a16="http://schemas.microsoft.com/office/drawing/2014/main" id="{08E28C5B-34B2-44D3-B8AE-8508909E576D}"/>
              </a:ext>
            </a:extLst>
          </xdr:cNvPr>
          <xdr:cNvSpPr>
            <a:spLocks/>
          </xdr:cNvSpPr>
        </xdr:nvSpPr>
        <xdr:spPr bwMode="auto">
          <a:xfrm rot="-5400000">
            <a:off x="338" y="627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40" name="Line 92">
            <a:extLst>
              <a:ext uri="{FF2B5EF4-FFF2-40B4-BE49-F238E27FC236}">
                <a16:creationId xmlns:a16="http://schemas.microsoft.com/office/drawing/2014/main" id="{55338E3D-0A3B-4A1E-87FF-75D43B6D26B9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49" y="62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1" name="Freeform 93">
            <a:extLst>
              <a:ext uri="{FF2B5EF4-FFF2-40B4-BE49-F238E27FC236}">
                <a16:creationId xmlns:a16="http://schemas.microsoft.com/office/drawing/2014/main" id="{C8E97E8D-AB84-45DD-B864-44D61418EB4E}"/>
              </a:ext>
            </a:extLst>
          </xdr:cNvPr>
          <xdr:cNvSpPr>
            <a:spLocks/>
          </xdr:cNvSpPr>
        </xdr:nvSpPr>
        <xdr:spPr bwMode="auto">
          <a:xfrm rot="-5400000">
            <a:off x="347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114300</xdr:colOff>
      <xdr:row>15</xdr:row>
      <xdr:rowOff>381000</xdr:rowOff>
    </xdr:from>
    <xdr:to>
      <xdr:col>14</xdr:col>
      <xdr:colOff>171450</xdr:colOff>
      <xdr:row>15</xdr:row>
      <xdr:rowOff>1114425</xdr:rowOff>
    </xdr:to>
    <xdr:grpSp>
      <xdr:nvGrpSpPr>
        <xdr:cNvPr id="2142" name="Group 94">
          <a:extLst>
            <a:ext uri="{FF2B5EF4-FFF2-40B4-BE49-F238E27FC236}">
              <a16:creationId xmlns:a16="http://schemas.microsoft.com/office/drawing/2014/main" id="{2FF381FA-C0BC-4026-817D-C08FE001853B}"/>
            </a:ext>
          </a:extLst>
        </xdr:cNvPr>
        <xdr:cNvGrpSpPr>
          <a:grpSpLocks/>
        </xdr:cNvGrpSpPr>
      </xdr:nvGrpSpPr>
      <xdr:grpSpPr bwMode="auto">
        <a:xfrm rot="5400000">
          <a:off x="3795712" y="5834063"/>
          <a:ext cx="733425" cy="57150"/>
          <a:chOff x="123" y="549"/>
          <a:chExt cx="77" cy="6"/>
        </a:xfrm>
      </xdr:grpSpPr>
      <xdr:sp macro="" textlink="">
        <xdr:nvSpPr>
          <xdr:cNvPr id="2143" name="Line 95">
            <a:extLst>
              <a:ext uri="{FF2B5EF4-FFF2-40B4-BE49-F238E27FC236}">
                <a16:creationId xmlns:a16="http://schemas.microsoft.com/office/drawing/2014/main" id="{18FD07AF-360C-409F-8C46-A5D5E8A67DE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4" name="Freeform 96">
            <a:extLst>
              <a:ext uri="{FF2B5EF4-FFF2-40B4-BE49-F238E27FC236}">
                <a16:creationId xmlns:a16="http://schemas.microsoft.com/office/drawing/2014/main" id="{13FC97D6-CD14-4712-A08E-8D1DBE4D7AF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45" name="Freeform 97">
            <a:extLst>
              <a:ext uri="{FF2B5EF4-FFF2-40B4-BE49-F238E27FC236}">
                <a16:creationId xmlns:a16="http://schemas.microsoft.com/office/drawing/2014/main" id="{10491937-12BE-490C-BD7B-271D9887C30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19050</xdr:colOff>
      <xdr:row>15</xdr:row>
      <xdr:rowOff>276225</xdr:rowOff>
    </xdr:from>
    <xdr:to>
      <xdr:col>14</xdr:col>
      <xdr:colOff>9525</xdr:colOff>
      <xdr:row>15</xdr:row>
      <xdr:rowOff>1276350</xdr:rowOff>
    </xdr:to>
    <xdr:grpSp>
      <xdr:nvGrpSpPr>
        <xdr:cNvPr id="2146" name="Group 98">
          <a:extLst>
            <a:ext uri="{FF2B5EF4-FFF2-40B4-BE49-F238E27FC236}">
              <a16:creationId xmlns:a16="http://schemas.microsoft.com/office/drawing/2014/main" id="{1F522304-BB07-424E-8800-1119A3FD3E59}"/>
            </a:ext>
          </a:extLst>
        </xdr:cNvPr>
        <xdr:cNvGrpSpPr>
          <a:grpSpLocks/>
        </xdr:cNvGrpSpPr>
      </xdr:nvGrpSpPr>
      <xdr:grpSpPr bwMode="auto">
        <a:xfrm rot="5400000">
          <a:off x="3376612" y="5738813"/>
          <a:ext cx="1000125" cy="304800"/>
          <a:chOff x="110" y="567"/>
          <a:chExt cx="105" cy="32"/>
        </a:xfrm>
      </xdr:grpSpPr>
      <xdr:sp macro="" textlink="">
        <xdr:nvSpPr>
          <xdr:cNvPr id="2147" name="Line 99">
            <a:extLst>
              <a:ext uri="{FF2B5EF4-FFF2-40B4-BE49-F238E27FC236}">
                <a16:creationId xmlns:a16="http://schemas.microsoft.com/office/drawing/2014/main" id="{F0D49937-75D2-47AF-B53D-D7EA6338ACA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8" name="Freeform 100">
            <a:extLst>
              <a:ext uri="{FF2B5EF4-FFF2-40B4-BE49-F238E27FC236}">
                <a16:creationId xmlns:a16="http://schemas.microsoft.com/office/drawing/2014/main" id="{A568741A-14F7-435C-A8F5-6FB9E65976F3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49" name="Freeform 101">
            <a:extLst>
              <a:ext uri="{FF2B5EF4-FFF2-40B4-BE49-F238E27FC236}">
                <a16:creationId xmlns:a16="http://schemas.microsoft.com/office/drawing/2014/main" id="{59702FA5-F794-47AA-8A1D-D472BABADCDC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0" name="Line 102">
            <a:extLst>
              <a:ext uri="{FF2B5EF4-FFF2-40B4-BE49-F238E27FC236}">
                <a16:creationId xmlns:a16="http://schemas.microsoft.com/office/drawing/2014/main" id="{AFC5626D-C79A-4CBE-83CA-F77E67A8FE59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1" name="Freeform 103">
            <a:extLst>
              <a:ext uri="{FF2B5EF4-FFF2-40B4-BE49-F238E27FC236}">
                <a16:creationId xmlns:a16="http://schemas.microsoft.com/office/drawing/2014/main" id="{330028FC-9458-4CCD-8ABE-8EED13513263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2" name="Freeform 104">
            <a:extLst>
              <a:ext uri="{FF2B5EF4-FFF2-40B4-BE49-F238E27FC236}">
                <a16:creationId xmlns:a16="http://schemas.microsoft.com/office/drawing/2014/main" id="{5B2F71F6-AA66-4847-8E89-2355C4603265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3" name="Line 105">
            <a:extLst>
              <a:ext uri="{FF2B5EF4-FFF2-40B4-BE49-F238E27FC236}">
                <a16:creationId xmlns:a16="http://schemas.microsoft.com/office/drawing/2014/main" id="{3844B523-C0F9-4672-A28D-F60FD8F7B01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4" name="Freeform 106">
            <a:extLst>
              <a:ext uri="{FF2B5EF4-FFF2-40B4-BE49-F238E27FC236}">
                <a16:creationId xmlns:a16="http://schemas.microsoft.com/office/drawing/2014/main" id="{D2279FE6-13F5-4BAD-8E07-1442E80681E4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266700</xdr:colOff>
      <xdr:row>15</xdr:row>
      <xdr:rowOff>1152525</xdr:rowOff>
    </xdr:from>
    <xdr:to>
      <xdr:col>14</xdr:col>
      <xdr:colOff>304800</xdr:colOff>
      <xdr:row>15</xdr:row>
      <xdr:rowOff>1314450</xdr:rowOff>
    </xdr:to>
    <xdr:sp macro="" textlink="">
      <xdr:nvSpPr>
        <xdr:cNvPr id="2155" name="Text Box 107">
          <a:extLst>
            <a:ext uri="{FF2B5EF4-FFF2-40B4-BE49-F238E27FC236}">
              <a16:creationId xmlns:a16="http://schemas.microsoft.com/office/drawing/2014/main" id="{B27DE9A6-02F1-4D9D-9213-1EEE3E5DCEB9}"/>
            </a:ext>
          </a:extLst>
        </xdr:cNvPr>
        <xdr:cNvSpPr txBox="1">
          <a:spLocks noChangeArrowheads="1"/>
        </xdr:cNvSpPr>
      </xdr:nvSpPr>
      <xdr:spPr bwMode="auto">
        <a:xfrm>
          <a:off x="3971925" y="62674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18.6m</a:t>
          </a:r>
        </a:p>
      </xdr:txBody>
    </xdr:sp>
    <xdr:clientData/>
  </xdr:twoCellAnchor>
  <xdr:twoCellAnchor>
    <xdr:from>
      <xdr:col>5</xdr:col>
      <xdr:colOff>104775</xdr:colOff>
      <xdr:row>15</xdr:row>
      <xdr:rowOff>1276350</xdr:rowOff>
    </xdr:from>
    <xdr:to>
      <xdr:col>6</xdr:col>
      <xdr:colOff>142875</xdr:colOff>
      <xdr:row>15</xdr:row>
      <xdr:rowOff>1438275</xdr:rowOff>
    </xdr:to>
    <xdr:sp macro="" textlink="">
      <xdr:nvSpPr>
        <xdr:cNvPr id="2156" name="Text Box 108">
          <a:extLst>
            <a:ext uri="{FF2B5EF4-FFF2-40B4-BE49-F238E27FC236}">
              <a16:creationId xmlns:a16="http://schemas.microsoft.com/office/drawing/2014/main" id="{FE321014-6DF7-4868-BB61-03BB03736433}"/>
            </a:ext>
          </a:extLst>
        </xdr:cNvPr>
        <xdr:cNvSpPr txBox="1">
          <a:spLocks noChangeArrowheads="1"/>
        </xdr:cNvSpPr>
      </xdr:nvSpPr>
      <xdr:spPr bwMode="auto">
        <a:xfrm>
          <a:off x="1295400" y="6391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13.5m</a:t>
          </a:r>
        </a:p>
      </xdr:txBody>
    </xdr:sp>
    <xdr:clientData/>
  </xdr:twoCellAnchor>
  <xdr:twoCellAnchor>
    <xdr:from>
      <xdr:col>7</xdr:col>
      <xdr:colOff>28575</xdr:colOff>
      <xdr:row>15</xdr:row>
      <xdr:rowOff>257175</xdr:rowOff>
    </xdr:from>
    <xdr:to>
      <xdr:col>8</xdr:col>
      <xdr:colOff>66675</xdr:colOff>
      <xdr:row>15</xdr:row>
      <xdr:rowOff>419100</xdr:rowOff>
    </xdr:to>
    <xdr:sp macro="" textlink="">
      <xdr:nvSpPr>
        <xdr:cNvPr id="2157" name="Text Box 109">
          <a:extLst>
            <a:ext uri="{FF2B5EF4-FFF2-40B4-BE49-F238E27FC236}">
              <a16:creationId xmlns:a16="http://schemas.microsoft.com/office/drawing/2014/main" id="{B1475444-5257-47B5-B241-C2A1EC846829}"/>
            </a:ext>
          </a:extLst>
        </xdr:cNvPr>
        <xdr:cNvSpPr txBox="1">
          <a:spLocks noChangeArrowheads="1"/>
        </xdr:cNvSpPr>
      </xdr:nvSpPr>
      <xdr:spPr bwMode="auto">
        <a:xfrm>
          <a:off x="1847850" y="53721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38100</xdr:colOff>
      <xdr:row>15</xdr:row>
      <xdr:rowOff>1171575</xdr:rowOff>
    </xdr:from>
    <xdr:to>
      <xdr:col>8</xdr:col>
      <xdr:colOff>76200</xdr:colOff>
      <xdr:row>15</xdr:row>
      <xdr:rowOff>1333500</xdr:rowOff>
    </xdr:to>
    <xdr:sp macro="" textlink="">
      <xdr:nvSpPr>
        <xdr:cNvPr id="2158" name="Text Box 110">
          <a:extLst>
            <a:ext uri="{FF2B5EF4-FFF2-40B4-BE49-F238E27FC236}">
              <a16:creationId xmlns:a16="http://schemas.microsoft.com/office/drawing/2014/main" id="{9C3F1B9F-303F-4189-A489-6D4D1809F260}"/>
            </a:ext>
          </a:extLst>
        </xdr:cNvPr>
        <xdr:cNvSpPr txBox="1">
          <a:spLocks noChangeArrowheads="1"/>
        </xdr:cNvSpPr>
      </xdr:nvSpPr>
      <xdr:spPr bwMode="auto">
        <a:xfrm>
          <a:off x="185737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13</xdr:col>
      <xdr:colOff>304800</xdr:colOff>
      <xdr:row>15</xdr:row>
      <xdr:rowOff>209550</xdr:rowOff>
    </xdr:from>
    <xdr:to>
      <xdr:col>15</xdr:col>
      <xdr:colOff>28575</xdr:colOff>
      <xdr:row>15</xdr:row>
      <xdr:rowOff>371475</xdr:rowOff>
    </xdr:to>
    <xdr:sp macro="" textlink="">
      <xdr:nvSpPr>
        <xdr:cNvPr id="2159" name="Text Box 111">
          <a:extLst>
            <a:ext uri="{FF2B5EF4-FFF2-40B4-BE49-F238E27FC236}">
              <a16:creationId xmlns:a16="http://schemas.microsoft.com/office/drawing/2014/main" id="{4E396489-D19E-4D52-8B4A-2367E5314C43}"/>
            </a:ext>
          </a:extLst>
        </xdr:cNvPr>
        <xdr:cNvSpPr txBox="1">
          <a:spLocks noChangeArrowheads="1"/>
        </xdr:cNvSpPr>
      </xdr:nvSpPr>
      <xdr:spPr bwMode="auto">
        <a:xfrm>
          <a:off x="4010025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21</xdr:col>
      <xdr:colOff>66675</xdr:colOff>
      <xdr:row>15</xdr:row>
      <xdr:rowOff>438150</xdr:rowOff>
    </xdr:from>
    <xdr:to>
      <xdr:col>23</xdr:col>
      <xdr:colOff>133350</xdr:colOff>
      <xdr:row>15</xdr:row>
      <xdr:rowOff>1133475</xdr:rowOff>
    </xdr:to>
    <xdr:pic>
      <xdr:nvPicPr>
        <xdr:cNvPr id="2160" name="Picture 112">
          <a:extLst>
            <a:ext uri="{FF2B5EF4-FFF2-40B4-BE49-F238E27FC236}">
              <a16:creationId xmlns:a16="http://schemas.microsoft.com/office/drawing/2014/main" id="{47D9D288-FF91-4AE2-B04E-348A417F3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55530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285750</xdr:colOff>
      <xdr:row>7</xdr:row>
      <xdr:rowOff>9525</xdr:rowOff>
    </xdr:from>
    <xdr:to>
      <xdr:col>14</xdr:col>
      <xdr:colOff>0</xdr:colOff>
      <xdr:row>10</xdr:row>
      <xdr:rowOff>38100</xdr:rowOff>
    </xdr:to>
    <xdr:sp macro="" textlink="">
      <xdr:nvSpPr>
        <xdr:cNvPr id="2165" name="Line 117">
          <a:extLst>
            <a:ext uri="{FF2B5EF4-FFF2-40B4-BE49-F238E27FC236}">
              <a16:creationId xmlns:a16="http://schemas.microsoft.com/office/drawing/2014/main" id="{A2BFF63C-0C2D-4C31-8A74-BB28524BB35B}"/>
            </a:ext>
          </a:extLst>
        </xdr:cNvPr>
        <xdr:cNvSpPr>
          <a:spLocks noChangeShapeType="1"/>
        </xdr:cNvSpPr>
      </xdr:nvSpPr>
      <xdr:spPr bwMode="auto">
        <a:xfrm flipV="1">
          <a:off x="2733675" y="1647825"/>
          <a:ext cx="1285875" cy="23622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7</xdr:row>
      <xdr:rowOff>1171575</xdr:rowOff>
    </xdr:from>
    <xdr:to>
      <xdr:col>16</xdr:col>
      <xdr:colOff>47625</xdr:colOff>
      <xdr:row>7</xdr:row>
      <xdr:rowOff>1181100</xdr:rowOff>
    </xdr:to>
    <xdr:sp macro="" textlink="">
      <xdr:nvSpPr>
        <xdr:cNvPr id="2166" name="Line 118">
          <a:extLst>
            <a:ext uri="{FF2B5EF4-FFF2-40B4-BE49-F238E27FC236}">
              <a16:creationId xmlns:a16="http://schemas.microsoft.com/office/drawing/2014/main" id="{1939105C-8C09-4F61-9784-BC0EF5D9F305}"/>
            </a:ext>
          </a:extLst>
        </xdr:cNvPr>
        <xdr:cNvSpPr>
          <a:spLocks noChangeShapeType="1"/>
        </xdr:cNvSpPr>
      </xdr:nvSpPr>
      <xdr:spPr bwMode="auto">
        <a:xfrm flipV="1">
          <a:off x="2047875" y="2809875"/>
          <a:ext cx="2647950" cy="95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47625</xdr:colOff>
      <xdr:row>7</xdr:row>
      <xdr:rowOff>885825</xdr:rowOff>
    </xdr:from>
    <xdr:to>
      <xdr:col>9</xdr:col>
      <xdr:colOff>238125</xdr:colOff>
      <xdr:row>7</xdr:row>
      <xdr:rowOff>1076325</xdr:rowOff>
    </xdr:to>
    <xdr:sp macro="" textlink="">
      <xdr:nvSpPr>
        <xdr:cNvPr id="2168" name="Rectangle 120">
          <a:extLst>
            <a:ext uri="{FF2B5EF4-FFF2-40B4-BE49-F238E27FC236}">
              <a16:creationId xmlns:a16="http://schemas.microsoft.com/office/drawing/2014/main" id="{25CAE54C-8469-4146-96FA-768BACC0986E}"/>
            </a:ext>
          </a:extLst>
        </xdr:cNvPr>
        <xdr:cNvSpPr>
          <a:spLocks noChangeArrowheads="1"/>
        </xdr:cNvSpPr>
      </xdr:nvSpPr>
      <xdr:spPr bwMode="auto">
        <a:xfrm>
          <a:off x="2181225" y="2524125"/>
          <a:ext cx="5048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51.9m</a:t>
          </a:r>
        </a:p>
      </xdr:txBody>
    </xdr:sp>
    <xdr:clientData/>
  </xdr:twoCellAnchor>
  <xdr:twoCellAnchor>
    <xdr:from>
      <xdr:col>12</xdr:col>
      <xdr:colOff>295275</xdr:colOff>
      <xdr:row>7</xdr:row>
      <xdr:rowOff>590550</xdr:rowOff>
    </xdr:from>
    <xdr:to>
      <xdr:col>14</xdr:col>
      <xdr:colOff>171450</xdr:colOff>
      <xdr:row>7</xdr:row>
      <xdr:rowOff>781050</xdr:rowOff>
    </xdr:to>
    <xdr:sp macro="" textlink="">
      <xdr:nvSpPr>
        <xdr:cNvPr id="2169" name="Rectangle 121">
          <a:extLst>
            <a:ext uri="{FF2B5EF4-FFF2-40B4-BE49-F238E27FC236}">
              <a16:creationId xmlns:a16="http://schemas.microsoft.com/office/drawing/2014/main" id="{1809035A-0F3F-4C71-BAED-71C66E2798BD}"/>
            </a:ext>
          </a:extLst>
        </xdr:cNvPr>
        <xdr:cNvSpPr>
          <a:spLocks noChangeArrowheads="1"/>
        </xdr:cNvSpPr>
      </xdr:nvSpPr>
      <xdr:spPr bwMode="auto">
        <a:xfrm>
          <a:off x="3686175" y="2228850"/>
          <a:ext cx="5048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50.7m</a:t>
          </a:r>
        </a:p>
      </xdr:txBody>
    </xdr:sp>
    <xdr:clientData/>
  </xdr:twoCellAnchor>
  <xdr:twoCellAnchor>
    <xdr:from>
      <xdr:col>19</xdr:col>
      <xdr:colOff>180975</xdr:colOff>
      <xdr:row>7</xdr:row>
      <xdr:rowOff>1123950</xdr:rowOff>
    </xdr:from>
    <xdr:to>
      <xdr:col>21</xdr:col>
      <xdr:colOff>19050</xdr:colOff>
      <xdr:row>7</xdr:row>
      <xdr:rowOff>1266825</xdr:rowOff>
    </xdr:to>
    <xdr:sp macro="" textlink="">
      <xdr:nvSpPr>
        <xdr:cNvPr id="2170" name="Rectangle 122">
          <a:extLst>
            <a:ext uri="{FF2B5EF4-FFF2-40B4-BE49-F238E27FC236}">
              <a16:creationId xmlns:a16="http://schemas.microsoft.com/office/drawing/2014/main" id="{EECB865C-87B3-49A4-A5B2-A94AA96DB4E3}"/>
            </a:ext>
          </a:extLst>
        </xdr:cNvPr>
        <xdr:cNvSpPr>
          <a:spLocks noChangeArrowheads="1"/>
        </xdr:cNvSpPr>
      </xdr:nvSpPr>
      <xdr:spPr bwMode="auto">
        <a:xfrm>
          <a:off x="5772150" y="2762250"/>
          <a:ext cx="4667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</a:t>
          </a:r>
        </a:p>
      </xdr:txBody>
    </xdr:sp>
    <xdr:clientData/>
  </xdr:twoCellAnchor>
  <xdr:twoCellAnchor>
    <xdr:from>
      <xdr:col>6</xdr:col>
      <xdr:colOff>9525</xdr:colOff>
      <xdr:row>7</xdr:row>
      <xdr:rowOff>1133475</xdr:rowOff>
    </xdr:from>
    <xdr:to>
      <xdr:col>7</xdr:col>
      <xdr:colOff>161925</xdr:colOff>
      <xdr:row>7</xdr:row>
      <xdr:rowOff>1276350</xdr:rowOff>
    </xdr:to>
    <xdr:sp macro="" textlink="">
      <xdr:nvSpPr>
        <xdr:cNvPr id="2171" name="Rectangle 123">
          <a:extLst>
            <a:ext uri="{FF2B5EF4-FFF2-40B4-BE49-F238E27FC236}">
              <a16:creationId xmlns:a16="http://schemas.microsoft.com/office/drawing/2014/main" id="{303FD1ED-636D-4371-B5E2-4489A37F676B}"/>
            </a:ext>
          </a:extLst>
        </xdr:cNvPr>
        <xdr:cNvSpPr>
          <a:spLocks noChangeArrowheads="1"/>
        </xdr:cNvSpPr>
      </xdr:nvSpPr>
      <xdr:spPr bwMode="auto">
        <a:xfrm>
          <a:off x="1514475" y="2771775"/>
          <a:ext cx="4667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</a:t>
          </a:r>
        </a:p>
      </xdr:txBody>
    </xdr:sp>
    <xdr:clientData/>
  </xdr:twoCellAnchor>
  <xdr:twoCellAnchor>
    <xdr:from>
      <xdr:col>8</xdr:col>
      <xdr:colOff>104775</xdr:colOff>
      <xdr:row>11</xdr:row>
      <xdr:rowOff>219075</xdr:rowOff>
    </xdr:from>
    <xdr:to>
      <xdr:col>9</xdr:col>
      <xdr:colOff>257175</xdr:colOff>
      <xdr:row>12</xdr:row>
      <xdr:rowOff>133350</xdr:rowOff>
    </xdr:to>
    <xdr:sp macro="" textlink="">
      <xdr:nvSpPr>
        <xdr:cNvPr id="2172" name="Rectangle 124">
          <a:extLst>
            <a:ext uri="{FF2B5EF4-FFF2-40B4-BE49-F238E27FC236}">
              <a16:creationId xmlns:a16="http://schemas.microsoft.com/office/drawing/2014/main" id="{25F9CDDA-76A8-4431-8E79-DD9115DA4690}"/>
            </a:ext>
          </a:extLst>
        </xdr:cNvPr>
        <xdr:cNvSpPr>
          <a:spLocks noChangeArrowheads="1"/>
        </xdr:cNvSpPr>
      </xdr:nvSpPr>
      <xdr:spPr bwMode="auto">
        <a:xfrm>
          <a:off x="2238375" y="4419600"/>
          <a:ext cx="4667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14</xdr:col>
      <xdr:colOff>152400</xdr:colOff>
      <xdr:row>3</xdr:row>
      <xdr:rowOff>161925</xdr:rowOff>
    </xdr:from>
    <xdr:to>
      <xdr:col>15</xdr:col>
      <xdr:colOff>304800</xdr:colOff>
      <xdr:row>4</xdr:row>
      <xdr:rowOff>76200</xdr:rowOff>
    </xdr:to>
    <xdr:sp macro="" textlink="">
      <xdr:nvSpPr>
        <xdr:cNvPr id="2173" name="Rectangle 125">
          <a:extLst>
            <a:ext uri="{FF2B5EF4-FFF2-40B4-BE49-F238E27FC236}">
              <a16:creationId xmlns:a16="http://schemas.microsoft.com/office/drawing/2014/main" id="{5C1C8AAB-2D3C-42C3-A3B2-0701CC1928A3}"/>
            </a:ext>
          </a:extLst>
        </xdr:cNvPr>
        <xdr:cNvSpPr>
          <a:spLocks noChangeArrowheads="1"/>
        </xdr:cNvSpPr>
      </xdr:nvSpPr>
      <xdr:spPr bwMode="auto">
        <a:xfrm>
          <a:off x="4171950" y="885825"/>
          <a:ext cx="4667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</a:t>
          </a:r>
        </a:p>
      </xdr:txBody>
    </xdr:sp>
    <xdr:clientData/>
  </xdr:twoCellAnchor>
  <xdr:twoCellAnchor>
    <xdr:from>
      <xdr:col>5</xdr:col>
      <xdr:colOff>104775</xdr:colOff>
      <xdr:row>15</xdr:row>
      <xdr:rowOff>142875</xdr:rowOff>
    </xdr:from>
    <xdr:to>
      <xdr:col>6</xdr:col>
      <xdr:colOff>142875</xdr:colOff>
      <xdr:row>15</xdr:row>
      <xdr:rowOff>304800</xdr:rowOff>
    </xdr:to>
    <xdr:sp macro="" textlink="">
      <xdr:nvSpPr>
        <xdr:cNvPr id="2174" name="Text Box 126">
          <a:extLst>
            <a:ext uri="{FF2B5EF4-FFF2-40B4-BE49-F238E27FC236}">
              <a16:creationId xmlns:a16="http://schemas.microsoft.com/office/drawing/2014/main" id="{B7B88271-36E4-4298-903F-71240154DE97}"/>
            </a:ext>
          </a:extLst>
        </xdr:cNvPr>
        <xdr:cNvSpPr txBox="1">
          <a:spLocks noChangeArrowheads="1"/>
        </xdr:cNvSpPr>
      </xdr:nvSpPr>
      <xdr:spPr bwMode="auto">
        <a:xfrm>
          <a:off x="1295400" y="5257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12.5m</a:t>
          </a:r>
        </a:p>
      </xdr:txBody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2175" name="Group 127">
          <a:extLst>
            <a:ext uri="{FF2B5EF4-FFF2-40B4-BE49-F238E27FC236}">
              <a16:creationId xmlns:a16="http://schemas.microsoft.com/office/drawing/2014/main" id="{156B6515-1F17-46EF-A578-1B89F3B30294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2176" name="Line 128">
            <a:extLst>
              <a:ext uri="{FF2B5EF4-FFF2-40B4-BE49-F238E27FC236}">
                <a16:creationId xmlns:a16="http://schemas.microsoft.com/office/drawing/2014/main" id="{187E0551-10F5-4E2F-94BD-95C3A8E7055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7" name="Line 129">
            <a:extLst>
              <a:ext uri="{FF2B5EF4-FFF2-40B4-BE49-F238E27FC236}">
                <a16:creationId xmlns:a16="http://schemas.microsoft.com/office/drawing/2014/main" id="{0038B641-B155-4E34-98AC-6D91CB39C11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9</xdr:col>
      <xdr:colOff>304800</xdr:colOff>
      <xdr:row>17</xdr:row>
      <xdr:rowOff>190500</xdr:rowOff>
    </xdr:to>
    <xdr:sp macro="" textlink="">
      <xdr:nvSpPr>
        <xdr:cNvPr id="2178" name="Freeform 130">
          <a:extLst>
            <a:ext uri="{FF2B5EF4-FFF2-40B4-BE49-F238E27FC236}">
              <a16:creationId xmlns:a16="http://schemas.microsoft.com/office/drawing/2014/main" id="{1259E023-07A4-4C99-A93D-D84B71A36E00}"/>
            </a:ext>
          </a:extLst>
        </xdr:cNvPr>
        <xdr:cNvSpPr>
          <a:spLocks/>
        </xdr:cNvSpPr>
      </xdr:nvSpPr>
      <xdr:spPr bwMode="auto">
        <a:xfrm>
          <a:off x="245745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</xdr:colOff>
      <xdr:row>18</xdr:row>
      <xdr:rowOff>28575</xdr:rowOff>
    </xdr:from>
    <xdr:to>
      <xdr:col>8</xdr:col>
      <xdr:colOff>295275</xdr:colOff>
      <xdr:row>18</xdr:row>
      <xdr:rowOff>200025</xdr:rowOff>
    </xdr:to>
    <xdr:grpSp>
      <xdr:nvGrpSpPr>
        <xdr:cNvPr id="2179" name="Group 131">
          <a:extLst>
            <a:ext uri="{FF2B5EF4-FFF2-40B4-BE49-F238E27FC236}">
              <a16:creationId xmlns:a16="http://schemas.microsoft.com/office/drawing/2014/main" id="{5C06E4C7-64AB-4359-918A-D7B8665C7533}"/>
            </a:ext>
          </a:extLst>
        </xdr:cNvPr>
        <xdr:cNvGrpSpPr>
          <a:grpSpLocks/>
        </xdr:cNvGrpSpPr>
      </xdr:nvGrpSpPr>
      <xdr:grpSpPr bwMode="auto">
        <a:xfrm>
          <a:off x="2152650" y="7181850"/>
          <a:ext cx="276225" cy="171450"/>
          <a:chOff x="226" y="755"/>
          <a:chExt cx="29" cy="18"/>
        </a:xfrm>
      </xdr:grpSpPr>
      <xdr:sp macro="" textlink="">
        <xdr:nvSpPr>
          <xdr:cNvPr id="2180" name="Oval 132">
            <a:extLst>
              <a:ext uri="{FF2B5EF4-FFF2-40B4-BE49-F238E27FC236}">
                <a16:creationId xmlns:a16="http://schemas.microsoft.com/office/drawing/2014/main" id="{F42F6126-ED36-4E94-9474-72325B2BF5B8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81" name="Line 133">
            <a:extLst>
              <a:ext uri="{FF2B5EF4-FFF2-40B4-BE49-F238E27FC236}">
                <a16:creationId xmlns:a16="http://schemas.microsoft.com/office/drawing/2014/main" id="{E7A59AA5-4F50-465A-B2DA-86C9124C8365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2" name="Freeform 134">
            <a:extLst>
              <a:ext uri="{FF2B5EF4-FFF2-40B4-BE49-F238E27FC236}">
                <a16:creationId xmlns:a16="http://schemas.microsoft.com/office/drawing/2014/main" id="{EF313C36-66D1-4970-A5EE-CD9B12DD6631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238125</xdr:colOff>
      <xdr:row>15</xdr:row>
      <xdr:rowOff>819150</xdr:rowOff>
    </xdr:from>
    <xdr:to>
      <xdr:col>10</xdr:col>
      <xdr:colOff>190500</xdr:colOff>
      <xdr:row>15</xdr:row>
      <xdr:rowOff>971550</xdr:rowOff>
    </xdr:to>
    <xdr:grpSp>
      <xdr:nvGrpSpPr>
        <xdr:cNvPr id="2183" name="Group 135">
          <a:extLst>
            <a:ext uri="{FF2B5EF4-FFF2-40B4-BE49-F238E27FC236}">
              <a16:creationId xmlns:a16="http://schemas.microsoft.com/office/drawing/2014/main" id="{997B3AE1-AFC9-4FA8-860C-DE3E34C59C72}"/>
            </a:ext>
          </a:extLst>
        </xdr:cNvPr>
        <xdr:cNvGrpSpPr>
          <a:grpSpLocks/>
        </xdr:cNvGrpSpPr>
      </xdr:nvGrpSpPr>
      <xdr:grpSpPr bwMode="auto">
        <a:xfrm rot="10800000">
          <a:off x="2686050" y="5934075"/>
          <a:ext cx="266700" cy="152400"/>
          <a:chOff x="248" y="601"/>
          <a:chExt cx="28" cy="16"/>
        </a:xfrm>
      </xdr:grpSpPr>
      <xdr:sp macro="" textlink="">
        <xdr:nvSpPr>
          <xdr:cNvPr id="2184" name="Line 136">
            <a:extLst>
              <a:ext uri="{FF2B5EF4-FFF2-40B4-BE49-F238E27FC236}">
                <a16:creationId xmlns:a16="http://schemas.microsoft.com/office/drawing/2014/main" id="{A8FF6DA2-731D-425F-8917-F522C91D89F8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5" name="Freeform 137">
            <a:extLst>
              <a:ext uri="{FF2B5EF4-FFF2-40B4-BE49-F238E27FC236}">
                <a16:creationId xmlns:a16="http://schemas.microsoft.com/office/drawing/2014/main" id="{8E15C1FD-80A8-4E03-AE92-16507A9E0376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86" name="Line 138">
            <a:extLst>
              <a:ext uri="{FF2B5EF4-FFF2-40B4-BE49-F238E27FC236}">
                <a16:creationId xmlns:a16="http://schemas.microsoft.com/office/drawing/2014/main" id="{5502F6E4-F3D9-4E59-BA5E-6C31F70B3735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7" name="Freeform 139">
            <a:extLst>
              <a:ext uri="{FF2B5EF4-FFF2-40B4-BE49-F238E27FC236}">
                <a16:creationId xmlns:a16="http://schemas.microsoft.com/office/drawing/2014/main" id="{95B91554-DEC4-46E8-8DD9-79AA966FBEFE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133350</xdr:colOff>
      <xdr:row>15</xdr:row>
      <xdr:rowOff>600075</xdr:rowOff>
    </xdr:from>
    <xdr:to>
      <xdr:col>9</xdr:col>
      <xdr:colOff>85725</xdr:colOff>
      <xdr:row>15</xdr:row>
      <xdr:rowOff>752475</xdr:rowOff>
    </xdr:to>
    <xdr:grpSp>
      <xdr:nvGrpSpPr>
        <xdr:cNvPr id="2188" name="Group 140">
          <a:extLst>
            <a:ext uri="{FF2B5EF4-FFF2-40B4-BE49-F238E27FC236}">
              <a16:creationId xmlns:a16="http://schemas.microsoft.com/office/drawing/2014/main" id="{2A056365-C2E9-400B-8B73-FA6D73B54D93}"/>
            </a:ext>
          </a:extLst>
        </xdr:cNvPr>
        <xdr:cNvGrpSpPr>
          <a:grpSpLocks/>
        </xdr:cNvGrpSpPr>
      </xdr:nvGrpSpPr>
      <xdr:grpSpPr bwMode="auto">
        <a:xfrm>
          <a:off x="2266950" y="5715000"/>
          <a:ext cx="266700" cy="152400"/>
          <a:chOff x="248" y="601"/>
          <a:chExt cx="28" cy="16"/>
        </a:xfrm>
      </xdr:grpSpPr>
      <xdr:sp macro="" textlink="">
        <xdr:nvSpPr>
          <xdr:cNvPr id="2189" name="Line 141">
            <a:extLst>
              <a:ext uri="{FF2B5EF4-FFF2-40B4-BE49-F238E27FC236}">
                <a16:creationId xmlns:a16="http://schemas.microsoft.com/office/drawing/2014/main" id="{7C17418A-B27A-42AD-B877-C05971084873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0" name="Freeform 142">
            <a:extLst>
              <a:ext uri="{FF2B5EF4-FFF2-40B4-BE49-F238E27FC236}">
                <a16:creationId xmlns:a16="http://schemas.microsoft.com/office/drawing/2014/main" id="{341D2E95-8A9C-4212-BF4A-1F4037CCF385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91" name="Line 143">
            <a:extLst>
              <a:ext uri="{FF2B5EF4-FFF2-40B4-BE49-F238E27FC236}">
                <a16:creationId xmlns:a16="http://schemas.microsoft.com/office/drawing/2014/main" id="{60AD7F79-3EA2-4962-854D-187A0E5B7CEA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2" name="Freeform 144">
            <a:extLst>
              <a:ext uri="{FF2B5EF4-FFF2-40B4-BE49-F238E27FC236}">
                <a16:creationId xmlns:a16="http://schemas.microsoft.com/office/drawing/2014/main" id="{9586FF1B-44FF-414D-82F0-19527197044E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4B48E34A-80A4-454C-AC17-9626050612CF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B58E65E3-AFC5-47DC-9EEC-96C28A1D3DE4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1E2B8C43-5D2F-4779-B1DA-655E0B81C38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D432D196-90F2-4FDB-BE4F-6A3E0B479BA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1029" name="Group 5">
          <a:extLst>
            <a:ext uri="{FF2B5EF4-FFF2-40B4-BE49-F238E27FC236}">
              <a16:creationId xmlns:a16="http://schemas.microsoft.com/office/drawing/2014/main" id="{853B4881-0C35-4564-B32D-296AAB2647AC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514600" cy="47625"/>
          <a:chOff x="158" y="715"/>
          <a:chExt cx="33" cy="5"/>
        </a:xfrm>
      </xdr:grpSpPr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C85B39BB-1E4B-46DD-AE79-4F7BF25E7C6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0CE38D82-F79B-4893-925A-8BB8AD776B2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19</xdr:row>
      <xdr:rowOff>47625</xdr:rowOff>
    </xdr:from>
    <xdr:to>
      <xdr:col>14</xdr:col>
      <xdr:colOff>304800</xdr:colOff>
      <xdr:row>19</xdr:row>
      <xdr:rowOff>190500</xdr:rowOff>
    </xdr:to>
    <xdr:sp macro="" textlink="">
      <xdr:nvSpPr>
        <xdr:cNvPr id="1032" name="Freeform 8">
          <a:extLst>
            <a:ext uri="{FF2B5EF4-FFF2-40B4-BE49-F238E27FC236}">
              <a16:creationId xmlns:a16="http://schemas.microsoft.com/office/drawing/2014/main" id="{FDB77428-DA54-4F61-BAE0-9FA5C48DD228}"/>
            </a:ext>
          </a:extLst>
        </xdr:cNvPr>
        <xdr:cNvSpPr>
          <a:spLocks/>
        </xdr:cNvSpPr>
      </xdr:nvSpPr>
      <xdr:spPr bwMode="auto">
        <a:xfrm>
          <a:off x="402907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18</xdr:row>
      <xdr:rowOff>104775</xdr:rowOff>
    </xdr:from>
    <xdr:to>
      <xdr:col>16</xdr:col>
      <xdr:colOff>0</xdr:colOff>
      <xdr:row>18</xdr:row>
      <xdr:rowOff>152400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0A4A4FF8-50C0-49F8-B03A-415519705F39}"/>
            </a:ext>
          </a:extLst>
        </xdr:cNvPr>
        <xdr:cNvGrpSpPr>
          <a:grpSpLocks/>
        </xdr:cNvGrpSpPr>
      </xdr:nvGrpSpPr>
      <xdr:grpSpPr bwMode="auto">
        <a:xfrm>
          <a:off x="3076575" y="7258050"/>
          <a:ext cx="1571625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C5367EED-8444-4553-B9A8-068C0E00886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0D700F8D-C3B2-4A6E-8DC3-F0093A98315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19</xdr:row>
      <xdr:rowOff>104775</xdr:rowOff>
    </xdr:from>
    <xdr:to>
      <xdr:col>16</xdr:col>
      <xdr:colOff>0</xdr:colOff>
      <xdr:row>19</xdr:row>
      <xdr:rowOff>152400</xdr:rowOff>
    </xdr:to>
    <xdr:grpSp>
      <xdr:nvGrpSpPr>
        <xdr:cNvPr id="1036" name="Group 12">
          <a:extLst>
            <a:ext uri="{FF2B5EF4-FFF2-40B4-BE49-F238E27FC236}">
              <a16:creationId xmlns:a16="http://schemas.microsoft.com/office/drawing/2014/main" id="{9537F415-12CF-4178-831C-B804F884BE53}"/>
            </a:ext>
          </a:extLst>
        </xdr:cNvPr>
        <xdr:cNvGrpSpPr>
          <a:grpSpLocks/>
        </xdr:cNvGrpSpPr>
      </xdr:nvGrpSpPr>
      <xdr:grpSpPr bwMode="auto">
        <a:xfrm>
          <a:off x="4333875" y="7486650"/>
          <a:ext cx="314325" cy="47625"/>
          <a:chOff x="158" y="715"/>
          <a:chExt cx="33" cy="5"/>
        </a:xfrm>
      </xdr:grpSpPr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977877B4-B7AF-4AAA-890E-C8E63C43531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5E79E2F7-F3CE-4B5F-83B3-511009D59BE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9</xdr:col>
      <xdr:colOff>0</xdr:colOff>
      <xdr:row>18</xdr:row>
      <xdr:rowOff>161925</xdr:rowOff>
    </xdr:to>
    <xdr:grpSp>
      <xdr:nvGrpSpPr>
        <xdr:cNvPr id="1039" name="Group 15">
          <a:extLst>
            <a:ext uri="{FF2B5EF4-FFF2-40B4-BE49-F238E27FC236}">
              <a16:creationId xmlns:a16="http://schemas.microsoft.com/office/drawing/2014/main" id="{C7EBF073-4993-4461-881D-D5C8CA4645E7}"/>
            </a:ext>
          </a:extLst>
        </xdr:cNvPr>
        <xdr:cNvGrpSpPr>
          <a:grpSpLocks/>
        </xdr:cNvGrpSpPr>
      </xdr:nvGrpSpPr>
      <xdr:grpSpPr bwMode="auto">
        <a:xfrm>
          <a:off x="876300" y="7267575"/>
          <a:ext cx="1571625" cy="47625"/>
          <a:chOff x="158" y="715"/>
          <a:chExt cx="33" cy="5"/>
        </a:xfrm>
      </xdr:grpSpPr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8463CCF3-E63C-436D-A45F-7FBD7272FEC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BAC98090-7773-4B60-8122-1D7582BED96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104775</xdr:rowOff>
    </xdr:from>
    <xdr:to>
      <xdr:col>9</xdr:col>
      <xdr:colOff>0</xdr:colOff>
      <xdr:row>19</xdr:row>
      <xdr:rowOff>152400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781822A8-6ACC-46D4-A5ED-F214CF9BC5DE}"/>
            </a:ext>
          </a:extLst>
        </xdr:cNvPr>
        <xdr:cNvGrpSpPr>
          <a:grpSpLocks/>
        </xdr:cNvGrpSpPr>
      </xdr:nvGrpSpPr>
      <xdr:grpSpPr bwMode="auto">
        <a:xfrm>
          <a:off x="885825" y="7486650"/>
          <a:ext cx="1562100" cy="47625"/>
          <a:chOff x="158" y="715"/>
          <a:chExt cx="33" cy="5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3593384B-EBFB-491B-B043-5032A81F3AC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506B3320-BDDE-476C-B15F-C30BCAF9738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123825</xdr:rowOff>
    </xdr:from>
    <xdr:to>
      <xdr:col>5</xdr:col>
      <xdr:colOff>0</xdr:colOff>
      <xdr:row>16</xdr:row>
      <xdr:rowOff>123825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B2799CEC-2568-4D2C-85AF-1123C4D5DE71}"/>
            </a:ext>
          </a:extLst>
        </xdr:cNvPr>
        <xdr:cNvSpPr>
          <a:spLocks noChangeShapeType="1"/>
        </xdr:cNvSpPr>
      </xdr:nvSpPr>
      <xdr:spPr bwMode="auto">
        <a:xfrm>
          <a:off x="876300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99296696-BDD6-4DE3-A645-FAB69FD86B0B}"/>
            </a:ext>
          </a:extLst>
        </xdr:cNvPr>
        <xdr:cNvSpPr>
          <a:spLocks noChangeShapeType="1"/>
        </xdr:cNvSpPr>
      </xdr:nvSpPr>
      <xdr:spPr bwMode="auto">
        <a:xfrm>
          <a:off x="895350" y="7048500"/>
          <a:ext cx="9239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47" name="Group 23">
          <a:extLst>
            <a:ext uri="{FF2B5EF4-FFF2-40B4-BE49-F238E27FC236}">
              <a16:creationId xmlns:a16="http://schemas.microsoft.com/office/drawing/2014/main" id="{E6202F5F-2906-49A7-917F-8D8D1B660457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1549F2EC-9D17-4C7F-98CF-7559CCA543C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Line 25">
            <a:extLst>
              <a:ext uri="{FF2B5EF4-FFF2-40B4-BE49-F238E27FC236}">
                <a16:creationId xmlns:a16="http://schemas.microsoft.com/office/drawing/2014/main" id="{F4C58EE9-B382-4418-81AE-A52E84E379D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E553224C-C7DC-4F60-9408-E61D1E547E6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5092F92E-F923-4E4E-9C25-0D50F43C070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52" name="Freeform 28">
          <a:extLst>
            <a:ext uri="{FF2B5EF4-FFF2-40B4-BE49-F238E27FC236}">
              <a16:creationId xmlns:a16="http://schemas.microsoft.com/office/drawing/2014/main" id="{4017C61C-D4B4-4B9F-9091-8A2C07EB440B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7</xdr:row>
      <xdr:rowOff>295275</xdr:rowOff>
    </xdr:from>
    <xdr:to>
      <xdr:col>5</xdr:col>
      <xdr:colOff>295275</xdr:colOff>
      <xdr:row>7</xdr:row>
      <xdr:rowOff>1466850</xdr:rowOff>
    </xdr:to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C77F661C-CA3F-4713-BD6D-21EF3E37E85F}"/>
            </a:ext>
          </a:extLst>
        </xdr:cNvPr>
        <xdr:cNvSpPr txBox="1">
          <a:spLocks noChangeArrowheads="1"/>
        </xdr:cNvSpPr>
      </xdr:nvSpPr>
      <xdr:spPr bwMode="auto">
        <a:xfrm>
          <a:off x="1238250" y="1933575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19</xdr:col>
      <xdr:colOff>9525</xdr:colOff>
      <xdr:row>7</xdr:row>
      <xdr:rowOff>381000</xdr:rowOff>
    </xdr:from>
    <xdr:to>
      <xdr:col>19</xdr:col>
      <xdr:colOff>257175</xdr:colOff>
      <xdr:row>7</xdr:row>
      <xdr:rowOff>1562100</xdr:rowOff>
    </xdr:to>
    <xdr:sp macro="" textlink="">
      <xdr:nvSpPr>
        <xdr:cNvPr id="1054" name="Text Box 30">
          <a:extLst>
            <a:ext uri="{FF2B5EF4-FFF2-40B4-BE49-F238E27FC236}">
              <a16:creationId xmlns:a16="http://schemas.microsoft.com/office/drawing/2014/main" id="{DE129F45-FBF4-4DB5-9596-497F34615509}"/>
            </a:ext>
          </a:extLst>
        </xdr:cNvPr>
        <xdr:cNvSpPr txBox="1">
          <a:spLocks noChangeArrowheads="1"/>
        </xdr:cNvSpPr>
      </xdr:nvSpPr>
      <xdr:spPr bwMode="auto">
        <a:xfrm>
          <a:off x="5600700" y="2019300"/>
          <a:ext cx="2476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岡山</a:t>
          </a:r>
        </a:p>
      </xdr:txBody>
    </xdr:sp>
    <xdr:clientData/>
  </xdr:twoCellAnchor>
  <xdr:twoCellAnchor>
    <xdr:from>
      <xdr:col>14</xdr:col>
      <xdr:colOff>180975</xdr:colOff>
      <xdr:row>15</xdr:row>
      <xdr:rowOff>514350</xdr:rowOff>
    </xdr:from>
    <xdr:to>
      <xdr:col>15</xdr:col>
      <xdr:colOff>19050</xdr:colOff>
      <xdr:row>15</xdr:row>
      <xdr:rowOff>781050</xdr:rowOff>
    </xdr:to>
    <xdr:grpSp>
      <xdr:nvGrpSpPr>
        <xdr:cNvPr id="1055" name="Group 31">
          <a:extLst>
            <a:ext uri="{FF2B5EF4-FFF2-40B4-BE49-F238E27FC236}">
              <a16:creationId xmlns:a16="http://schemas.microsoft.com/office/drawing/2014/main" id="{3F5EECF8-F714-4342-9EED-62D317064927}"/>
            </a:ext>
          </a:extLst>
        </xdr:cNvPr>
        <xdr:cNvGrpSpPr>
          <a:grpSpLocks/>
        </xdr:cNvGrpSpPr>
      </xdr:nvGrpSpPr>
      <xdr:grpSpPr bwMode="auto">
        <a:xfrm rot="5400000">
          <a:off x="4143375" y="5686425"/>
          <a:ext cx="266700" cy="152400"/>
          <a:chOff x="248" y="601"/>
          <a:chExt cx="28" cy="16"/>
        </a:xfrm>
      </xdr:grpSpPr>
      <xdr:sp macro="" textlink="">
        <xdr:nvSpPr>
          <xdr:cNvPr id="1056" name="Line 32">
            <a:extLst>
              <a:ext uri="{FF2B5EF4-FFF2-40B4-BE49-F238E27FC236}">
                <a16:creationId xmlns:a16="http://schemas.microsoft.com/office/drawing/2014/main" id="{5181C986-042A-4912-82E9-8BB6C092DAB5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Freeform 33">
            <a:extLst>
              <a:ext uri="{FF2B5EF4-FFF2-40B4-BE49-F238E27FC236}">
                <a16:creationId xmlns:a16="http://schemas.microsoft.com/office/drawing/2014/main" id="{B7A8A2B1-79CE-41AF-A98D-8489057A7807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26A2AD0F-1395-4B60-AA92-25D05C02633F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D9FD8CF9-2051-447D-BEBA-100ED06AE36A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15</xdr:row>
      <xdr:rowOff>904875</xdr:rowOff>
    </xdr:from>
    <xdr:to>
      <xdr:col>14</xdr:col>
      <xdr:colOff>152400</xdr:colOff>
      <xdr:row>15</xdr:row>
      <xdr:rowOff>1171575</xdr:rowOff>
    </xdr:to>
    <xdr:grpSp>
      <xdr:nvGrpSpPr>
        <xdr:cNvPr id="1060" name="Group 36">
          <a:extLst>
            <a:ext uri="{FF2B5EF4-FFF2-40B4-BE49-F238E27FC236}">
              <a16:creationId xmlns:a16="http://schemas.microsoft.com/office/drawing/2014/main" id="{99D436EA-FB3D-4AB0-91BC-95B05E0792EA}"/>
            </a:ext>
          </a:extLst>
        </xdr:cNvPr>
        <xdr:cNvGrpSpPr>
          <a:grpSpLocks/>
        </xdr:cNvGrpSpPr>
      </xdr:nvGrpSpPr>
      <xdr:grpSpPr bwMode="auto">
        <a:xfrm rot="-5400000">
          <a:off x="3962400" y="6076950"/>
          <a:ext cx="266700" cy="152400"/>
          <a:chOff x="248" y="601"/>
          <a:chExt cx="28" cy="16"/>
        </a:xfrm>
      </xdr:grpSpPr>
      <xdr:sp macro="" textlink="">
        <xdr:nvSpPr>
          <xdr:cNvPr id="1061" name="Line 37">
            <a:extLst>
              <a:ext uri="{FF2B5EF4-FFF2-40B4-BE49-F238E27FC236}">
                <a16:creationId xmlns:a16="http://schemas.microsoft.com/office/drawing/2014/main" id="{2BAD1101-6418-4A3B-88DB-4A82119F2959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Freeform 38">
            <a:extLst>
              <a:ext uri="{FF2B5EF4-FFF2-40B4-BE49-F238E27FC236}">
                <a16:creationId xmlns:a16="http://schemas.microsoft.com/office/drawing/2014/main" id="{29D1DDDC-93B3-47BD-A246-0F37F82C5DFF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ABE5268C-EEC2-47AF-9AE3-E1D952148D4D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0FF3E7B7-BE48-44A4-B68B-EF28C1AE5381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65" name="Group 41">
          <a:extLst>
            <a:ext uri="{FF2B5EF4-FFF2-40B4-BE49-F238E27FC236}">
              <a16:creationId xmlns:a16="http://schemas.microsoft.com/office/drawing/2014/main" id="{BE7F2589-071F-40E7-A532-A76263867E2E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9C8268B1-C91F-4C81-8321-575A1F2747A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3CCB4BDF-6395-43CF-85FA-A92D0610237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68" name="Freeform 44">
          <a:extLst>
            <a:ext uri="{FF2B5EF4-FFF2-40B4-BE49-F238E27FC236}">
              <a16:creationId xmlns:a16="http://schemas.microsoft.com/office/drawing/2014/main" id="{85A40DB9-CD92-4B5A-A4D8-D9CC4F5D65E5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</xdr:colOff>
      <xdr:row>20</xdr:row>
      <xdr:rowOff>28575</xdr:rowOff>
    </xdr:from>
    <xdr:to>
      <xdr:col>13</xdr:col>
      <xdr:colOff>295275</xdr:colOff>
      <xdr:row>20</xdr:row>
      <xdr:rowOff>200025</xdr:rowOff>
    </xdr:to>
    <xdr:grpSp>
      <xdr:nvGrpSpPr>
        <xdr:cNvPr id="1069" name="Group 45">
          <a:extLst>
            <a:ext uri="{FF2B5EF4-FFF2-40B4-BE49-F238E27FC236}">
              <a16:creationId xmlns:a16="http://schemas.microsoft.com/office/drawing/2014/main" id="{6A80DF9D-36E9-4952-B2F4-07F6F306C13F}"/>
            </a:ext>
          </a:extLst>
        </xdr:cNvPr>
        <xdr:cNvGrpSpPr>
          <a:grpSpLocks/>
        </xdr:cNvGrpSpPr>
      </xdr:nvGrpSpPr>
      <xdr:grpSpPr bwMode="auto">
        <a:xfrm>
          <a:off x="3724275" y="7639050"/>
          <a:ext cx="276225" cy="171450"/>
          <a:chOff x="226" y="755"/>
          <a:chExt cx="29" cy="18"/>
        </a:xfrm>
      </xdr:grpSpPr>
      <xdr:sp macro="" textlink="">
        <xdr:nvSpPr>
          <xdr:cNvPr id="1070" name="Oval 46">
            <a:extLst>
              <a:ext uri="{FF2B5EF4-FFF2-40B4-BE49-F238E27FC236}">
                <a16:creationId xmlns:a16="http://schemas.microsoft.com/office/drawing/2014/main" id="{37BE0E11-CF1B-4B03-A1C4-02B041FEB6CB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" name="Line 47">
            <a:extLst>
              <a:ext uri="{FF2B5EF4-FFF2-40B4-BE49-F238E27FC236}">
                <a16:creationId xmlns:a16="http://schemas.microsoft.com/office/drawing/2014/main" id="{8A28AFB2-FD68-4A7F-9270-3EBC331DEEA9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83111EE9-1349-42B0-91D3-14FFC79A1CF9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19</xdr:row>
      <xdr:rowOff>133350</xdr:rowOff>
    </xdr:from>
    <xdr:to>
      <xdr:col>12</xdr:col>
      <xdr:colOff>0</xdr:colOff>
      <xdr:row>19</xdr:row>
      <xdr:rowOff>133350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52EDB9D5-FBB9-469F-93EF-DBC2DA8D66E2}"/>
            </a:ext>
          </a:extLst>
        </xdr:cNvPr>
        <xdr:cNvSpPr>
          <a:spLocks noChangeShapeType="1"/>
        </xdr:cNvSpPr>
      </xdr:nvSpPr>
      <xdr:spPr bwMode="auto">
        <a:xfrm>
          <a:off x="2447925" y="751522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74" name="Group 50">
          <a:extLst>
            <a:ext uri="{FF2B5EF4-FFF2-40B4-BE49-F238E27FC236}">
              <a16:creationId xmlns:a16="http://schemas.microsoft.com/office/drawing/2014/main" id="{D8B74EC2-27C0-496D-B14A-B0C7F8DEDE2C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75" name="Line 51">
            <a:extLst>
              <a:ext uri="{FF2B5EF4-FFF2-40B4-BE49-F238E27FC236}">
                <a16:creationId xmlns:a16="http://schemas.microsoft.com/office/drawing/2014/main" id="{426A7B6F-12EB-41BF-A6DE-B3D28189536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4E9A9CD1-8F55-48FC-98AD-C3D83AB81D6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Line 53">
            <a:extLst>
              <a:ext uri="{FF2B5EF4-FFF2-40B4-BE49-F238E27FC236}">
                <a16:creationId xmlns:a16="http://schemas.microsoft.com/office/drawing/2014/main" id="{8CB93D72-2EE9-4E93-BAB5-22379DE71B5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" name="Line 54">
            <a:extLst>
              <a:ext uri="{FF2B5EF4-FFF2-40B4-BE49-F238E27FC236}">
                <a16:creationId xmlns:a16="http://schemas.microsoft.com/office/drawing/2014/main" id="{44B75247-A705-4B21-90CD-2D6A1380F2F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7357F726-60B3-4939-9404-F3862D268286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57150</xdr:colOff>
      <xdr:row>5</xdr:row>
      <xdr:rowOff>104775</xdr:rowOff>
    </xdr:from>
    <xdr:to>
      <xdr:col>18</xdr:col>
      <xdr:colOff>276225</xdr:colOff>
      <xdr:row>9</xdr:row>
      <xdr:rowOff>19050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75CED485-7F77-4E94-A88C-3359B09A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285875"/>
          <a:ext cx="3990975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9</xdr:row>
      <xdr:rowOff>104775</xdr:rowOff>
    </xdr:from>
    <xdr:to>
      <xdr:col>6</xdr:col>
      <xdr:colOff>200025</xdr:colOff>
      <xdr:row>13</xdr:row>
      <xdr:rowOff>28575</xdr:rowOff>
    </xdr:to>
    <xdr:sp macro="" textlink="">
      <xdr:nvSpPr>
        <xdr:cNvPr id="1081" name="Text Box 57">
          <a:extLst>
            <a:ext uri="{FF2B5EF4-FFF2-40B4-BE49-F238E27FC236}">
              <a16:creationId xmlns:a16="http://schemas.microsoft.com/office/drawing/2014/main" id="{2140EE6C-5C3A-41A7-B6E2-21CDD773C965}"/>
            </a:ext>
          </a:extLst>
        </xdr:cNvPr>
        <xdr:cNvSpPr txBox="1">
          <a:spLocks noChangeArrowheads="1"/>
        </xdr:cNvSpPr>
      </xdr:nvSpPr>
      <xdr:spPr bwMode="auto">
        <a:xfrm>
          <a:off x="76200" y="3848100"/>
          <a:ext cx="1628775" cy="838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Ｓ８０筐体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0B4900FB-9270-472A-97D0-F3AB76F4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266700</xdr:colOff>
      <xdr:row>15</xdr:row>
      <xdr:rowOff>285750</xdr:rowOff>
    </xdr:from>
    <xdr:to>
      <xdr:col>7</xdr:col>
      <xdr:colOff>57150</xdr:colOff>
      <xdr:row>15</xdr:row>
      <xdr:rowOff>342900</xdr:rowOff>
    </xdr:to>
    <xdr:grpSp>
      <xdr:nvGrpSpPr>
        <xdr:cNvPr id="1083" name="Group 59">
          <a:extLst>
            <a:ext uri="{FF2B5EF4-FFF2-40B4-BE49-F238E27FC236}">
              <a16:creationId xmlns:a16="http://schemas.microsoft.com/office/drawing/2014/main" id="{36C31AE6-3715-47C1-8288-23611C346823}"/>
            </a:ext>
          </a:extLst>
        </xdr:cNvPr>
        <xdr:cNvGrpSpPr>
          <a:grpSpLocks/>
        </xdr:cNvGrpSpPr>
      </xdr:nvGrpSpPr>
      <xdr:grpSpPr bwMode="auto">
        <a:xfrm>
          <a:off x="1143000" y="5400675"/>
          <a:ext cx="733425" cy="57150"/>
          <a:chOff x="123" y="549"/>
          <a:chExt cx="77" cy="6"/>
        </a:xfrm>
      </xdr:grpSpPr>
      <xdr:sp macro="" textlink="">
        <xdr:nvSpPr>
          <xdr:cNvPr id="1084" name="Line 60">
            <a:extLst>
              <a:ext uri="{FF2B5EF4-FFF2-40B4-BE49-F238E27FC236}">
                <a16:creationId xmlns:a16="http://schemas.microsoft.com/office/drawing/2014/main" id="{130C3A49-2B3A-458D-AA63-F8F96841535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961FEF7A-39F4-47A6-B873-873774AF8D6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6" name="Freeform 62">
            <a:extLst>
              <a:ext uri="{FF2B5EF4-FFF2-40B4-BE49-F238E27FC236}">
                <a16:creationId xmlns:a16="http://schemas.microsoft.com/office/drawing/2014/main" id="{D1CFCE7B-CA72-431D-995C-9735773C67B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1209675</xdr:rowOff>
    </xdr:from>
    <xdr:to>
      <xdr:col>7</xdr:col>
      <xdr:colOff>57150</xdr:colOff>
      <xdr:row>15</xdr:row>
      <xdr:rowOff>1266825</xdr:rowOff>
    </xdr:to>
    <xdr:grpSp>
      <xdr:nvGrpSpPr>
        <xdr:cNvPr id="1087" name="Group 63">
          <a:extLst>
            <a:ext uri="{FF2B5EF4-FFF2-40B4-BE49-F238E27FC236}">
              <a16:creationId xmlns:a16="http://schemas.microsoft.com/office/drawing/2014/main" id="{7C49BBD7-2ADD-425F-9809-8D5E5A9F8BEF}"/>
            </a:ext>
          </a:extLst>
        </xdr:cNvPr>
        <xdr:cNvGrpSpPr>
          <a:grpSpLocks/>
        </xdr:cNvGrpSpPr>
      </xdr:nvGrpSpPr>
      <xdr:grpSpPr bwMode="auto">
        <a:xfrm>
          <a:off x="1143000" y="6324600"/>
          <a:ext cx="733425" cy="57150"/>
          <a:chOff x="123" y="549"/>
          <a:chExt cx="77" cy="6"/>
        </a:xfrm>
      </xdr:grpSpPr>
      <xdr:sp macro="" textlink="">
        <xdr:nvSpPr>
          <xdr:cNvPr id="1088" name="Line 64">
            <a:extLst>
              <a:ext uri="{FF2B5EF4-FFF2-40B4-BE49-F238E27FC236}">
                <a16:creationId xmlns:a16="http://schemas.microsoft.com/office/drawing/2014/main" id="{0B930433-CBEE-4EE9-B456-E86CFA7FC44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" name="Freeform 65">
            <a:extLst>
              <a:ext uri="{FF2B5EF4-FFF2-40B4-BE49-F238E27FC236}">
                <a16:creationId xmlns:a16="http://schemas.microsoft.com/office/drawing/2014/main" id="{79F37FD9-FA8B-4089-B1D0-0D70B7A9E08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5C7F832F-E986-4D7F-AE30-F1F743B3F0D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142875</xdr:colOff>
      <xdr:row>15</xdr:row>
      <xdr:rowOff>457200</xdr:rowOff>
    </xdr:from>
    <xdr:to>
      <xdr:col>7</xdr:col>
      <xdr:colOff>200025</xdr:colOff>
      <xdr:row>15</xdr:row>
      <xdr:rowOff>762000</xdr:rowOff>
    </xdr:to>
    <xdr:grpSp>
      <xdr:nvGrpSpPr>
        <xdr:cNvPr id="1091" name="Group 67">
          <a:extLst>
            <a:ext uri="{FF2B5EF4-FFF2-40B4-BE49-F238E27FC236}">
              <a16:creationId xmlns:a16="http://schemas.microsoft.com/office/drawing/2014/main" id="{ACCCACAD-0656-4497-980D-948E8765E1FC}"/>
            </a:ext>
          </a:extLst>
        </xdr:cNvPr>
        <xdr:cNvGrpSpPr>
          <a:grpSpLocks/>
        </xdr:cNvGrpSpPr>
      </xdr:nvGrpSpPr>
      <xdr:grpSpPr bwMode="auto">
        <a:xfrm>
          <a:off x="1019175" y="5572125"/>
          <a:ext cx="1000125" cy="304800"/>
          <a:chOff x="110" y="567"/>
          <a:chExt cx="105" cy="32"/>
        </a:xfrm>
      </xdr:grpSpPr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3DB03AAF-D639-4181-A48A-D20289A296E2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Freeform 69">
            <a:extLst>
              <a:ext uri="{FF2B5EF4-FFF2-40B4-BE49-F238E27FC236}">
                <a16:creationId xmlns:a16="http://schemas.microsoft.com/office/drawing/2014/main" id="{AEE42A7F-9150-4AE3-8E0D-FD1B7AE41133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4" name="Freeform 70">
            <a:extLst>
              <a:ext uri="{FF2B5EF4-FFF2-40B4-BE49-F238E27FC236}">
                <a16:creationId xmlns:a16="http://schemas.microsoft.com/office/drawing/2014/main" id="{2C8FBF82-1731-4593-99E0-78911B50B908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2E9AE74B-ED96-4F22-B204-4D2DADEE8B5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Freeform 72">
            <a:extLst>
              <a:ext uri="{FF2B5EF4-FFF2-40B4-BE49-F238E27FC236}">
                <a16:creationId xmlns:a16="http://schemas.microsoft.com/office/drawing/2014/main" id="{BDE0C96C-7F08-4B18-ACA5-F23B6FF83C0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B1DB6721-63DC-4322-A576-7B7CB2824F2B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0F36C594-3ECA-4B82-BF05-D6A88017B6AD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Freeform 75">
            <a:extLst>
              <a:ext uri="{FF2B5EF4-FFF2-40B4-BE49-F238E27FC236}">
                <a16:creationId xmlns:a16="http://schemas.microsoft.com/office/drawing/2014/main" id="{16F0155F-CD90-4D19-ABF3-3A1A1D39F7B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133350</xdr:colOff>
      <xdr:row>15</xdr:row>
      <xdr:rowOff>819150</xdr:rowOff>
    </xdr:from>
    <xdr:to>
      <xdr:col>7</xdr:col>
      <xdr:colOff>200025</xdr:colOff>
      <xdr:row>15</xdr:row>
      <xdr:rowOff>1123950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F84E71AB-F763-4B18-A943-1E802FAF071A}"/>
            </a:ext>
          </a:extLst>
        </xdr:cNvPr>
        <xdr:cNvGrpSpPr>
          <a:grpSpLocks/>
        </xdr:cNvGrpSpPr>
      </xdr:nvGrpSpPr>
      <xdr:grpSpPr bwMode="auto">
        <a:xfrm>
          <a:off x="1009650" y="5934075"/>
          <a:ext cx="1009650" cy="304800"/>
          <a:chOff x="105" y="627"/>
          <a:chExt cx="106" cy="32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F37F8C97-F82E-4F20-8A06-ACA11086ED7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Freeform 78">
            <a:extLst>
              <a:ext uri="{FF2B5EF4-FFF2-40B4-BE49-F238E27FC236}">
                <a16:creationId xmlns:a16="http://schemas.microsoft.com/office/drawing/2014/main" id="{4672FC39-9AA9-48F3-A109-21E9E7B95E62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3" name="Freeform 79">
            <a:extLst>
              <a:ext uri="{FF2B5EF4-FFF2-40B4-BE49-F238E27FC236}">
                <a16:creationId xmlns:a16="http://schemas.microsoft.com/office/drawing/2014/main" id="{88F6F58D-45EC-419A-8B12-1C8C4EFB5E46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4" name="Line 80">
            <a:extLst>
              <a:ext uri="{FF2B5EF4-FFF2-40B4-BE49-F238E27FC236}">
                <a16:creationId xmlns:a16="http://schemas.microsoft.com/office/drawing/2014/main" id="{D8A0697B-22F5-4ACD-968D-356E77062256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" name="Freeform 81">
            <a:extLst>
              <a:ext uri="{FF2B5EF4-FFF2-40B4-BE49-F238E27FC236}">
                <a16:creationId xmlns:a16="http://schemas.microsoft.com/office/drawing/2014/main" id="{2271D6EB-08BD-45DF-B2CD-EC57E580D18C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6" name="Freeform 82">
            <a:extLst>
              <a:ext uri="{FF2B5EF4-FFF2-40B4-BE49-F238E27FC236}">
                <a16:creationId xmlns:a16="http://schemas.microsoft.com/office/drawing/2014/main" id="{5390A767-DEA3-49C7-BF19-ED7AB1DD0E4C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16B011C6-4F12-4795-9C2B-603BFFD27A0F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" name="Freeform 84">
            <a:extLst>
              <a:ext uri="{FF2B5EF4-FFF2-40B4-BE49-F238E27FC236}">
                <a16:creationId xmlns:a16="http://schemas.microsoft.com/office/drawing/2014/main" id="{E9046DCA-625B-449B-830C-5430722B2DB5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304800</xdr:colOff>
      <xdr:row>15</xdr:row>
      <xdr:rowOff>266700</xdr:rowOff>
    </xdr:from>
    <xdr:to>
      <xdr:col>10</xdr:col>
      <xdr:colOff>295275</xdr:colOff>
      <xdr:row>15</xdr:row>
      <xdr:rowOff>1266825</xdr:rowOff>
    </xdr:to>
    <xdr:grpSp>
      <xdr:nvGrpSpPr>
        <xdr:cNvPr id="1109" name="Group 85">
          <a:extLst>
            <a:ext uri="{FF2B5EF4-FFF2-40B4-BE49-F238E27FC236}">
              <a16:creationId xmlns:a16="http://schemas.microsoft.com/office/drawing/2014/main" id="{3EF91EDC-05E7-4602-BF6E-1E8F9BD5261C}"/>
            </a:ext>
          </a:extLst>
        </xdr:cNvPr>
        <xdr:cNvGrpSpPr>
          <a:grpSpLocks/>
        </xdr:cNvGrpSpPr>
      </xdr:nvGrpSpPr>
      <xdr:grpSpPr bwMode="auto">
        <a:xfrm>
          <a:off x="2752725" y="5381625"/>
          <a:ext cx="304800" cy="1000125"/>
          <a:chOff x="322" y="565"/>
          <a:chExt cx="32" cy="105"/>
        </a:xfrm>
      </xdr:grpSpPr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F0A00D40-346F-4508-87DB-E9ACC45AE02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86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92BEF797-0667-4245-AADC-19A31F486F4F}"/>
              </a:ext>
            </a:extLst>
          </xdr:cNvPr>
          <xdr:cNvSpPr>
            <a:spLocks/>
          </xdr:cNvSpPr>
        </xdr:nvSpPr>
        <xdr:spPr bwMode="auto">
          <a:xfrm rot="-5400000">
            <a:off x="334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36BFF135-DE6F-4FBE-A010-089C135A1A10}"/>
              </a:ext>
            </a:extLst>
          </xdr:cNvPr>
          <xdr:cNvSpPr>
            <a:spLocks/>
          </xdr:cNvSpPr>
        </xdr:nvSpPr>
        <xdr:spPr bwMode="auto">
          <a:xfrm rot="-5400000">
            <a:off x="330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3" name="Line 89">
            <a:extLst>
              <a:ext uri="{FF2B5EF4-FFF2-40B4-BE49-F238E27FC236}">
                <a16:creationId xmlns:a16="http://schemas.microsoft.com/office/drawing/2014/main" id="{22A42514-E8C3-4A5A-BF0E-E0CE65F41429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26" y="63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4" name="Freeform 90">
            <a:extLst>
              <a:ext uri="{FF2B5EF4-FFF2-40B4-BE49-F238E27FC236}">
                <a16:creationId xmlns:a16="http://schemas.microsoft.com/office/drawing/2014/main" id="{7585E6D8-06F9-4812-B428-9085D09FE2B2}"/>
              </a:ext>
            </a:extLst>
          </xdr:cNvPr>
          <xdr:cNvSpPr>
            <a:spLocks/>
          </xdr:cNvSpPr>
        </xdr:nvSpPr>
        <xdr:spPr bwMode="auto">
          <a:xfrm rot="-5400000">
            <a:off x="322" y="634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5" name="Freeform 91">
            <a:extLst>
              <a:ext uri="{FF2B5EF4-FFF2-40B4-BE49-F238E27FC236}">
                <a16:creationId xmlns:a16="http://schemas.microsoft.com/office/drawing/2014/main" id="{E051DB6A-5F5E-4A06-A404-D249971200C5}"/>
              </a:ext>
            </a:extLst>
          </xdr:cNvPr>
          <xdr:cNvSpPr>
            <a:spLocks/>
          </xdr:cNvSpPr>
        </xdr:nvSpPr>
        <xdr:spPr bwMode="auto">
          <a:xfrm rot="-5400000">
            <a:off x="338" y="627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6" name="Line 92">
            <a:extLst>
              <a:ext uri="{FF2B5EF4-FFF2-40B4-BE49-F238E27FC236}">
                <a16:creationId xmlns:a16="http://schemas.microsoft.com/office/drawing/2014/main" id="{EDC8AFE9-D94F-41B4-AB36-7993003ED028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49" y="62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7" name="Freeform 93">
            <a:extLst>
              <a:ext uri="{FF2B5EF4-FFF2-40B4-BE49-F238E27FC236}">
                <a16:creationId xmlns:a16="http://schemas.microsoft.com/office/drawing/2014/main" id="{72920A9E-C1F1-4BC7-A261-C77FCFE565AD}"/>
              </a:ext>
            </a:extLst>
          </xdr:cNvPr>
          <xdr:cNvSpPr>
            <a:spLocks/>
          </xdr:cNvSpPr>
        </xdr:nvSpPr>
        <xdr:spPr bwMode="auto">
          <a:xfrm rot="-5400000">
            <a:off x="347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123825</xdr:colOff>
      <xdr:row>15</xdr:row>
      <xdr:rowOff>381000</xdr:rowOff>
    </xdr:from>
    <xdr:to>
      <xdr:col>12</xdr:col>
      <xdr:colOff>180975</xdr:colOff>
      <xdr:row>15</xdr:row>
      <xdr:rowOff>1114425</xdr:rowOff>
    </xdr:to>
    <xdr:grpSp>
      <xdr:nvGrpSpPr>
        <xdr:cNvPr id="1118" name="Group 94">
          <a:extLst>
            <a:ext uri="{FF2B5EF4-FFF2-40B4-BE49-F238E27FC236}">
              <a16:creationId xmlns:a16="http://schemas.microsoft.com/office/drawing/2014/main" id="{A5181EFE-6653-45A8-8007-E2A8CC04AC84}"/>
            </a:ext>
          </a:extLst>
        </xdr:cNvPr>
        <xdr:cNvGrpSpPr>
          <a:grpSpLocks/>
        </xdr:cNvGrpSpPr>
      </xdr:nvGrpSpPr>
      <xdr:grpSpPr bwMode="auto">
        <a:xfrm rot="5400000">
          <a:off x="3176587" y="5834063"/>
          <a:ext cx="733425" cy="57150"/>
          <a:chOff x="123" y="549"/>
          <a:chExt cx="77" cy="6"/>
        </a:xfrm>
      </xdr:grpSpPr>
      <xdr:sp macro="" textlink="">
        <xdr:nvSpPr>
          <xdr:cNvPr id="1119" name="Line 95">
            <a:extLst>
              <a:ext uri="{FF2B5EF4-FFF2-40B4-BE49-F238E27FC236}">
                <a16:creationId xmlns:a16="http://schemas.microsoft.com/office/drawing/2014/main" id="{EA61343F-76E1-410C-934E-FF74ED5CAB3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Freeform 96">
            <a:extLst>
              <a:ext uri="{FF2B5EF4-FFF2-40B4-BE49-F238E27FC236}">
                <a16:creationId xmlns:a16="http://schemas.microsoft.com/office/drawing/2014/main" id="{B79AFF28-AC8D-44E7-BE71-FE08C34C103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1" name="Freeform 97">
            <a:extLst>
              <a:ext uri="{FF2B5EF4-FFF2-40B4-BE49-F238E27FC236}">
                <a16:creationId xmlns:a16="http://schemas.microsoft.com/office/drawing/2014/main" id="{995B9E91-909F-407C-B935-4FDF0445224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</xdr:colOff>
      <xdr:row>15</xdr:row>
      <xdr:rowOff>276225</xdr:rowOff>
    </xdr:from>
    <xdr:to>
      <xdr:col>12</xdr:col>
      <xdr:colOff>19050</xdr:colOff>
      <xdr:row>15</xdr:row>
      <xdr:rowOff>1276350</xdr:rowOff>
    </xdr:to>
    <xdr:grpSp>
      <xdr:nvGrpSpPr>
        <xdr:cNvPr id="1122" name="Group 98">
          <a:extLst>
            <a:ext uri="{FF2B5EF4-FFF2-40B4-BE49-F238E27FC236}">
              <a16:creationId xmlns:a16="http://schemas.microsoft.com/office/drawing/2014/main" id="{8CEEBFC9-2BD0-4D81-B476-438D0CFB4C15}"/>
            </a:ext>
          </a:extLst>
        </xdr:cNvPr>
        <xdr:cNvGrpSpPr>
          <a:grpSpLocks/>
        </xdr:cNvGrpSpPr>
      </xdr:nvGrpSpPr>
      <xdr:grpSpPr bwMode="auto">
        <a:xfrm rot="5400000">
          <a:off x="2757487" y="5738813"/>
          <a:ext cx="1000125" cy="304800"/>
          <a:chOff x="110" y="567"/>
          <a:chExt cx="105" cy="32"/>
        </a:xfrm>
      </xdr:grpSpPr>
      <xdr:sp macro="" textlink="">
        <xdr:nvSpPr>
          <xdr:cNvPr id="1123" name="Line 99">
            <a:extLst>
              <a:ext uri="{FF2B5EF4-FFF2-40B4-BE49-F238E27FC236}">
                <a16:creationId xmlns:a16="http://schemas.microsoft.com/office/drawing/2014/main" id="{27CBD94D-F37D-4E9B-899C-A78753E0BBB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4" name="Freeform 100">
            <a:extLst>
              <a:ext uri="{FF2B5EF4-FFF2-40B4-BE49-F238E27FC236}">
                <a16:creationId xmlns:a16="http://schemas.microsoft.com/office/drawing/2014/main" id="{399ED7BE-8230-4DCE-9759-E4569F3EC078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5" name="Freeform 101">
            <a:extLst>
              <a:ext uri="{FF2B5EF4-FFF2-40B4-BE49-F238E27FC236}">
                <a16:creationId xmlns:a16="http://schemas.microsoft.com/office/drawing/2014/main" id="{59EFEDF4-ABF3-4FC1-BF52-78ED6A537534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6" name="Line 102">
            <a:extLst>
              <a:ext uri="{FF2B5EF4-FFF2-40B4-BE49-F238E27FC236}">
                <a16:creationId xmlns:a16="http://schemas.microsoft.com/office/drawing/2014/main" id="{7A6BEE9F-DE42-4C25-B0D2-342F989F776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7" name="Freeform 103">
            <a:extLst>
              <a:ext uri="{FF2B5EF4-FFF2-40B4-BE49-F238E27FC236}">
                <a16:creationId xmlns:a16="http://schemas.microsoft.com/office/drawing/2014/main" id="{96081006-C2CF-4CD3-9D9D-0E53F987DEA4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8" name="Freeform 104">
            <a:extLst>
              <a:ext uri="{FF2B5EF4-FFF2-40B4-BE49-F238E27FC236}">
                <a16:creationId xmlns:a16="http://schemas.microsoft.com/office/drawing/2014/main" id="{D5414011-01EC-4115-8673-08ED47B432AB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9" name="Line 105">
            <a:extLst>
              <a:ext uri="{FF2B5EF4-FFF2-40B4-BE49-F238E27FC236}">
                <a16:creationId xmlns:a16="http://schemas.microsoft.com/office/drawing/2014/main" id="{FB69414B-1758-411A-8BD3-097C3FF313E1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EEA0E851-6DB6-4A90-9797-37B13741C34A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276225</xdr:colOff>
      <xdr:row>15</xdr:row>
      <xdr:rowOff>1152525</xdr:rowOff>
    </xdr:from>
    <xdr:to>
      <xdr:col>13</xdr:col>
      <xdr:colOff>0</xdr:colOff>
      <xdr:row>15</xdr:row>
      <xdr:rowOff>1314450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8A9BE65D-32F3-4121-9EAB-279F7897E985}"/>
            </a:ext>
          </a:extLst>
        </xdr:cNvPr>
        <xdr:cNvSpPr txBox="1">
          <a:spLocks noChangeArrowheads="1"/>
        </xdr:cNvSpPr>
      </xdr:nvSpPr>
      <xdr:spPr bwMode="auto">
        <a:xfrm>
          <a:off x="3352800" y="62674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5</xdr:col>
      <xdr:colOff>171450</xdr:colOff>
      <xdr:row>15</xdr:row>
      <xdr:rowOff>1276350</xdr:rowOff>
    </xdr:from>
    <xdr:to>
      <xdr:col>6</xdr:col>
      <xdr:colOff>209550</xdr:colOff>
      <xdr:row>15</xdr:row>
      <xdr:rowOff>1438275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4DCD7BDE-5A02-4C51-A196-74558E1EE53B}"/>
            </a:ext>
          </a:extLst>
        </xdr:cNvPr>
        <xdr:cNvSpPr txBox="1">
          <a:spLocks noChangeArrowheads="1"/>
        </xdr:cNvSpPr>
      </xdr:nvSpPr>
      <xdr:spPr bwMode="auto">
        <a:xfrm>
          <a:off x="1362075" y="6391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14.0m</a:t>
          </a:r>
        </a:p>
      </xdr:txBody>
    </xdr:sp>
    <xdr:clientData/>
  </xdr:twoCellAnchor>
  <xdr:twoCellAnchor>
    <xdr:from>
      <xdr:col>7</xdr:col>
      <xdr:colOff>95250</xdr:colOff>
      <xdr:row>15</xdr:row>
      <xdr:rowOff>257175</xdr:rowOff>
    </xdr:from>
    <xdr:to>
      <xdr:col>8</xdr:col>
      <xdr:colOff>133350</xdr:colOff>
      <xdr:row>15</xdr:row>
      <xdr:rowOff>419100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CF6C41DD-3E40-4327-ACED-FFA1B575A870}"/>
            </a:ext>
          </a:extLst>
        </xdr:cNvPr>
        <xdr:cNvSpPr txBox="1">
          <a:spLocks noChangeArrowheads="1"/>
        </xdr:cNvSpPr>
      </xdr:nvSpPr>
      <xdr:spPr bwMode="auto">
        <a:xfrm>
          <a:off x="1914525" y="53721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104775</xdr:colOff>
      <xdr:row>15</xdr:row>
      <xdr:rowOff>1171575</xdr:rowOff>
    </xdr:from>
    <xdr:to>
      <xdr:col>8</xdr:col>
      <xdr:colOff>142875</xdr:colOff>
      <xdr:row>15</xdr:row>
      <xdr:rowOff>1333500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6131916C-85AA-47AB-9FC7-F93AF705BAEB}"/>
            </a:ext>
          </a:extLst>
        </xdr:cNvPr>
        <xdr:cNvSpPr txBox="1">
          <a:spLocks noChangeArrowheads="1"/>
        </xdr:cNvSpPr>
      </xdr:nvSpPr>
      <xdr:spPr bwMode="auto">
        <a:xfrm>
          <a:off x="19240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0</xdr:colOff>
      <xdr:row>15</xdr:row>
      <xdr:rowOff>209550</xdr:rowOff>
    </xdr:from>
    <xdr:to>
      <xdr:col>13</xdr:col>
      <xdr:colOff>38100</xdr:colOff>
      <xdr:row>15</xdr:row>
      <xdr:rowOff>371475</xdr:rowOff>
    </xdr:to>
    <xdr:sp macro="" textlink="">
      <xdr:nvSpPr>
        <xdr:cNvPr id="1135" name="Text Box 111">
          <a:extLst>
            <a:ext uri="{FF2B5EF4-FFF2-40B4-BE49-F238E27FC236}">
              <a16:creationId xmlns:a16="http://schemas.microsoft.com/office/drawing/2014/main" id="{CF71981E-7D27-4A06-ABEA-2F8778298094}"/>
            </a:ext>
          </a:extLst>
        </xdr:cNvPr>
        <xdr:cNvSpPr txBox="1">
          <a:spLocks noChangeArrowheads="1"/>
        </xdr:cNvSpPr>
      </xdr:nvSpPr>
      <xdr:spPr bwMode="auto">
        <a:xfrm>
          <a:off x="339090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21</xdr:col>
      <xdr:colOff>66675</xdr:colOff>
      <xdr:row>15</xdr:row>
      <xdr:rowOff>438150</xdr:rowOff>
    </xdr:from>
    <xdr:to>
      <xdr:col>23</xdr:col>
      <xdr:colOff>133350</xdr:colOff>
      <xdr:row>15</xdr:row>
      <xdr:rowOff>1133475</xdr:rowOff>
    </xdr:to>
    <xdr:pic>
      <xdr:nvPicPr>
        <xdr:cNvPr id="1136" name="Picture 112">
          <a:extLst>
            <a:ext uri="{FF2B5EF4-FFF2-40B4-BE49-F238E27FC236}">
              <a16:creationId xmlns:a16="http://schemas.microsoft.com/office/drawing/2014/main" id="{726E8F38-D8D5-45F9-BC3F-2DF417610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55530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209550</xdr:colOff>
      <xdr:row>6</xdr:row>
      <xdr:rowOff>152400</xdr:rowOff>
    </xdr:from>
    <xdr:to>
      <xdr:col>11</xdr:col>
      <xdr:colOff>238125</xdr:colOff>
      <xdr:row>7</xdr:row>
      <xdr:rowOff>209550</xdr:rowOff>
    </xdr:to>
    <xdr:sp macro="" textlink="">
      <xdr:nvSpPr>
        <xdr:cNvPr id="1137" name="Rectangle 113">
          <a:extLst>
            <a:ext uri="{FF2B5EF4-FFF2-40B4-BE49-F238E27FC236}">
              <a16:creationId xmlns:a16="http://schemas.microsoft.com/office/drawing/2014/main" id="{79E0AE80-F677-47B5-A493-82AE293074F3}"/>
            </a:ext>
          </a:extLst>
        </xdr:cNvPr>
        <xdr:cNvSpPr>
          <a:spLocks noChangeArrowheads="1"/>
        </xdr:cNvSpPr>
      </xdr:nvSpPr>
      <xdr:spPr bwMode="auto">
        <a:xfrm>
          <a:off x="1714500" y="1562100"/>
          <a:ext cx="16002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7</xdr:row>
      <xdr:rowOff>1676400</xdr:rowOff>
    </xdr:from>
    <xdr:to>
      <xdr:col>8</xdr:col>
      <xdr:colOff>161925</xdr:colOff>
      <xdr:row>8</xdr:row>
      <xdr:rowOff>85725</xdr:rowOff>
    </xdr:to>
    <xdr:sp macro="" textlink="">
      <xdr:nvSpPr>
        <xdr:cNvPr id="1138" name="Rectangle 114">
          <a:extLst>
            <a:ext uri="{FF2B5EF4-FFF2-40B4-BE49-F238E27FC236}">
              <a16:creationId xmlns:a16="http://schemas.microsoft.com/office/drawing/2014/main" id="{D3016F9B-EA00-47A3-A2E2-D35A0EF1416A}"/>
            </a:ext>
          </a:extLst>
        </xdr:cNvPr>
        <xdr:cNvSpPr>
          <a:spLocks noChangeArrowheads="1"/>
        </xdr:cNvSpPr>
      </xdr:nvSpPr>
      <xdr:spPr bwMode="auto">
        <a:xfrm>
          <a:off x="1381125" y="3314700"/>
          <a:ext cx="9144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247650</xdr:colOff>
      <xdr:row>7</xdr:row>
      <xdr:rowOff>1133475</xdr:rowOff>
    </xdr:from>
    <xdr:to>
      <xdr:col>7</xdr:col>
      <xdr:colOff>123825</xdr:colOff>
      <xdr:row>7</xdr:row>
      <xdr:rowOff>1285875</xdr:rowOff>
    </xdr:to>
    <xdr:sp macro="" textlink="">
      <xdr:nvSpPr>
        <xdr:cNvPr id="1139" name="Rectangle 115">
          <a:extLst>
            <a:ext uri="{FF2B5EF4-FFF2-40B4-BE49-F238E27FC236}">
              <a16:creationId xmlns:a16="http://schemas.microsoft.com/office/drawing/2014/main" id="{107AEBDC-9446-47F1-8B84-7E33429D92AB}"/>
            </a:ext>
          </a:extLst>
        </xdr:cNvPr>
        <xdr:cNvSpPr>
          <a:spLocks noChangeArrowheads="1"/>
        </xdr:cNvSpPr>
      </xdr:nvSpPr>
      <xdr:spPr bwMode="auto">
        <a:xfrm>
          <a:off x="1438275" y="2771775"/>
          <a:ext cx="5048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905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905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V5" sqref="V5"/>
    </sheetView>
  </sheetViews>
  <sheetFormatPr defaultRowHeight="12" x14ac:dyDescent="0.15"/>
  <cols>
    <col min="1" max="1" width="7.5" style="56" bestFit="1" customWidth="1"/>
    <col min="2" max="2" width="2.25" style="56" bestFit="1" customWidth="1"/>
    <col min="3" max="3" width="5.25" style="56" bestFit="1" customWidth="1"/>
    <col min="4" max="4" width="2.25" style="70" bestFit="1" customWidth="1"/>
    <col min="5" max="24" width="4.125" style="34" customWidth="1"/>
    <col min="25" max="16384" width="9" style="34"/>
  </cols>
  <sheetData>
    <row r="1" spans="1:30" ht="15" customHeight="1" x14ac:dyDescent="0.15">
      <c r="A1" s="111" t="s">
        <v>0</v>
      </c>
      <c r="B1" s="100"/>
      <c r="C1" s="100"/>
      <c r="D1" s="100"/>
      <c r="E1" s="101"/>
      <c r="F1" s="116" t="s">
        <v>69</v>
      </c>
      <c r="G1" s="100"/>
      <c r="H1" s="97" t="s">
        <v>68</v>
      </c>
      <c r="I1" s="97"/>
      <c r="J1" s="97"/>
      <c r="K1" s="97"/>
      <c r="L1" s="100" t="s">
        <v>71</v>
      </c>
      <c r="M1" s="101"/>
      <c r="N1" s="104" t="s">
        <v>62</v>
      </c>
      <c r="O1" s="101"/>
      <c r="P1" s="105">
        <v>46064</v>
      </c>
      <c r="Q1" s="106"/>
      <c r="R1" s="106"/>
      <c r="S1" s="107"/>
      <c r="T1" s="99" t="s">
        <v>3</v>
      </c>
      <c r="U1" s="99"/>
      <c r="V1" s="99" t="s">
        <v>77</v>
      </c>
      <c r="W1" s="99"/>
      <c r="X1" s="99"/>
    </row>
    <row r="2" spans="1:30" ht="7.5" customHeight="1" x14ac:dyDescent="0.15">
      <c r="A2" s="115"/>
      <c r="B2" s="102"/>
      <c r="C2" s="102"/>
      <c r="D2" s="102"/>
      <c r="E2" s="103"/>
      <c r="F2" s="115"/>
      <c r="G2" s="102"/>
      <c r="H2" s="98"/>
      <c r="I2" s="98"/>
      <c r="J2" s="98"/>
      <c r="K2" s="98"/>
      <c r="L2" s="102"/>
      <c r="M2" s="103"/>
      <c r="N2" s="78"/>
      <c r="O2" s="80"/>
      <c r="P2" s="108"/>
      <c r="Q2" s="109"/>
      <c r="R2" s="109"/>
      <c r="S2" s="110"/>
      <c r="T2" s="111" t="s">
        <v>6</v>
      </c>
      <c r="U2" s="101"/>
      <c r="V2" s="72">
        <v>46023</v>
      </c>
      <c r="W2" s="73"/>
      <c r="X2" s="74"/>
    </row>
    <row r="3" spans="1:30" ht="7.5" customHeight="1" x14ac:dyDescent="0.15">
      <c r="A3" s="78" t="s">
        <v>4</v>
      </c>
      <c r="B3" s="79"/>
      <c r="C3" s="79"/>
      <c r="D3" s="79"/>
      <c r="E3" s="80"/>
      <c r="F3" s="84" t="s">
        <v>70</v>
      </c>
      <c r="G3" s="85"/>
      <c r="H3" s="86" t="s">
        <v>68</v>
      </c>
      <c r="I3" s="86"/>
      <c r="J3" s="86"/>
      <c r="K3" s="86"/>
      <c r="L3" s="88" t="s">
        <v>63</v>
      </c>
      <c r="M3" s="89"/>
      <c r="N3" s="78"/>
      <c r="O3" s="80"/>
      <c r="P3" s="92">
        <v>2.6388888888888889E-2</v>
      </c>
      <c r="Q3" s="93"/>
      <c r="R3" s="93"/>
      <c r="S3" s="96" t="s">
        <v>55</v>
      </c>
      <c r="T3" s="81"/>
      <c r="U3" s="83"/>
      <c r="V3" s="75"/>
      <c r="W3" s="76"/>
      <c r="X3" s="77"/>
    </row>
    <row r="4" spans="1:30" ht="15" customHeight="1" x14ac:dyDescent="0.15">
      <c r="A4" s="81"/>
      <c r="B4" s="82"/>
      <c r="C4" s="82"/>
      <c r="D4" s="82"/>
      <c r="E4" s="83"/>
      <c r="F4" s="81"/>
      <c r="G4" s="82"/>
      <c r="H4" s="87"/>
      <c r="I4" s="87"/>
      <c r="J4" s="87"/>
      <c r="K4" s="87"/>
      <c r="L4" s="90"/>
      <c r="M4" s="91"/>
      <c r="N4" s="81"/>
      <c r="O4" s="83"/>
      <c r="P4" s="94"/>
      <c r="Q4" s="95"/>
      <c r="R4" s="95"/>
      <c r="S4" s="83"/>
      <c r="T4" s="99" t="s">
        <v>64</v>
      </c>
      <c r="U4" s="99"/>
      <c r="V4" s="99" t="s">
        <v>76</v>
      </c>
      <c r="W4" s="99"/>
      <c r="X4" s="99"/>
      <c r="Z4" s="35" t="s">
        <v>65</v>
      </c>
      <c r="AA4" s="36">
        <v>1688</v>
      </c>
    </row>
    <row r="5" spans="1:30" ht="18" customHeight="1" x14ac:dyDescent="0.15">
      <c r="A5" s="133"/>
      <c r="B5" s="134"/>
      <c r="C5" s="134"/>
      <c r="D5" s="134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8"/>
    </row>
    <row r="6" spans="1:30" ht="18" customHeight="1" x14ac:dyDescent="0.15">
      <c r="A6" s="131"/>
      <c r="B6" s="132"/>
      <c r="C6" s="132"/>
      <c r="D6" s="132"/>
      <c r="X6" s="39"/>
    </row>
    <row r="7" spans="1:30" ht="18" customHeight="1" x14ac:dyDescent="0.15">
      <c r="A7" s="131"/>
      <c r="B7" s="132"/>
      <c r="C7" s="132"/>
      <c r="D7" s="132"/>
      <c r="X7" s="39"/>
    </row>
    <row r="8" spans="1:30" ht="18" customHeight="1" x14ac:dyDescent="0.15">
      <c r="A8" s="131"/>
      <c r="B8" s="132"/>
      <c r="C8" s="132"/>
      <c r="D8" s="132"/>
      <c r="X8" s="39"/>
    </row>
    <row r="9" spans="1:30" ht="18" customHeight="1" x14ac:dyDescent="0.15">
      <c r="A9" s="131"/>
      <c r="B9" s="132"/>
      <c r="C9" s="132"/>
      <c r="D9" s="132"/>
      <c r="X9" s="39"/>
    </row>
    <row r="10" spans="1:30" ht="147.75" customHeight="1" x14ac:dyDescent="0.15">
      <c r="A10" s="131"/>
      <c r="B10" s="132"/>
      <c r="C10" s="132"/>
      <c r="D10" s="132"/>
      <c r="X10" s="39"/>
    </row>
    <row r="11" spans="1:30" ht="18" customHeight="1" x14ac:dyDescent="0.15">
      <c r="A11" s="131"/>
      <c r="B11" s="132"/>
      <c r="C11" s="132"/>
      <c r="D11" s="132"/>
      <c r="X11" s="39"/>
    </row>
    <row r="12" spans="1:30" ht="18" customHeight="1" x14ac:dyDescent="0.15">
      <c r="A12" s="131"/>
      <c r="B12" s="132"/>
      <c r="C12" s="132"/>
      <c r="D12" s="132"/>
      <c r="X12" s="39"/>
    </row>
    <row r="13" spans="1:30" ht="18" customHeight="1" x14ac:dyDescent="0.15">
      <c r="A13" s="131"/>
      <c r="B13" s="132"/>
      <c r="C13" s="132"/>
      <c r="D13" s="132"/>
      <c r="X13" s="39"/>
    </row>
    <row r="14" spans="1:30" ht="18" customHeight="1" x14ac:dyDescent="0.15">
      <c r="A14" s="124"/>
      <c r="B14" s="125"/>
      <c r="C14" s="126"/>
      <c r="D14" s="126"/>
      <c r="X14" s="39"/>
      <c r="Z14" s="34">
        <v>50</v>
      </c>
      <c r="AA14" s="34">
        <f>Z14/3.6</f>
        <v>13.888888888888889</v>
      </c>
      <c r="AC14" s="60">
        <v>46.3</v>
      </c>
      <c r="AD14" s="60">
        <f>AC14/AA14</f>
        <v>3.3335999999999997</v>
      </c>
    </row>
    <row r="15" spans="1:30" ht="18" customHeight="1" x14ac:dyDescent="0.15">
      <c r="A15" s="127"/>
      <c r="B15" s="128"/>
      <c r="C15" s="129"/>
      <c r="D15" s="129"/>
      <c r="E15" s="40"/>
      <c r="F15" s="40"/>
      <c r="G15" s="40"/>
      <c r="H15" s="40"/>
      <c r="I15" s="40"/>
      <c r="J15" s="40"/>
      <c r="K15" s="40"/>
      <c r="L15" s="40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71"/>
      <c r="Z15" s="34">
        <v>40</v>
      </c>
      <c r="AA15" s="34">
        <f>Z15/3.6</f>
        <v>11.111111111111111</v>
      </c>
      <c r="AC15" s="60">
        <v>43.5</v>
      </c>
      <c r="AD15" s="60">
        <f>AC15/AA15</f>
        <v>3.915</v>
      </c>
    </row>
    <row r="16" spans="1:30" s="44" customFormat="1" ht="18" customHeight="1" x14ac:dyDescent="0.15">
      <c r="A16" s="130" t="s">
        <v>7</v>
      </c>
      <c r="B16" s="130"/>
      <c r="C16" s="130"/>
      <c r="D16" s="130"/>
      <c r="E16" s="42">
        <v>1</v>
      </c>
      <c r="F16" s="42">
        <v>2</v>
      </c>
      <c r="G16" s="42">
        <v>3</v>
      </c>
      <c r="H16" s="42">
        <v>4</v>
      </c>
      <c r="I16" s="42">
        <v>5</v>
      </c>
      <c r="J16" s="42">
        <v>6</v>
      </c>
      <c r="K16" s="42">
        <v>7</v>
      </c>
      <c r="L16" s="42">
        <v>8</v>
      </c>
      <c r="M16" s="42">
        <v>9</v>
      </c>
      <c r="N16" s="42">
        <v>10</v>
      </c>
      <c r="O16" s="42">
        <v>11</v>
      </c>
      <c r="P16" s="42">
        <v>12</v>
      </c>
      <c r="Q16" s="42">
        <v>13</v>
      </c>
      <c r="R16" s="43">
        <v>14</v>
      </c>
      <c r="S16" s="42">
        <v>15</v>
      </c>
      <c r="T16" s="42">
        <v>16</v>
      </c>
      <c r="U16" s="42">
        <v>17</v>
      </c>
      <c r="V16" s="42">
        <v>18</v>
      </c>
      <c r="W16" s="42">
        <v>19</v>
      </c>
      <c r="X16" s="42">
        <v>20</v>
      </c>
    </row>
    <row r="17" spans="1:25" s="48" customFormat="1" ht="18" customHeight="1" x14ac:dyDescent="0.15">
      <c r="A17" s="130" t="s">
        <v>8</v>
      </c>
      <c r="B17" s="130"/>
      <c r="C17" s="130"/>
      <c r="D17" s="130"/>
      <c r="E17" s="45" t="s">
        <v>9</v>
      </c>
      <c r="F17" s="45" t="s">
        <v>10</v>
      </c>
      <c r="G17" s="45" t="s">
        <v>11</v>
      </c>
      <c r="H17" s="45" t="s">
        <v>12</v>
      </c>
      <c r="I17" s="45" t="s">
        <v>52</v>
      </c>
      <c r="J17" s="46" t="s">
        <v>12</v>
      </c>
      <c r="K17" s="46" t="s">
        <v>13</v>
      </c>
      <c r="L17" s="46" t="s">
        <v>14</v>
      </c>
      <c r="M17" s="46" t="s">
        <v>15</v>
      </c>
      <c r="N17" s="46" t="s">
        <v>16</v>
      </c>
      <c r="O17" s="46" t="s">
        <v>17</v>
      </c>
      <c r="P17" s="47" t="s">
        <v>18</v>
      </c>
      <c r="Q17" s="46" t="s">
        <v>17</v>
      </c>
      <c r="R17" s="47" t="s">
        <v>19</v>
      </c>
      <c r="S17" s="46"/>
      <c r="T17" s="46"/>
      <c r="U17" s="46"/>
      <c r="V17" s="46"/>
      <c r="W17" s="46"/>
      <c r="X17" s="46"/>
    </row>
    <row r="18" spans="1:25" s="48" customFormat="1" ht="125.1" customHeight="1" x14ac:dyDescent="0.15">
      <c r="A18" s="112"/>
      <c r="B18" s="113"/>
      <c r="C18" s="113"/>
      <c r="D18" s="114"/>
      <c r="E18" s="49"/>
      <c r="F18" s="49"/>
      <c r="G18" s="49"/>
      <c r="H18" s="49"/>
      <c r="I18" s="50"/>
      <c r="L18" s="50"/>
      <c r="M18" s="49"/>
      <c r="N18" s="49"/>
      <c r="O18" s="47"/>
      <c r="P18" s="49"/>
      <c r="Q18" s="49"/>
      <c r="R18" s="47"/>
      <c r="S18" s="49"/>
      <c r="U18" s="49"/>
      <c r="V18" s="49"/>
      <c r="W18" s="49"/>
      <c r="X18" s="47"/>
      <c r="Y18" s="51"/>
    </row>
    <row r="19" spans="1:25" ht="18" customHeight="1" x14ac:dyDescent="0.15">
      <c r="A19" s="112" t="s">
        <v>72</v>
      </c>
      <c r="B19" s="113"/>
      <c r="C19" s="113" t="s">
        <v>21</v>
      </c>
      <c r="D19" s="114"/>
      <c r="E19" s="52"/>
      <c r="F19" s="52"/>
      <c r="G19" s="52"/>
      <c r="H19" s="52"/>
      <c r="I19" s="52"/>
      <c r="J19" s="53"/>
      <c r="K19" s="53"/>
      <c r="L19" s="52"/>
      <c r="M19" s="52"/>
      <c r="N19" s="52"/>
      <c r="O19" s="52"/>
      <c r="P19" s="53"/>
      <c r="Q19" s="53"/>
      <c r="R19" s="53"/>
      <c r="S19" s="53"/>
      <c r="T19" s="53"/>
      <c r="U19" s="53"/>
      <c r="V19" s="53"/>
      <c r="W19" s="53"/>
      <c r="X19" s="53"/>
    </row>
    <row r="20" spans="1:25" ht="18" customHeight="1" x14ac:dyDescent="0.15">
      <c r="A20" s="112" t="s">
        <v>22</v>
      </c>
      <c r="B20" s="113"/>
      <c r="C20" s="113" t="s">
        <v>23</v>
      </c>
      <c r="D20" s="114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</row>
    <row r="21" spans="1:25" ht="18" customHeight="1" x14ac:dyDescent="0.15">
      <c r="A21" s="112" t="s">
        <v>73</v>
      </c>
      <c r="B21" s="113"/>
      <c r="C21" s="113" t="s">
        <v>51</v>
      </c>
      <c r="D21" s="114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</row>
    <row r="22" spans="1:25" ht="18" customHeight="1" x14ac:dyDescent="0.15">
      <c r="A22" s="112" t="s">
        <v>74</v>
      </c>
      <c r="B22" s="113"/>
      <c r="C22" s="113" t="s">
        <v>25</v>
      </c>
      <c r="D22" s="114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</row>
    <row r="23" spans="1:25" ht="18" customHeight="1" x14ac:dyDescent="0.15">
      <c r="A23" s="112" t="s">
        <v>26</v>
      </c>
      <c r="B23" s="113"/>
      <c r="C23" s="113" t="s">
        <v>27</v>
      </c>
      <c r="D23" s="11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</row>
    <row r="24" spans="1:25" ht="18" customHeight="1" x14ac:dyDescent="0.15">
      <c r="A24" s="112" t="s">
        <v>75</v>
      </c>
      <c r="B24" s="113"/>
      <c r="C24" s="113" t="s">
        <v>39</v>
      </c>
      <c r="D24" s="114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spans="1:25" ht="18" customHeight="1" x14ac:dyDescent="0.15">
      <c r="A25" s="117"/>
      <c r="B25" s="118"/>
      <c r="C25" s="118"/>
      <c r="D25" s="119"/>
      <c r="E25" s="5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 spans="1:25" ht="18" customHeight="1" x14ac:dyDescent="0.15">
      <c r="A26" s="120"/>
      <c r="B26" s="121"/>
      <c r="C26" s="122"/>
      <c r="D26" s="12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</row>
    <row r="27" spans="1:25" ht="18" customHeight="1" x14ac:dyDescent="0.15">
      <c r="A27" s="112"/>
      <c r="B27" s="113"/>
      <c r="C27" s="113"/>
      <c r="D27" s="114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</row>
    <row r="28" spans="1:25" ht="18" customHeight="1" x14ac:dyDescent="0.15">
      <c r="A28" s="112"/>
      <c r="B28" s="113"/>
      <c r="C28" s="113"/>
      <c r="D28" s="114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</row>
    <row r="29" spans="1:25" ht="18" customHeight="1" x14ac:dyDescent="0.15">
      <c r="A29" s="117"/>
      <c r="B29" s="118"/>
      <c r="C29" s="118"/>
      <c r="D29" s="119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</row>
    <row r="30" spans="1:25" ht="18" customHeight="1" x14ac:dyDescent="0.15">
      <c r="A30" s="117"/>
      <c r="B30" s="118"/>
      <c r="C30" s="118"/>
      <c r="D30" s="119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</row>
    <row r="31" spans="1:25" ht="18" customHeight="1" x14ac:dyDescent="0.15">
      <c r="A31" s="117"/>
      <c r="B31" s="118"/>
      <c r="C31" s="118"/>
      <c r="D31" s="119"/>
      <c r="E31" s="53"/>
      <c r="F31" s="53"/>
      <c r="G31" s="53"/>
      <c r="H31" s="55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</row>
    <row r="32" spans="1:25" ht="18" customHeight="1" x14ac:dyDescent="0.15">
      <c r="A32" s="117"/>
      <c r="B32" s="118"/>
      <c r="C32" s="118"/>
      <c r="D32" s="119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</row>
    <row r="33" spans="1:27" ht="18" customHeight="1" x14ac:dyDescent="0.15">
      <c r="A33" s="61" t="s">
        <v>66</v>
      </c>
      <c r="B33" s="62"/>
      <c r="C33" s="63"/>
      <c r="D33" s="68"/>
      <c r="E33" s="64">
        <v>109</v>
      </c>
      <c r="F33" s="64"/>
      <c r="G33" s="64"/>
      <c r="H33" s="64"/>
      <c r="I33" s="64">
        <v>109</v>
      </c>
      <c r="J33" s="64"/>
      <c r="K33" s="64"/>
      <c r="L33" s="65">
        <v>109</v>
      </c>
      <c r="M33" s="64"/>
      <c r="N33" s="64"/>
      <c r="O33" s="64"/>
      <c r="P33" s="64">
        <v>109</v>
      </c>
      <c r="Q33" s="64"/>
      <c r="R33" s="64"/>
      <c r="S33" s="64"/>
      <c r="T33" s="64"/>
      <c r="U33" s="66"/>
      <c r="V33" s="66"/>
      <c r="W33" s="66"/>
      <c r="X33" s="53"/>
    </row>
    <row r="34" spans="1:27" ht="18" customHeight="1" x14ac:dyDescent="0.15">
      <c r="A34" s="67" t="s">
        <v>67</v>
      </c>
      <c r="B34" s="58" t="s">
        <v>29</v>
      </c>
      <c r="C34" s="59">
        <f>SUM(E34:X34)</f>
        <v>78</v>
      </c>
      <c r="D34" s="69" t="s">
        <v>30</v>
      </c>
      <c r="E34" s="64">
        <v>15</v>
      </c>
      <c r="F34" s="64">
        <v>5</v>
      </c>
      <c r="G34" s="64">
        <v>2</v>
      </c>
      <c r="H34" s="64">
        <v>3</v>
      </c>
      <c r="I34" s="64">
        <v>5</v>
      </c>
      <c r="J34" s="64">
        <v>2</v>
      </c>
      <c r="K34" s="64">
        <v>4</v>
      </c>
      <c r="L34" s="64">
        <v>18</v>
      </c>
      <c r="M34" s="64">
        <v>8</v>
      </c>
      <c r="N34" s="64">
        <v>2</v>
      </c>
      <c r="O34" s="64">
        <v>3</v>
      </c>
      <c r="P34" s="64">
        <v>5</v>
      </c>
      <c r="Q34" s="64">
        <v>2</v>
      </c>
      <c r="R34" s="64">
        <v>4</v>
      </c>
      <c r="S34" s="64"/>
      <c r="T34" s="64"/>
      <c r="U34" s="66"/>
      <c r="V34" s="66"/>
      <c r="W34" s="66"/>
      <c r="X34" s="53"/>
      <c r="Z34" s="44">
        <v>110</v>
      </c>
      <c r="AA34" s="44">
        <f>Z34-INT(Z34/8)-3</f>
        <v>94</v>
      </c>
    </row>
    <row r="35" spans="1:27" ht="18" customHeight="1" x14ac:dyDescent="0.15">
      <c r="A35" s="57" t="s">
        <v>28</v>
      </c>
      <c r="B35" s="58" t="s">
        <v>29</v>
      </c>
      <c r="C35" s="59">
        <f>SUM(E35:X35)</f>
        <v>150</v>
      </c>
      <c r="D35" s="69" t="s">
        <v>30</v>
      </c>
      <c r="E35" s="42">
        <v>67</v>
      </c>
      <c r="F35" s="42">
        <v>5</v>
      </c>
      <c r="G35" s="42">
        <v>2</v>
      </c>
      <c r="H35" s="42">
        <v>3</v>
      </c>
      <c r="I35" s="42">
        <v>9</v>
      </c>
      <c r="J35" s="42">
        <v>2</v>
      </c>
      <c r="K35" s="42">
        <v>4</v>
      </c>
      <c r="L35" s="42">
        <v>30</v>
      </c>
      <c r="M35" s="42">
        <v>8</v>
      </c>
      <c r="N35" s="42">
        <v>2</v>
      </c>
      <c r="O35" s="42">
        <v>3</v>
      </c>
      <c r="P35" s="42">
        <v>9</v>
      </c>
      <c r="Q35" s="42">
        <v>2</v>
      </c>
      <c r="R35" s="42">
        <v>4</v>
      </c>
      <c r="S35" s="42"/>
      <c r="T35" s="42"/>
      <c r="U35" s="42"/>
      <c r="V35" s="42"/>
      <c r="W35" s="42"/>
      <c r="X35" s="42"/>
      <c r="Z35" s="44">
        <v>150</v>
      </c>
      <c r="AA35" s="44">
        <f>Z35-INT(Z35/8)-3</f>
        <v>129</v>
      </c>
    </row>
    <row r="36" spans="1:27" ht="18" customHeight="1" x14ac:dyDescent="0.15">
      <c r="A36" s="112" t="s">
        <v>31</v>
      </c>
      <c r="B36" s="113"/>
      <c r="C36" s="113"/>
      <c r="D36" s="114"/>
      <c r="E36" s="42">
        <v>110</v>
      </c>
      <c r="F36" s="42">
        <v>110</v>
      </c>
      <c r="G36" s="42">
        <v>110</v>
      </c>
      <c r="H36" s="42">
        <v>10</v>
      </c>
      <c r="I36" s="42">
        <v>110</v>
      </c>
      <c r="J36" s="42">
        <v>10</v>
      </c>
      <c r="K36" s="42">
        <v>10</v>
      </c>
      <c r="L36" s="42">
        <v>110</v>
      </c>
      <c r="M36" s="42">
        <v>110</v>
      </c>
      <c r="N36" s="42">
        <v>110</v>
      </c>
      <c r="O36" s="42">
        <v>10</v>
      </c>
      <c r="P36" s="42">
        <v>110</v>
      </c>
      <c r="Q36" s="42">
        <v>10</v>
      </c>
      <c r="R36" s="42">
        <v>10</v>
      </c>
      <c r="S36" s="42"/>
      <c r="T36" s="42"/>
      <c r="U36" s="42"/>
      <c r="V36" s="42"/>
      <c r="W36" s="42"/>
      <c r="X36" s="42"/>
    </row>
    <row r="37" spans="1:27" ht="18" customHeight="1" x14ac:dyDescent="0.15">
      <c r="A37" s="112" t="s">
        <v>32</v>
      </c>
      <c r="B37" s="113"/>
      <c r="C37" s="113"/>
      <c r="D37" s="114"/>
      <c r="E37" s="64">
        <v>6</v>
      </c>
      <c r="F37" s="64">
        <v>0.95</v>
      </c>
      <c r="G37" s="64">
        <v>0.95</v>
      </c>
      <c r="H37" s="64">
        <v>0.95</v>
      </c>
      <c r="I37" s="64">
        <v>0.95</v>
      </c>
      <c r="J37" s="64">
        <v>0.95</v>
      </c>
      <c r="K37" s="64">
        <v>0.95</v>
      </c>
      <c r="L37" s="64">
        <v>6</v>
      </c>
      <c r="M37" s="64">
        <v>0.95</v>
      </c>
      <c r="N37" s="64">
        <v>0.95</v>
      </c>
      <c r="O37" s="64">
        <v>0.95</v>
      </c>
      <c r="P37" s="64">
        <v>0.95</v>
      </c>
      <c r="Q37" s="64">
        <v>0.95</v>
      </c>
      <c r="R37" s="64">
        <v>0.95</v>
      </c>
      <c r="S37" s="64"/>
      <c r="T37" s="64"/>
      <c r="U37" s="64"/>
      <c r="V37" s="64"/>
      <c r="W37" s="64"/>
      <c r="X37" s="64"/>
    </row>
    <row r="38" spans="1:27" ht="18" customHeight="1" x14ac:dyDescent="0.15">
      <c r="A38" s="112" t="s">
        <v>33</v>
      </c>
      <c r="B38" s="113"/>
      <c r="C38" s="113"/>
      <c r="D38" s="114"/>
      <c r="E38" s="42" t="s">
        <v>34</v>
      </c>
      <c r="F38" s="42" t="s">
        <v>35</v>
      </c>
      <c r="G38" s="42" t="s">
        <v>35</v>
      </c>
      <c r="H38" s="42" t="s">
        <v>35</v>
      </c>
      <c r="I38" s="42" t="s">
        <v>35</v>
      </c>
      <c r="J38" s="42" t="s">
        <v>35</v>
      </c>
      <c r="K38" s="42" t="s">
        <v>35</v>
      </c>
      <c r="L38" s="42" t="s">
        <v>35</v>
      </c>
      <c r="M38" s="42" t="s">
        <v>34</v>
      </c>
      <c r="N38" s="42" t="s">
        <v>34</v>
      </c>
      <c r="O38" s="42" t="s">
        <v>34</v>
      </c>
      <c r="P38" s="42" t="s">
        <v>34</v>
      </c>
      <c r="Q38" s="42" t="s">
        <v>34</v>
      </c>
      <c r="R38" s="42" t="s">
        <v>34</v>
      </c>
      <c r="S38" s="42"/>
      <c r="T38" s="42"/>
      <c r="U38" s="42"/>
      <c r="V38" s="42"/>
      <c r="W38" s="42"/>
      <c r="X38" s="42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N1:O4"/>
    <mergeCell ref="T1:U1"/>
    <mergeCell ref="P1:S2"/>
    <mergeCell ref="T2:U3"/>
  </mergeCells>
  <phoneticPr fontId="3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9"/>
  <dimension ref="A1:Y36"/>
  <sheetViews>
    <sheetView zoomScaleNormal="100" workbookViewId="0">
      <selection activeCell="H1" sqref="H1:M1"/>
    </sheetView>
  </sheetViews>
  <sheetFormatPr defaultRowHeight="11.25" x14ac:dyDescent="0.15"/>
  <cols>
    <col min="1" max="1" width="5.125" style="28" customWidth="1"/>
    <col min="2" max="2" width="0.875" style="28" customWidth="1"/>
    <col min="3" max="3" width="4.625" style="28" customWidth="1"/>
    <col min="4" max="4" width="0.875" style="28" customWidth="1"/>
    <col min="5" max="24" width="4.125" style="3" customWidth="1"/>
    <col min="25" max="16384" width="9" style="3"/>
  </cols>
  <sheetData>
    <row r="1" spans="1:25" ht="20.100000000000001" customHeight="1" x14ac:dyDescent="0.15">
      <c r="A1" s="141" t="s">
        <v>0</v>
      </c>
      <c r="B1" s="141"/>
      <c r="C1" s="141"/>
      <c r="D1" s="141"/>
      <c r="E1" s="141"/>
      <c r="F1" s="142" t="s">
        <v>36</v>
      </c>
      <c r="G1" s="143"/>
      <c r="H1" s="145" t="s">
        <v>1</v>
      </c>
      <c r="I1" s="146"/>
      <c r="J1" s="146"/>
      <c r="K1" s="146"/>
      <c r="L1" s="146"/>
      <c r="M1" s="146"/>
      <c r="N1" s="153" t="s">
        <v>2</v>
      </c>
      <c r="O1" s="153"/>
      <c r="P1" s="154">
        <v>40592</v>
      </c>
      <c r="Q1" s="155"/>
      <c r="R1" s="155"/>
      <c r="S1" s="156"/>
      <c r="T1" s="135" t="s">
        <v>3</v>
      </c>
      <c r="U1" s="135"/>
      <c r="V1" s="136" t="s">
        <v>56</v>
      </c>
      <c r="W1" s="137"/>
      <c r="X1" s="137"/>
    </row>
    <row r="2" spans="1:25" ht="20.100000000000001" customHeight="1" x14ac:dyDescent="0.15">
      <c r="A2" s="147" t="s">
        <v>4</v>
      </c>
      <c r="B2" s="147"/>
      <c r="C2" s="147"/>
      <c r="D2" s="147"/>
      <c r="E2" s="147"/>
      <c r="F2" s="148" t="s">
        <v>45</v>
      </c>
      <c r="G2" s="149"/>
      <c r="H2" s="29" t="s">
        <v>43</v>
      </c>
      <c r="I2" s="29"/>
      <c r="J2" s="29"/>
      <c r="K2" s="157" t="s">
        <v>46</v>
      </c>
      <c r="L2" s="157"/>
      <c r="M2" s="158"/>
      <c r="N2" s="147" t="s">
        <v>5</v>
      </c>
      <c r="O2" s="147"/>
      <c r="P2" s="150">
        <v>0.64930555555555558</v>
      </c>
      <c r="Q2" s="151"/>
      <c r="R2" s="152"/>
      <c r="S2" s="33" t="s">
        <v>55</v>
      </c>
      <c r="T2" s="135" t="s">
        <v>6</v>
      </c>
      <c r="U2" s="135"/>
      <c r="V2" s="144">
        <v>37987</v>
      </c>
      <c r="W2" s="144"/>
      <c r="X2" s="144"/>
    </row>
    <row r="3" spans="1:25" ht="18" customHeight="1" x14ac:dyDescent="0.15">
      <c r="A3" s="161"/>
      <c r="B3" s="162"/>
      <c r="C3" s="162"/>
      <c r="D3" s="16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9"/>
      <c r="B4" s="160"/>
      <c r="C4" s="160"/>
      <c r="D4" s="160"/>
      <c r="X4" s="8"/>
    </row>
    <row r="5" spans="1:25" ht="18" customHeight="1" x14ac:dyDescent="0.15">
      <c r="A5" s="159"/>
      <c r="B5" s="160"/>
      <c r="C5" s="160"/>
      <c r="D5" s="160"/>
      <c r="X5" s="8"/>
    </row>
    <row r="6" spans="1:25" ht="18" customHeight="1" x14ac:dyDescent="0.15">
      <c r="A6" s="159"/>
      <c r="B6" s="160"/>
      <c r="C6" s="160"/>
      <c r="D6" s="160"/>
      <c r="X6" s="8"/>
    </row>
    <row r="7" spans="1:25" ht="18" customHeight="1" x14ac:dyDescent="0.15">
      <c r="A7" s="159"/>
      <c r="B7" s="160"/>
      <c r="C7" s="160"/>
      <c r="D7" s="160"/>
      <c r="X7" s="8"/>
    </row>
    <row r="8" spans="1:25" ht="147.75" customHeight="1" x14ac:dyDescent="0.15">
      <c r="A8" s="159"/>
      <c r="B8" s="160"/>
      <c r="C8" s="160"/>
      <c r="D8" s="160"/>
      <c r="X8" s="8"/>
    </row>
    <row r="9" spans="1:25" ht="18" customHeight="1" x14ac:dyDescent="0.15">
      <c r="A9" s="159"/>
      <c r="B9" s="160"/>
      <c r="C9" s="160"/>
      <c r="D9" s="160"/>
      <c r="X9" s="8"/>
    </row>
    <row r="10" spans="1:25" ht="18" customHeight="1" x14ac:dyDescent="0.15">
      <c r="A10" s="159"/>
      <c r="B10" s="160"/>
      <c r="C10" s="160"/>
      <c r="D10" s="160"/>
      <c r="X10" s="8"/>
    </row>
    <row r="11" spans="1:25" ht="18" customHeight="1" x14ac:dyDescent="0.15">
      <c r="A11" s="159"/>
      <c r="B11" s="160"/>
      <c r="C11" s="160"/>
      <c r="D11" s="160"/>
      <c r="X11" s="8"/>
    </row>
    <row r="12" spans="1:25" ht="18" customHeight="1" x14ac:dyDescent="0.15">
      <c r="A12" s="167"/>
      <c r="B12" s="168"/>
      <c r="C12" s="169"/>
      <c r="D12" s="169"/>
      <c r="X12" s="8"/>
    </row>
    <row r="13" spans="1:25" ht="18" customHeight="1" x14ac:dyDescent="0.15">
      <c r="A13" s="163"/>
      <c r="B13" s="164"/>
      <c r="C13" s="166"/>
      <c r="D13" s="166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4"/>
    </row>
    <row r="14" spans="1:25" s="12" customFormat="1" ht="18" customHeight="1" x14ac:dyDescent="0.15">
      <c r="A14" s="165" t="s">
        <v>7</v>
      </c>
      <c r="B14" s="165"/>
      <c r="C14" s="165"/>
      <c r="D14" s="16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1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65" t="s">
        <v>8</v>
      </c>
      <c r="B15" s="165"/>
      <c r="C15" s="165"/>
      <c r="D15" s="165"/>
      <c r="E15" s="13" t="s">
        <v>9</v>
      </c>
      <c r="F15" s="13" t="s">
        <v>10</v>
      </c>
      <c r="G15" s="13" t="s">
        <v>11</v>
      </c>
      <c r="H15" s="13" t="s">
        <v>12</v>
      </c>
      <c r="I15" s="13" t="s">
        <v>52</v>
      </c>
      <c r="J15" s="14" t="s">
        <v>53</v>
      </c>
      <c r="K15" s="14" t="s">
        <v>54</v>
      </c>
      <c r="L15" s="14" t="s">
        <v>14</v>
      </c>
      <c r="M15" s="14" t="s">
        <v>15</v>
      </c>
      <c r="N15" s="14" t="s">
        <v>16</v>
      </c>
      <c r="O15" s="14" t="s">
        <v>17</v>
      </c>
      <c r="P15" s="15" t="s">
        <v>18</v>
      </c>
      <c r="Q15" s="14" t="s">
        <v>17</v>
      </c>
      <c r="R15" s="15" t="s">
        <v>19</v>
      </c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8"/>
      <c r="B16" s="139"/>
      <c r="C16" s="139"/>
      <c r="D16" s="140"/>
      <c r="E16" s="18"/>
      <c r="F16" s="18"/>
      <c r="G16" s="18"/>
      <c r="H16" s="18"/>
      <c r="I16" s="17"/>
      <c r="L16" s="17"/>
      <c r="M16" s="18"/>
      <c r="N16" s="18"/>
      <c r="O16" s="15"/>
      <c r="P16" s="18"/>
      <c r="Q16" s="18"/>
      <c r="R16" s="15"/>
      <c r="S16" s="18"/>
      <c r="U16" s="18"/>
      <c r="V16" s="18"/>
      <c r="W16" s="18"/>
      <c r="X16" s="15"/>
      <c r="Y16" s="19"/>
    </row>
    <row r="17" spans="1:24" ht="18" customHeight="1" x14ac:dyDescent="0.15">
      <c r="A17" s="138" t="s">
        <v>20</v>
      </c>
      <c r="B17" s="139"/>
      <c r="C17" s="139" t="s">
        <v>21</v>
      </c>
      <c r="D17" s="140"/>
      <c r="E17" s="20"/>
      <c r="F17" s="20"/>
      <c r="G17" s="20"/>
      <c r="H17" s="20"/>
      <c r="I17" s="20"/>
      <c r="J17" s="21"/>
      <c r="K17" s="21"/>
      <c r="L17" s="20"/>
      <c r="M17" s="20"/>
      <c r="N17" s="20"/>
      <c r="O17" s="20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38" t="s">
        <v>22</v>
      </c>
      <c r="B18" s="139"/>
      <c r="C18" s="139" t="s">
        <v>23</v>
      </c>
      <c r="D18" s="14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38" t="s">
        <v>50</v>
      </c>
      <c r="B19" s="139"/>
      <c r="C19" s="139" t="s">
        <v>51</v>
      </c>
      <c r="D19" s="14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38" t="s">
        <v>48</v>
      </c>
      <c r="B20" s="139"/>
      <c r="C20" s="139" t="s">
        <v>25</v>
      </c>
      <c r="D20" s="14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8" customHeight="1" x14ac:dyDescent="0.15">
      <c r="A21" s="138" t="s">
        <v>26</v>
      </c>
      <c r="B21" s="139"/>
      <c r="C21" s="139" t="s">
        <v>27</v>
      </c>
      <c r="D21" s="14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38" t="s">
        <v>49</v>
      </c>
      <c r="B22" s="139"/>
      <c r="C22" s="139" t="s">
        <v>47</v>
      </c>
      <c r="D22" s="14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74"/>
      <c r="B23" s="175"/>
      <c r="C23" s="175"/>
      <c r="D23" s="176"/>
      <c r="E23" s="22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70"/>
      <c r="B24" s="171"/>
      <c r="C24" s="172"/>
      <c r="D24" s="17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77"/>
      <c r="B25" s="178"/>
      <c r="C25" s="139"/>
      <c r="D25" s="14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77"/>
      <c r="B26" s="178"/>
      <c r="C26" s="139"/>
      <c r="D26" s="14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74"/>
      <c r="B27" s="175"/>
      <c r="C27" s="175"/>
      <c r="D27" s="176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74"/>
      <c r="B28" s="175"/>
      <c r="C28" s="175"/>
      <c r="D28" s="176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74"/>
      <c r="B29" s="175"/>
      <c r="C29" s="175"/>
      <c r="D29" s="176"/>
      <c r="E29" s="21"/>
      <c r="F29" s="21"/>
      <c r="G29" s="21"/>
      <c r="H29" s="23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74"/>
      <c r="B30" s="175"/>
      <c r="C30" s="175"/>
      <c r="D30" s="176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80" t="s">
        <v>57</v>
      </c>
      <c r="B31" s="181"/>
      <c r="C31" s="181"/>
      <c r="D31" s="182"/>
      <c r="E31" s="21"/>
      <c r="F31" s="21"/>
      <c r="G31" s="21"/>
      <c r="H31" s="1" t="s">
        <v>60</v>
      </c>
      <c r="I31" s="21"/>
      <c r="J31" s="21"/>
      <c r="K31" s="1" t="s">
        <v>61</v>
      </c>
      <c r="L31" s="21"/>
      <c r="M31" s="21"/>
      <c r="N31" s="1"/>
      <c r="O31" s="1" t="s">
        <v>60</v>
      </c>
      <c r="P31" s="2"/>
      <c r="Q31" s="2"/>
      <c r="R31" s="1" t="s">
        <v>60</v>
      </c>
      <c r="S31" s="2"/>
      <c r="T31" s="2"/>
      <c r="U31" s="2"/>
      <c r="V31" s="21"/>
      <c r="W31" s="21"/>
      <c r="X31" s="21"/>
    </row>
    <row r="32" spans="1:24" ht="18" customHeight="1" x14ac:dyDescent="0.15">
      <c r="A32" s="180" t="s">
        <v>58</v>
      </c>
      <c r="B32" s="181"/>
      <c r="C32" s="181"/>
      <c r="D32" s="182"/>
      <c r="E32" s="1" t="s">
        <v>59</v>
      </c>
      <c r="F32" s="1"/>
      <c r="G32" s="1"/>
      <c r="H32" s="1"/>
      <c r="I32" s="1" t="s">
        <v>60</v>
      </c>
      <c r="J32" s="1"/>
      <c r="K32" s="1"/>
      <c r="L32" s="1" t="s">
        <v>60</v>
      </c>
      <c r="M32" s="1"/>
      <c r="N32" s="1"/>
      <c r="O32" s="1"/>
      <c r="P32" s="1" t="s">
        <v>60</v>
      </c>
      <c r="Q32" s="1"/>
      <c r="R32" s="21"/>
      <c r="S32" s="2"/>
      <c r="T32" s="2"/>
      <c r="U32" s="2"/>
      <c r="V32" s="21"/>
      <c r="W32" s="21"/>
      <c r="X32" s="21"/>
    </row>
    <row r="33" spans="1:24" ht="18" customHeight="1" x14ac:dyDescent="0.15">
      <c r="A33" s="24" t="s">
        <v>28</v>
      </c>
      <c r="B33" s="25" t="s">
        <v>29</v>
      </c>
      <c r="C33" s="26">
        <f>SUM(E33:X33)</f>
        <v>150</v>
      </c>
      <c r="D33" s="27" t="s">
        <v>30</v>
      </c>
      <c r="E33" s="1">
        <v>64</v>
      </c>
      <c r="F33" s="1">
        <v>5</v>
      </c>
      <c r="G33" s="1">
        <v>2</v>
      </c>
      <c r="H33" s="1">
        <v>3</v>
      </c>
      <c r="I33" s="1">
        <v>5</v>
      </c>
      <c r="J33" s="1">
        <v>2</v>
      </c>
      <c r="K33" s="1">
        <v>4</v>
      </c>
      <c r="L33" s="1">
        <v>36</v>
      </c>
      <c r="M33" s="1">
        <v>7</v>
      </c>
      <c r="N33" s="1">
        <v>2</v>
      </c>
      <c r="O33" s="1">
        <v>3</v>
      </c>
      <c r="P33" s="1">
        <v>11</v>
      </c>
      <c r="Q33" s="1">
        <v>2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77" t="s">
        <v>31</v>
      </c>
      <c r="B34" s="178"/>
      <c r="C34" s="178"/>
      <c r="D34" s="179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110</v>
      </c>
      <c r="Q34" s="5">
        <v>10</v>
      </c>
      <c r="R34" s="5">
        <v>10</v>
      </c>
      <c r="S34" s="5"/>
      <c r="T34" s="5"/>
      <c r="U34" s="5"/>
      <c r="V34" s="5"/>
      <c r="W34" s="5"/>
      <c r="X34" s="5"/>
    </row>
    <row r="35" spans="1:24" ht="18" customHeight="1" x14ac:dyDescent="0.15">
      <c r="A35" s="177" t="s">
        <v>32</v>
      </c>
      <c r="B35" s="178"/>
      <c r="C35" s="178"/>
      <c r="D35" s="179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>
        <v>0.95</v>
      </c>
      <c r="R35" s="5">
        <v>0.95</v>
      </c>
      <c r="S35" s="5"/>
      <c r="T35" s="5"/>
      <c r="U35" s="5"/>
      <c r="V35" s="5"/>
      <c r="W35" s="5"/>
      <c r="X35" s="5"/>
    </row>
    <row r="36" spans="1:24" ht="18" customHeight="1" x14ac:dyDescent="0.15">
      <c r="A36" s="177" t="s">
        <v>33</v>
      </c>
      <c r="B36" s="178"/>
      <c r="C36" s="178"/>
      <c r="D36" s="179"/>
      <c r="E36" s="5" t="s">
        <v>34</v>
      </c>
      <c r="F36" s="5" t="s">
        <v>35</v>
      </c>
      <c r="G36" s="5" t="s">
        <v>35</v>
      </c>
      <c r="H36" s="5" t="s">
        <v>35</v>
      </c>
      <c r="I36" s="5" t="s">
        <v>35</v>
      </c>
      <c r="J36" s="5" t="s">
        <v>35</v>
      </c>
      <c r="K36" s="5" t="s">
        <v>35</v>
      </c>
      <c r="L36" s="5" t="s">
        <v>35</v>
      </c>
      <c r="M36" s="5" t="s">
        <v>34</v>
      </c>
      <c r="N36" s="5" t="s">
        <v>34</v>
      </c>
      <c r="O36" s="5" t="s">
        <v>34</v>
      </c>
      <c r="P36" s="5" t="s">
        <v>34</v>
      </c>
      <c r="Q36" s="5" t="s">
        <v>34</v>
      </c>
      <c r="R36" s="5" t="s">
        <v>34</v>
      </c>
      <c r="S36" s="5"/>
      <c r="T36" s="5"/>
      <c r="U36" s="5"/>
      <c r="V36" s="5"/>
      <c r="W36" s="5"/>
      <c r="X36" s="5"/>
    </row>
  </sheetData>
  <mergeCells count="72">
    <mergeCell ref="C30:D30"/>
    <mergeCell ref="A30:B30"/>
    <mergeCell ref="A36:D36"/>
    <mergeCell ref="A34:D34"/>
    <mergeCell ref="A35:D35"/>
    <mergeCell ref="A31:D31"/>
    <mergeCell ref="A32:D32"/>
    <mergeCell ref="A27:B27"/>
    <mergeCell ref="C27:D27"/>
    <mergeCell ref="A28:B28"/>
    <mergeCell ref="C28:D28"/>
    <mergeCell ref="A29:B29"/>
    <mergeCell ref="C29:D29"/>
    <mergeCell ref="A25:B25"/>
    <mergeCell ref="C25:D25"/>
    <mergeCell ref="A26:B26"/>
    <mergeCell ref="C26:D26"/>
    <mergeCell ref="A22:B22"/>
    <mergeCell ref="C22:D22"/>
    <mergeCell ref="A21:B21"/>
    <mergeCell ref="C21:D21"/>
    <mergeCell ref="A24:B24"/>
    <mergeCell ref="C24:D24"/>
    <mergeCell ref="A23:B23"/>
    <mergeCell ref="C23:D23"/>
    <mergeCell ref="A20:B20"/>
    <mergeCell ref="C20:D20"/>
    <mergeCell ref="A16:D16"/>
    <mergeCell ref="A17:B17"/>
    <mergeCell ref="C17:D17"/>
    <mergeCell ref="A18:B18"/>
    <mergeCell ref="C18:D18"/>
    <mergeCell ref="A13:B13"/>
    <mergeCell ref="A14:D14"/>
    <mergeCell ref="A15:D15"/>
    <mergeCell ref="C13:D13"/>
    <mergeCell ref="A11:B11"/>
    <mergeCell ref="C11:D11"/>
    <mergeCell ref="A12:B12"/>
    <mergeCell ref="C12:D12"/>
    <mergeCell ref="A9:B9"/>
    <mergeCell ref="C9:D9"/>
    <mergeCell ref="A10:B10"/>
    <mergeCell ref="C10:D10"/>
    <mergeCell ref="A7:B7"/>
    <mergeCell ref="C7:D7"/>
    <mergeCell ref="A8:B8"/>
    <mergeCell ref="C8:D8"/>
    <mergeCell ref="A5:B5"/>
    <mergeCell ref="C5:D5"/>
    <mergeCell ref="A6:B6"/>
    <mergeCell ref="C6:D6"/>
    <mergeCell ref="A3:B3"/>
    <mergeCell ref="C3:D3"/>
    <mergeCell ref="A4:B4"/>
    <mergeCell ref="C4:D4"/>
    <mergeCell ref="T1:U1"/>
    <mergeCell ref="V1:X1"/>
    <mergeCell ref="T2:U2"/>
    <mergeCell ref="A19:B19"/>
    <mergeCell ref="C19:D19"/>
    <mergeCell ref="A1:E1"/>
    <mergeCell ref="F1:G1"/>
    <mergeCell ref="V2:X2"/>
    <mergeCell ref="H1:M1"/>
    <mergeCell ref="A2:E2"/>
    <mergeCell ref="F2:G2"/>
    <mergeCell ref="N2:O2"/>
    <mergeCell ref="P2:R2"/>
    <mergeCell ref="N1:O1"/>
    <mergeCell ref="P1:S1"/>
    <mergeCell ref="K2:M2"/>
  </mergeCells>
  <phoneticPr fontId="3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8"/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28" customWidth="1"/>
    <col min="2" max="2" width="0.875" style="28" customWidth="1"/>
    <col min="3" max="3" width="4.625" style="28" customWidth="1"/>
    <col min="4" max="4" width="0.875" style="28" customWidth="1"/>
    <col min="5" max="24" width="4.125" style="3" customWidth="1"/>
    <col min="25" max="16384" width="9" style="3"/>
  </cols>
  <sheetData>
    <row r="1" spans="1:25" ht="20.100000000000001" customHeight="1" x14ac:dyDescent="0.15">
      <c r="A1" s="141" t="s">
        <v>0</v>
      </c>
      <c r="B1" s="141"/>
      <c r="C1" s="141"/>
      <c r="D1" s="141"/>
      <c r="E1" s="141"/>
      <c r="F1" s="142" t="s">
        <v>36</v>
      </c>
      <c r="G1" s="143"/>
      <c r="H1" s="145" t="s">
        <v>1</v>
      </c>
      <c r="I1" s="146"/>
      <c r="J1" s="146"/>
      <c r="K1" s="146"/>
      <c r="L1" s="146"/>
      <c r="M1" s="146"/>
      <c r="N1" s="153" t="s">
        <v>2</v>
      </c>
      <c r="O1" s="153"/>
      <c r="P1" s="194">
        <v>38057</v>
      </c>
      <c r="Q1" s="195"/>
      <c r="R1" s="195"/>
      <c r="S1" s="195"/>
      <c r="T1" s="135" t="s">
        <v>3</v>
      </c>
      <c r="U1" s="135"/>
      <c r="V1" s="189" t="s">
        <v>42</v>
      </c>
      <c r="W1" s="190"/>
      <c r="X1" s="190"/>
    </row>
    <row r="2" spans="1:25" ht="20.100000000000001" customHeight="1" x14ac:dyDescent="0.15">
      <c r="A2" s="147" t="s">
        <v>4</v>
      </c>
      <c r="B2" s="147"/>
      <c r="C2" s="147"/>
      <c r="D2" s="147"/>
      <c r="E2" s="147"/>
      <c r="F2" s="148" t="s">
        <v>37</v>
      </c>
      <c r="G2" s="149"/>
      <c r="H2" s="29" t="s">
        <v>43</v>
      </c>
      <c r="I2" s="29"/>
      <c r="J2" s="29"/>
      <c r="K2" s="29" t="s">
        <v>40</v>
      </c>
      <c r="L2" s="30"/>
      <c r="M2" s="31"/>
      <c r="N2" s="147" t="s">
        <v>5</v>
      </c>
      <c r="O2" s="147"/>
      <c r="P2" s="191" t="s">
        <v>44</v>
      </c>
      <c r="Q2" s="192"/>
      <c r="R2" s="193"/>
      <c r="S2" s="32" t="s">
        <v>41</v>
      </c>
      <c r="T2" s="135" t="s">
        <v>6</v>
      </c>
      <c r="U2" s="135"/>
      <c r="V2" s="190">
        <v>2004.1</v>
      </c>
      <c r="W2" s="190"/>
      <c r="X2" s="190"/>
    </row>
    <row r="3" spans="1:25" ht="18" customHeight="1" x14ac:dyDescent="0.15">
      <c r="A3" s="161"/>
      <c r="B3" s="162"/>
      <c r="C3" s="162"/>
      <c r="D3" s="16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9"/>
      <c r="B4" s="160"/>
      <c r="C4" s="160"/>
      <c r="D4" s="160"/>
      <c r="X4" s="8"/>
    </row>
    <row r="5" spans="1:25" ht="18" customHeight="1" x14ac:dyDescent="0.15">
      <c r="A5" s="159"/>
      <c r="B5" s="160"/>
      <c r="C5" s="160"/>
      <c r="D5" s="160"/>
      <c r="X5" s="8"/>
    </row>
    <row r="6" spans="1:25" ht="18" customHeight="1" x14ac:dyDescent="0.15">
      <c r="A6" s="159"/>
      <c r="B6" s="160"/>
      <c r="C6" s="160"/>
      <c r="D6" s="160"/>
      <c r="X6" s="8"/>
    </row>
    <row r="7" spans="1:25" ht="18" customHeight="1" x14ac:dyDescent="0.15">
      <c r="A7" s="159"/>
      <c r="B7" s="160"/>
      <c r="C7" s="160"/>
      <c r="D7" s="160"/>
      <c r="X7" s="8"/>
    </row>
    <row r="8" spans="1:25" ht="147.75" customHeight="1" x14ac:dyDescent="0.15">
      <c r="A8" s="159"/>
      <c r="B8" s="160"/>
      <c r="C8" s="160"/>
      <c r="D8" s="160"/>
      <c r="X8" s="8"/>
    </row>
    <row r="9" spans="1:25" ht="18" customHeight="1" x14ac:dyDescent="0.15">
      <c r="A9" s="159"/>
      <c r="B9" s="160"/>
      <c r="C9" s="160"/>
      <c r="D9" s="160"/>
      <c r="X9" s="8"/>
    </row>
    <row r="10" spans="1:25" ht="18" customHeight="1" x14ac:dyDescent="0.15">
      <c r="A10" s="159"/>
      <c r="B10" s="160"/>
      <c r="C10" s="160"/>
      <c r="D10" s="160"/>
      <c r="X10" s="8"/>
    </row>
    <row r="11" spans="1:25" ht="18" customHeight="1" x14ac:dyDescent="0.15">
      <c r="A11" s="159"/>
      <c r="B11" s="160"/>
      <c r="C11" s="160"/>
      <c r="D11" s="160"/>
      <c r="X11" s="8"/>
    </row>
    <row r="12" spans="1:25" ht="18" customHeight="1" x14ac:dyDescent="0.15">
      <c r="A12" s="167"/>
      <c r="B12" s="168"/>
      <c r="C12" s="169"/>
      <c r="D12" s="169"/>
      <c r="X12" s="8"/>
    </row>
    <row r="13" spans="1:25" ht="18" customHeight="1" x14ac:dyDescent="0.15">
      <c r="A13" s="163"/>
      <c r="B13" s="164"/>
      <c r="C13" s="166"/>
      <c r="D13" s="166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4"/>
    </row>
    <row r="14" spans="1:25" s="12" customFormat="1" ht="18" customHeight="1" x14ac:dyDescent="0.15">
      <c r="A14" s="165" t="s">
        <v>7</v>
      </c>
      <c r="B14" s="165"/>
      <c r="C14" s="165"/>
      <c r="D14" s="16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1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65" t="s">
        <v>8</v>
      </c>
      <c r="B15" s="165"/>
      <c r="C15" s="165"/>
      <c r="D15" s="165"/>
      <c r="E15" s="13" t="s">
        <v>9</v>
      </c>
      <c r="F15" s="13" t="s">
        <v>10</v>
      </c>
      <c r="G15" s="13" t="s">
        <v>11</v>
      </c>
      <c r="H15" s="13" t="s">
        <v>12</v>
      </c>
      <c r="I15" s="13" t="s">
        <v>13</v>
      </c>
      <c r="J15" s="14" t="s">
        <v>14</v>
      </c>
      <c r="K15" s="14" t="s">
        <v>15</v>
      </c>
      <c r="L15" s="14" t="s">
        <v>16</v>
      </c>
      <c r="M15" s="14" t="s">
        <v>17</v>
      </c>
      <c r="N15" s="15" t="s">
        <v>18</v>
      </c>
      <c r="O15" s="14" t="s">
        <v>17</v>
      </c>
      <c r="P15" s="15" t="s">
        <v>19</v>
      </c>
      <c r="Q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38"/>
      <c r="B16" s="139"/>
      <c r="C16" s="139"/>
      <c r="D16" s="140"/>
      <c r="E16" s="18"/>
      <c r="F16" s="18"/>
      <c r="G16" s="18"/>
      <c r="H16" s="18"/>
      <c r="I16" s="18"/>
      <c r="J16" s="17"/>
      <c r="K16" s="18"/>
      <c r="L16" s="18"/>
      <c r="M16" s="15"/>
      <c r="N16" s="18"/>
      <c r="O16" s="18"/>
      <c r="P16" s="15"/>
      <c r="Q16" s="18"/>
      <c r="R16" s="18"/>
      <c r="S16" s="18"/>
      <c r="U16" s="18"/>
      <c r="V16" s="18"/>
      <c r="W16" s="18"/>
      <c r="X16" s="15"/>
      <c r="Y16" s="19"/>
    </row>
    <row r="17" spans="1:24" ht="18" customHeight="1" x14ac:dyDescent="0.15">
      <c r="A17" s="138" t="s">
        <v>20</v>
      </c>
      <c r="B17" s="139"/>
      <c r="C17" s="139" t="s">
        <v>21</v>
      </c>
      <c r="D17" s="14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38" t="s">
        <v>22</v>
      </c>
      <c r="B18" s="139"/>
      <c r="C18" s="139" t="s">
        <v>23</v>
      </c>
      <c r="D18" s="14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38" t="s">
        <v>24</v>
      </c>
      <c r="B19" s="139"/>
      <c r="C19" s="139" t="s">
        <v>25</v>
      </c>
      <c r="D19" s="14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86" t="s">
        <v>26</v>
      </c>
      <c r="B20" s="187"/>
      <c r="C20" s="187" t="s">
        <v>27</v>
      </c>
      <c r="D20" s="188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8" customHeight="1" x14ac:dyDescent="0.15">
      <c r="A21" s="138" t="s">
        <v>38</v>
      </c>
      <c r="B21" s="139"/>
      <c r="C21" s="187" t="s">
        <v>39</v>
      </c>
      <c r="D21" s="188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74"/>
      <c r="B22" s="175"/>
      <c r="C22" s="175"/>
      <c r="D22" s="176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74"/>
      <c r="B23" s="175"/>
      <c r="C23" s="175"/>
      <c r="D23" s="176"/>
      <c r="E23" s="22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70"/>
      <c r="B24" s="171"/>
      <c r="C24" s="172"/>
      <c r="D24" s="17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77"/>
      <c r="B25" s="178"/>
      <c r="C25" s="139"/>
      <c r="D25" s="14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77"/>
      <c r="B26" s="178"/>
      <c r="C26" s="139"/>
      <c r="D26" s="14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74"/>
      <c r="B27" s="175"/>
      <c r="C27" s="175"/>
      <c r="D27" s="176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74"/>
      <c r="B28" s="175"/>
      <c r="C28" s="175"/>
      <c r="D28" s="176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74"/>
      <c r="B29" s="175"/>
      <c r="C29" s="175"/>
      <c r="D29" s="176"/>
      <c r="E29" s="21"/>
      <c r="F29" s="21"/>
      <c r="G29" s="21"/>
      <c r="H29" s="23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74"/>
      <c r="B30" s="175"/>
      <c r="C30" s="175"/>
      <c r="D30" s="176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83"/>
      <c r="B31" s="184"/>
      <c r="C31" s="184"/>
      <c r="D31" s="185"/>
      <c r="E31" s="21"/>
      <c r="F31" s="21"/>
      <c r="G31" s="21"/>
      <c r="H31" s="1"/>
      <c r="I31" s="21"/>
      <c r="J31" s="21"/>
      <c r="K31" s="1"/>
      <c r="L31" s="21"/>
      <c r="M31" s="21"/>
      <c r="N31" s="1"/>
      <c r="O31" s="1"/>
      <c r="P31" s="2"/>
      <c r="Q31" s="2"/>
      <c r="R31" s="1"/>
      <c r="S31" s="2"/>
      <c r="T31" s="2"/>
      <c r="U31" s="2"/>
      <c r="V31" s="21"/>
      <c r="W31" s="21"/>
      <c r="X31" s="21"/>
    </row>
    <row r="32" spans="1:24" ht="18" customHeight="1" x14ac:dyDescent="0.15">
      <c r="A32" s="24"/>
      <c r="B32" s="25"/>
      <c r="C32" s="26"/>
      <c r="D32" s="2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1"/>
      <c r="S32" s="2"/>
      <c r="T32" s="2"/>
      <c r="U32" s="2"/>
      <c r="V32" s="21"/>
      <c r="W32" s="21"/>
      <c r="X32" s="21"/>
    </row>
    <row r="33" spans="1:24" ht="18" customHeight="1" x14ac:dyDescent="0.15">
      <c r="A33" s="24" t="s">
        <v>28</v>
      </c>
      <c r="B33" s="25" t="s">
        <v>29</v>
      </c>
      <c r="C33" s="26">
        <f>SUM(E33:X33)</f>
        <v>150</v>
      </c>
      <c r="D33" s="27" t="s">
        <v>30</v>
      </c>
      <c r="E33" s="1">
        <v>71</v>
      </c>
      <c r="F33" s="1">
        <v>5</v>
      </c>
      <c r="G33" s="1">
        <v>2</v>
      </c>
      <c r="H33" s="1">
        <v>3</v>
      </c>
      <c r="I33" s="1">
        <v>4</v>
      </c>
      <c r="J33" s="1">
        <v>37</v>
      </c>
      <c r="K33" s="1">
        <v>6</v>
      </c>
      <c r="L33" s="1">
        <v>2</v>
      </c>
      <c r="M33" s="1">
        <v>3</v>
      </c>
      <c r="N33" s="1">
        <v>11</v>
      </c>
      <c r="O33" s="1">
        <v>2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83" t="s">
        <v>31</v>
      </c>
      <c r="B34" s="184"/>
      <c r="C34" s="184"/>
      <c r="D34" s="185"/>
      <c r="E34" s="5">
        <v>110</v>
      </c>
      <c r="F34" s="5">
        <v>110</v>
      </c>
      <c r="G34" s="5">
        <v>110</v>
      </c>
      <c r="H34" s="5">
        <v>10</v>
      </c>
      <c r="I34" s="5">
        <v>10</v>
      </c>
      <c r="J34" s="5">
        <v>110</v>
      </c>
      <c r="K34" s="5">
        <v>110</v>
      </c>
      <c r="L34" s="5">
        <v>110</v>
      </c>
      <c r="M34" s="5">
        <v>10</v>
      </c>
      <c r="N34" s="5">
        <v>110</v>
      </c>
      <c r="O34" s="5">
        <v>10</v>
      </c>
      <c r="P34" s="5">
        <v>10</v>
      </c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83" t="s">
        <v>32</v>
      </c>
      <c r="B35" s="184"/>
      <c r="C35" s="184"/>
      <c r="D35" s="185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6</v>
      </c>
      <c r="K35" s="5">
        <v>0.95</v>
      </c>
      <c r="L35" s="5">
        <v>0.95</v>
      </c>
      <c r="M35" s="5">
        <v>0.95</v>
      </c>
      <c r="N35" s="5">
        <v>0.95</v>
      </c>
      <c r="O35" s="5">
        <v>0.95</v>
      </c>
      <c r="P35" s="5">
        <v>0.95</v>
      </c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83" t="s">
        <v>33</v>
      </c>
      <c r="B36" s="184"/>
      <c r="C36" s="184"/>
      <c r="D36" s="185"/>
      <c r="E36" s="5" t="s">
        <v>34</v>
      </c>
      <c r="F36" s="5" t="s">
        <v>35</v>
      </c>
      <c r="G36" s="5" t="s">
        <v>35</v>
      </c>
      <c r="H36" s="5" t="s">
        <v>35</v>
      </c>
      <c r="I36" s="5" t="s">
        <v>35</v>
      </c>
      <c r="J36" s="5" t="s">
        <v>35</v>
      </c>
      <c r="K36" s="5" t="s">
        <v>34</v>
      </c>
      <c r="L36" s="5" t="s">
        <v>34</v>
      </c>
      <c r="M36" s="5" t="s">
        <v>34</v>
      </c>
      <c r="N36" s="5" t="s">
        <v>34</v>
      </c>
      <c r="O36" s="5" t="s">
        <v>34</v>
      </c>
      <c r="P36" s="5" t="s">
        <v>34</v>
      </c>
      <c r="Q36" s="5"/>
      <c r="R36" s="5"/>
      <c r="S36" s="5"/>
      <c r="T36" s="5"/>
      <c r="U36" s="5"/>
      <c r="V36" s="5"/>
      <c r="W36" s="5"/>
      <c r="X36" s="5"/>
    </row>
  </sheetData>
  <mergeCells count="71">
    <mergeCell ref="T1:U1"/>
    <mergeCell ref="V1:X1"/>
    <mergeCell ref="T2:U2"/>
    <mergeCell ref="A1:E1"/>
    <mergeCell ref="F1:G1"/>
    <mergeCell ref="V2:X2"/>
    <mergeCell ref="H1:M1"/>
    <mergeCell ref="A2:E2"/>
    <mergeCell ref="F2:G2"/>
    <mergeCell ref="N2:O2"/>
    <mergeCell ref="P2:R2"/>
    <mergeCell ref="N1:O1"/>
    <mergeCell ref="P1:S1"/>
    <mergeCell ref="C3:D3"/>
    <mergeCell ref="A5:B5"/>
    <mergeCell ref="C5:D5"/>
    <mergeCell ref="A6:B6"/>
    <mergeCell ref="C6:D6"/>
    <mergeCell ref="A4:B4"/>
    <mergeCell ref="C4:D4"/>
    <mergeCell ref="A3:B3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A15:D15"/>
    <mergeCell ref="C13:D13"/>
    <mergeCell ref="A19:B19"/>
    <mergeCell ref="C19:D19"/>
    <mergeCell ref="A16:D16"/>
    <mergeCell ref="A17:B17"/>
    <mergeCell ref="C17:D17"/>
    <mergeCell ref="A18:B18"/>
    <mergeCell ref="C18:D18"/>
    <mergeCell ref="A14:D14"/>
    <mergeCell ref="A20:B20"/>
    <mergeCell ref="C20:D20"/>
    <mergeCell ref="A24:B24"/>
    <mergeCell ref="C24:D24"/>
    <mergeCell ref="A23:B23"/>
    <mergeCell ref="C23:D23"/>
    <mergeCell ref="A22:B22"/>
    <mergeCell ref="C22:D22"/>
    <mergeCell ref="A21:B21"/>
    <mergeCell ref="C21:D21"/>
    <mergeCell ref="A25:B25"/>
    <mergeCell ref="C25:D25"/>
    <mergeCell ref="A26:B26"/>
    <mergeCell ref="C26:D26"/>
    <mergeCell ref="C30:D30"/>
    <mergeCell ref="A27:B27"/>
    <mergeCell ref="C27:D27"/>
    <mergeCell ref="A28:B28"/>
    <mergeCell ref="C28:D28"/>
    <mergeCell ref="A29:B29"/>
    <mergeCell ref="C29:D29"/>
    <mergeCell ref="A30:B30"/>
    <mergeCell ref="A36:D36"/>
    <mergeCell ref="A31:B31"/>
    <mergeCell ref="C31:D31"/>
    <mergeCell ref="A34:D34"/>
    <mergeCell ref="A35:D35"/>
  </mergeCells>
  <phoneticPr fontId="3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2026-02-11</vt:lpstr>
      <vt:lpstr>70068</vt:lpstr>
      <vt:lpstr>420068</vt:lpstr>
      <vt:lpstr>'2026-02-11'!Print_Area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2025-07-02T07:00:20Z</cp:lastPrinted>
  <dcterms:created xsi:type="dcterms:W3CDTF">2003-04-03T01:49:21Z</dcterms:created>
  <dcterms:modified xsi:type="dcterms:W3CDTF">2026-02-21T12:13:52Z</dcterms:modified>
</cp:coreProperties>
</file>