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Z:\本社\保守\定期点検・設定関係\01設定値\R7新設・改良・受取分\受取\2-25関連\切替後現示階梯図（これが最終）\"/>
    </mc:Choice>
  </mc:AlternateContent>
  <xr:revisionPtr revIDLastSave="0" documentId="13_ncr:1_{D60FCD8B-8420-4814-A288-1B92945E04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2" sheetId="4" r:id="rId1"/>
    <sheet name="2004-05-26（書式改訂）" sheetId="3" r:id="rId2"/>
    <sheet name="2004.05.26 070025" sheetId="2" r:id="rId3"/>
    <sheet name="070025" sheetId="1" r:id="rId4"/>
  </sheets>
  <definedNames>
    <definedName name="_xlnm.Print_Area" localSheetId="1">'2004-05-26（書式改訂）'!$A$1:$X$40</definedName>
    <definedName name="_xlnm.Print_Area" localSheetId="0">'2026-02-12'!$A$1:$X$40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4" l="1"/>
  <c r="AA13" i="4"/>
  <c r="AD13" i="4" s="1"/>
  <c r="AD12" i="4"/>
  <c r="AA12" i="4"/>
  <c r="C37" i="4"/>
  <c r="AA36" i="4"/>
  <c r="AA35" i="4"/>
  <c r="C34" i="3"/>
  <c r="AA36" i="3"/>
  <c r="AA35" i="3"/>
  <c r="C37" i="3"/>
  <c r="C26" i="2"/>
  <c r="C26" i="1"/>
</calcChain>
</file>

<file path=xl/sharedStrings.xml><?xml version="1.0" encoding="utf-8"?>
<sst xmlns="http://schemas.openxmlformats.org/spreadsheetml/2006/main" count="247" uniqueCount="80">
  <si>
    <t>規制番号　名称</t>
    <rPh sb="0" eb="2">
      <t>キセイ</t>
    </rPh>
    <rPh sb="2" eb="4">
      <t>バンゴウ</t>
    </rPh>
    <rPh sb="5" eb="7">
      <t>メイショウ</t>
    </rPh>
    <phoneticPr fontId="3"/>
  </si>
  <si>
    <t>明神町</t>
    <rPh sb="0" eb="3">
      <t>ミョウジンチョウ</t>
    </rPh>
    <phoneticPr fontId="3"/>
  </si>
  <si>
    <t>運　用</t>
    <rPh sb="0" eb="1">
      <t>ウン</t>
    </rPh>
    <rPh sb="2" eb="3">
      <t>ヨウ</t>
    </rPh>
    <phoneticPr fontId="3"/>
  </si>
  <si>
    <t>製造番号</t>
    <rPh sb="0" eb="2">
      <t>セイゾウ</t>
    </rPh>
    <rPh sb="2" eb="4">
      <t>バンゴウ</t>
    </rPh>
    <phoneticPr fontId="3"/>
  </si>
  <si>
    <t>管制番号　名称</t>
    <rPh sb="0" eb="2">
      <t>カンセイ</t>
    </rPh>
    <rPh sb="2" eb="4">
      <t>バンゴウ</t>
    </rPh>
    <rPh sb="5" eb="7">
      <t>メイショウ</t>
    </rPh>
    <phoneticPr fontId="3"/>
  </si>
  <si>
    <t>開始日時</t>
    <rPh sb="0" eb="2">
      <t>カイシ</t>
    </rPh>
    <rPh sb="2" eb="4">
      <t>ニチジ</t>
    </rPh>
    <phoneticPr fontId="3"/>
  </si>
  <si>
    <t>製造年月</t>
    <rPh sb="0" eb="2">
      <t>セイゾウ</t>
    </rPh>
    <rPh sb="2" eb="4">
      <t>ネンゲツ</t>
    </rPh>
    <phoneticPr fontId="3"/>
  </si>
  <si>
    <t>ステップ番号</t>
    <rPh sb="4" eb="6">
      <t>バンゴウ</t>
    </rPh>
    <phoneticPr fontId="3"/>
  </si>
  <si>
    <t>ステップ名称</t>
    <rPh sb="4" eb="6">
      <t>メイショウ</t>
    </rPh>
    <phoneticPr fontId="3"/>
  </si>
  <si>
    <t>1PG</t>
    <phoneticPr fontId="3"/>
  </si>
  <si>
    <t>1PW</t>
    <phoneticPr fontId="3"/>
  </si>
  <si>
    <t>1 Y</t>
    <phoneticPr fontId="3"/>
  </si>
  <si>
    <t>1 A</t>
    <phoneticPr fontId="3"/>
  </si>
  <si>
    <t>1 R</t>
    <phoneticPr fontId="3"/>
  </si>
  <si>
    <t>2PG</t>
    <phoneticPr fontId="3"/>
  </si>
  <si>
    <t>2PW</t>
    <phoneticPr fontId="3"/>
  </si>
  <si>
    <t>2 Y</t>
    <phoneticPr fontId="3"/>
  </si>
  <si>
    <t>2 A</t>
    <phoneticPr fontId="3"/>
  </si>
  <si>
    <t>2 R</t>
    <phoneticPr fontId="3"/>
  </si>
  <si>
    <t>　１Ｐ</t>
    <phoneticPr fontId="3"/>
  </si>
  <si>
    <t>[ 1P ]</t>
    <phoneticPr fontId="3"/>
  </si>
  <si>
    <t>１</t>
    <phoneticPr fontId="3"/>
  </si>
  <si>
    <t>[ 1V ]</t>
    <phoneticPr fontId="3"/>
  </si>
  <si>
    <t>[ 1A ]</t>
    <phoneticPr fontId="3"/>
  </si>
  <si>
    <t>　２Ｐ</t>
    <phoneticPr fontId="3"/>
  </si>
  <si>
    <t>[ 2P ]</t>
    <phoneticPr fontId="3"/>
  </si>
  <si>
    <t>２</t>
    <phoneticPr fontId="3"/>
  </si>
  <si>
    <t>[ 2V ]</t>
    <phoneticPr fontId="3"/>
  </si>
  <si>
    <t>[ 2A ]</t>
    <phoneticPr fontId="3"/>
  </si>
  <si>
    <t>保安秒時</t>
    <rPh sb="0" eb="2">
      <t>ホアン</t>
    </rPh>
    <rPh sb="2" eb="4">
      <t>ビョウジ</t>
    </rPh>
    <phoneticPr fontId="3"/>
  </si>
  <si>
    <t>(</t>
    <phoneticPr fontId="3"/>
  </si>
  <si>
    <t>)</t>
    <phoneticPr fontId="3"/>
  </si>
  <si>
    <t>最長時間（秒）</t>
    <rPh sb="0" eb="2">
      <t>サイチョウ</t>
    </rPh>
    <rPh sb="2" eb="4">
      <t>ジカン</t>
    </rPh>
    <rPh sb="5" eb="6">
      <t>ビョウ</t>
    </rPh>
    <phoneticPr fontId="3"/>
  </si>
  <si>
    <t>最短時間（秒）</t>
    <rPh sb="0" eb="2">
      <t>サイタン</t>
    </rPh>
    <rPh sb="2" eb="4">
      <t>ジカン</t>
    </rPh>
    <rPh sb="5" eb="6">
      <t>ビョウ</t>
    </rPh>
    <phoneticPr fontId="3"/>
  </si>
  <si>
    <t>ＡＢ連動出力</t>
    <rPh sb="2" eb="4">
      <t>レンドウ</t>
    </rPh>
    <rPh sb="4" eb="6">
      <t>シュツリョク</t>
    </rPh>
    <phoneticPr fontId="3"/>
  </si>
  <si>
    <t>A</t>
    <phoneticPr fontId="3"/>
  </si>
  <si>
    <t>B</t>
    <phoneticPr fontId="3"/>
  </si>
  <si>
    <t xml:space="preserve">7-0025 </t>
    <phoneticPr fontId="3"/>
  </si>
  <si>
    <t>070025</t>
    <phoneticPr fontId="3"/>
  </si>
  <si>
    <t>１Ａ</t>
    <phoneticPr fontId="3"/>
  </si>
  <si>
    <t>２Ａ</t>
    <phoneticPr fontId="3"/>
  </si>
  <si>
    <t>U-UD（ルータ）</t>
    <phoneticPr fontId="3"/>
  </si>
  <si>
    <t>1PR</t>
    <phoneticPr fontId="3"/>
  </si>
  <si>
    <t>2 PR</t>
    <phoneticPr fontId="3"/>
  </si>
  <si>
    <t>4A1214</t>
    <phoneticPr fontId="3"/>
  </si>
  <si>
    <t>11:51～</t>
    <phoneticPr fontId="3"/>
  </si>
  <si>
    <t>　</t>
    <phoneticPr fontId="3"/>
  </si>
  <si>
    <t>070025</t>
    <phoneticPr fontId="3"/>
  </si>
  <si>
    <t>U-UD（ルータ）</t>
    <phoneticPr fontId="3"/>
  </si>
  <si>
    <t>　</t>
    <phoneticPr fontId="3"/>
  </si>
  <si>
    <t>1PR</t>
    <phoneticPr fontId="3"/>
  </si>
  <si>
    <t>2 PR</t>
    <phoneticPr fontId="3"/>
  </si>
  <si>
    <t>１Ａ</t>
    <phoneticPr fontId="3"/>
  </si>
  <si>
    <t>２Ａ</t>
    <phoneticPr fontId="3"/>
  </si>
  <si>
    <r>
      <t>1</t>
    </r>
    <r>
      <rPr>
        <sz val="11"/>
        <rFont val="ＭＳ Ｐゴシック"/>
        <family val="3"/>
        <charset val="128"/>
      </rPr>
      <t>5:00</t>
    </r>
    <r>
      <rPr>
        <sz val="11"/>
        <rFont val="ＭＳ Ｐゴシック"/>
        <family val="3"/>
        <charset val="128"/>
      </rPr>
      <t>～</t>
    </r>
    <phoneticPr fontId="3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</si>
  <si>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3"/>
  </si>
  <si>
    <t>～</t>
    <phoneticPr fontId="3"/>
  </si>
  <si>
    <t>メーカー</t>
    <phoneticPr fontId="3"/>
  </si>
  <si>
    <t>ＰＵ</t>
    <phoneticPr fontId="3"/>
  </si>
  <si>
    <t>ＰＬ</t>
    <phoneticPr fontId="3"/>
  </si>
  <si>
    <t>明神町</t>
    <phoneticPr fontId="3"/>
  </si>
  <si>
    <t>(UD-RTR)</t>
    <phoneticPr fontId="3"/>
  </si>
  <si>
    <t>07-0025</t>
    <phoneticPr fontId="3"/>
  </si>
  <si>
    <t>70025</t>
    <phoneticPr fontId="3"/>
  </si>
  <si>
    <t>補正</t>
    <rPh sb="0" eb="2">
      <t>ホセイ</t>
    </rPh>
    <phoneticPr fontId="3"/>
  </si>
  <si>
    <t>感応</t>
    <rPh sb="0" eb="2">
      <t>カンノウ</t>
    </rPh>
    <phoneticPr fontId="3"/>
  </si>
  <si>
    <t>（短縮:7秒,延長:5秒,単位青:4秒）</t>
    <phoneticPr fontId="3"/>
  </si>
  <si>
    <t>ギャップ感応（終日）</t>
    <rPh sb="4" eb="6">
      <t>カンオウ</t>
    </rPh>
    <phoneticPr fontId="2"/>
  </si>
  <si>
    <t>（短縮:4秒,延長:7秒,単位青:0.1秒）</t>
    <phoneticPr fontId="3"/>
  </si>
  <si>
    <t>ジレンマ感応（終日）</t>
    <rPh sb="4" eb="6">
      <t>カンオウ</t>
    </rPh>
    <phoneticPr fontId="2"/>
  </si>
  <si>
    <t>15:00～</t>
    <phoneticPr fontId="3"/>
  </si>
  <si>
    <t>松下通信</t>
    <rPh sb="0" eb="4">
      <t>マツシタツウシン</t>
    </rPh>
    <phoneticPr fontId="3"/>
  </si>
  <si>
    <t>ギャップ感応</t>
    <rPh sb="4" eb="6">
      <t>カンオウ</t>
    </rPh>
    <phoneticPr fontId="2"/>
  </si>
  <si>
    <t>Int№：</t>
    <phoneticPr fontId="3"/>
  </si>
  <si>
    <t>1012号「版6」</t>
    <phoneticPr fontId="3"/>
  </si>
  <si>
    <t>禁止</t>
    <rPh sb="0" eb="2">
      <t>キンシ</t>
    </rPh>
    <phoneticPr fontId="3"/>
  </si>
  <si>
    <t>１Ｐ</t>
    <phoneticPr fontId="3"/>
  </si>
  <si>
    <t>２Ｐ</t>
    <phoneticPr fontId="3"/>
  </si>
  <si>
    <t>日本信号</t>
    <rPh sb="0" eb="4">
      <t>ニホンシンゴウ</t>
    </rPh>
    <phoneticPr fontId="3"/>
  </si>
  <si>
    <t>K0000001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</si>
</sst>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2">
    <xf numFmtId="0" fontId="0" fillId="0" borderId="0"/>
    <xf numFmtId="6" fontId="2" fillId="0" borderId="0" applyFont="0" applyFill="0" applyBorder="0" applyAlignment="0" applyProtection="0"/>
  </cellStyleXfs>
  <cellXfs count="191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vertical="center"/>
    </xf>
    <xf numFmtId="49" fontId="4" fillId="0" borderId="6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left" vertical="center"/>
    </xf>
    <xf numFmtId="49" fontId="9" fillId="0" borderId="10" xfId="0" applyNumberFormat="1" applyFont="1" applyBorder="1" applyAlignment="1">
      <alignment horizontal="right" vertical="center"/>
    </xf>
    <xf numFmtId="177" fontId="4" fillId="0" borderId="10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right" vertical="center"/>
    </xf>
    <xf numFmtId="49" fontId="11" fillId="0" borderId="10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1" xfId="0" applyFont="1" applyBorder="1" applyAlignment="1">
      <alignment vertical="center" shrinkToFit="1"/>
    </xf>
    <xf numFmtId="49" fontId="11" fillId="0" borderId="9" xfId="0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right" vertical="center"/>
    </xf>
    <xf numFmtId="177" fontId="11" fillId="0" borderId="10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49" fontId="10" fillId="0" borderId="6" xfId="0" applyNumberFormat="1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49" fontId="11" fillId="0" borderId="7" xfId="0" applyNumberFormat="1" applyFont="1" applyBorder="1" applyAlignment="1">
      <alignment vertical="center"/>
    </xf>
    <xf numFmtId="176" fontId="11" fillId="0" borderId="7" xfId="0" applyNumberFormat="1" applyFont="1" applyBorder="1" applyAlignment="1">
      <alignment vertical="center"/>
    </xf>
    <xf numFmtId="49" fontId="10" fillId="0" borderId="0" xfId="0" applyNumberFormat="1" applyFont="1" applyAlignment="1">
      <alignment horizontal="right" vertical="center"/>
    </xf>
    <xf numFmtId="6" fontId="10" fillId="0" borderId="1" xfId="1" applyFont="1" applyFill="1" applyBorder="1" applyAlignment="1">
      <alignment horizontal="center" vertical="center" shrinkToFit="1"/>
    </xf>
    <xf numFmtId="6" fontId="10" fillId="0" borderId="1" xfId="1" applyFont="1" applyBorder="1" applyAlignment="1">
      <alignment horizontal="right" vertical="center"/>
    </xf>
    <xf numFmtId="0" fontId="10" fillId="0" borderId="7" xfId="0" applyFont="1" applyBorder="1" applyAlignment="1">
      <alignment horizontal="center" vertical="center" shrinkToFit="1"/>
    </xf>
    <xf numFmtId="49" fontId="10" fillId="0" borderId="8" xfId="0" applyNumberFormat="1" applyFont="1" applyBorder="1" applyAlignment="1">
      <alignment horizontal="center" vertical="center" shrinkToFit="1"/>
    </xf>
    <xf numFmtId="49" fontId="10" fillId="0" borderId="4" xfId="0" applyNumberFormat="1" applyFont="1" applyBorder="1" applyAlignment="1">
      <alignment horizontal="center" vertical="center" shrinkToFit="1"/>
    </xf>
    <xf numFmtId="49" fontId="10" fillId="0" borderId="1" xfId="0" applyNumberFormat="1" applyFont="1" applyBorder="1" applyAlignment="1">
      <alignment horizontal="center" vertical="center" shrinkToFit="1"/>
    </xf>
    <xf numFmtId="49" fontId="10" fillId="0" borderId="9" xfId="0" applyNumberFormat="1" applyFont="1" applyBorder="1" applyAlignment="1">
      <alignment horizontal="center" vertical="center" shrinkToFit="1"/>
    </xf>
    <xf numFmtId="49" fontId="10" fillId="0" borderId="10" xfId="0" applyNumberFormat="1" applyFont="1" applyBorder="1" applyAlignment="1">
      <alignment horizontal="center" vertical="center" shrinkToFit="1"/>
    </xf>
    <xf numFmtId="49" fontId="10" fillId="0" borderId="7" xfId="0" applyNumberFormat="1" applyFont="1" applyBorder="1" applyAlignment="1">
      <alignment horizontal="center" vertical="center" shrinkToFit="1"/>
    </xf>
    <xf numFmtId="0" fontId="10" fillId="0" borderId="11" xfId="0" applyFont="1" applyBorder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10" fillId="0" borderId="8" xfId="0" applyFont="1" applyBorder="1" applyAlignment="1">
      <alignment vertical="center" shrinkToFit="1"/>
    </xf>
    <xf numFmtId="0" fontId="10" fillId="0" borderId="7" xfId="0" applyFont="1" applyBorder="1" applyAlignment="1">
      <alignment vertical="center" shrinkToFit="1"/>
    </xf>
    <xf numFmtId="0" fontId="13" fillId="0" borderId="0" xfId="0" applyFont="1" applyAlignment="1">
      <alignment vertical="center"/>
    </xf>
    <xf numFmtId="18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181" fontId="10" fillId="0" borderId="0" xfId="0" applyNumberFormat="1" applyFont="1" applyAlignment="1">
      <alignment vertical="center"/>
    </xf>
    <xf numFmtId="0" fontId="10" fillId="0" borderId="2" xfId="0" applyFont="1" applyBorder="1" applyAlignment="1">
      <alignment horizontal="right" vertical="center"/>
    </xf>
    <xf numFmtId="49" fontId="11" fillId="0" borderId="9" xfId="0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9" fontId="11" fillId="0" borderId="15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0" fillId="0" borderId="16" xfId="0" applyNumberFormat="1" applyFont="1" applyBorder="1" applyAlignment="1">
      <alignment vertical="center"/>
    </xf>
    <xf numFmtId="49" fontId="10" fillId="0" borderId="0" xfId="0" applyNumberFormat="1" applyFont="1" applyAlignment="1">
      <alignment vertical="center"/>
    </xf>
    <xf numFmtId="49" fontId="10" fillId="0" borderId="16" xfId="0" applyNumberFormat="1" applyFont="1" applyBorder="1" applyAlignment="1">
      <alignment horizontal="right" vertical="center"/>
    </xf>
    <xf numFmtId="49" fontId="10" fillId="0" borderId="0" xfId="0" applyNumberFormat="1" applyFont="1" applyAlignment="1">
      <alignment horizontal="right" vertical="center"/>
    </xf>
    <xf numFmtId="49" fontId="10" fillId="0" borderId="14" xfId="0" applyNumberFormat="1" applyFont="1" applyBorder="1" applyAlignment="1">
      <alignment horizontal="right" vertical="center"/>
    </xf>
    <xf numFmtId="49" fontId="10" fillId="0" borderId="6" xfId="0" applyNumberFormat="1" applyFont="1" applyBorder="1" applyAlignment="1">
      <alignment horizontal="right" vertical="center"/>
    </xf>
    <xf numFmtId="49" fontId="10" fillId="0" borderId="6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9" fontId="10" fillId="0" borderId="15" xfId="0" applyNumberFormat="1" applyFont="1" applyBorder="1" applyAlignment="1">
      <alignment horizontal="center" vertical="center"/>
    </xf>
    <xf numFmtId="179" fontId="10" fillId="0" borderId="3" xfId="0" applyNumberFormat="1" applyFont="1" applyBorder="1" applyAlignment="1">
      <alignment horizontal="center" vertical="center"/>
    </xf>
    <xf numFmtId="179" fontId="10" fillId="0" borderId="4" xfId="0" applyNumberFormat="1" applyFont="1" applyBorder="1" applyAlignment="1">
      <alignment horizontal="center" vertical="center"/>
    </xf>
    <xf numFmtId="179" fontId="10" fillId="0" borderId="14" xfId="0" applyNumberFormat="1" applyFont="1" applyBorder="1" applyAlignment="1">
      <alignment horizontal="center" vertical="center"/>
    </xf>
    <xf numFmtId="179" fontId="10" fillId="0" borderId="6" xfId="0" applyNumberFormat="1" applyFont="1" applyBorder="1" applyAlignment="1">
      <alignment horizontal="center" vertical="center"/>
    </xf>
    <xf numFmtId="179" fontId="10" fillId="0" borderId="2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49" fontId="10" fillId="0" borderId="17" xfId="0" applyNumberFormat="1" applyFont="1" applyBorder="1" applyAlignment="1">
      <alignment horizontal="right" vertical="center"/>
    </xf>
    <xf numFmtId="0" fontId="10" fillId="0" borderId="18" xfId="0" applyFont="1" applyBorder="1" applyAlignment="1">
      <alignment horizontal="right" vertical="center"/>
    </xf>
    <xf numFmtId="0" fontId="10" fillId="0" borderId="14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18" xfId="0" applyFont="1" applyBorder="1" applyAlignment="1">
      <alignment horizontal="left" vertical="center" shrinkToFit="1"/>
    </xf>
    <xf numFmtId="0" fontId="10" fillId="0" borderId="6" xfId="0" applyFont="1" applyBorder="1" applyAlignment="1">
      <alignment horizontal="left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180" fontId="10" fillId="0" borderId="17" xfId="0" applyNumberFormat="1" applyFont="1" applyBorder="1" applyAlignment="1">
      <alignment horizontal="center" vertical="center"/>
    </xf>
    <xf numFmtId="180" fontId="10" fillId="0" borderId="18" xfId="0" applyNumberFormat="1" applyFont="1" applyBorder="1" applyAlignment="1">
      <alignment horizontal="center" vertical="center"/>
    </xf>
    <xf numFmtId="180" fontId="10" fillId="0" borderId="14" xfId="0" applyNumberFormat="1" applyFont="1" applyBorder="1" applyAlignment="1">
      <alignment horizontal="center" vertical="center"/>
    </xf>
    <xf numFmtId="180" fontId="10" fillId="0" borderId="6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49" fontId="10" fillId="0" borderId="15" xfId="0" quotePrefix="1" applyNumberFormat="1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10" fillId="0" borderId="20" xfId="0" applyFont="1" applyBorder="1" applyAlignment="1">
      <alignment horizontal="right" vertical="center"/>
    </xf>
    <xf numFmtId="0" fontId="10" fillId="0" borderId="21" xfId="0" applyFont="1" applyBorder="1" applyAlignment="1">
      <alignment horizontal="right" vertical="center"/>
    </xf>
    <xf numFmtId="0" fontId="10" fillId="0" borderId="3" xfId="0" applyFont="1" applyBorder="1" applyAlignment="1">
      <alignment horizontal="left" vertical="center" shrinkToFit="1"/>
    </xf>
    <xf numFmtId="0" fontId="10" fillId="0" borderId="21" xfId="0" applyFont="1" applyBorder="1" applyAlignment="1">
      <alignment horizontal="left" vertical="center" shrinkToFit="1"/>
    </xf>
    <xf numFmtId="0" fontId="10" fillId="0" borderId="15" xfId="0" applyFont="1" applyBorder="1" applyAlignment="1">
      <alignment horizontal="center" vertical="center" wrapText="1"/>
    </xf>
    <xf numFmtId="178" fontId="10" fillId="0" borderId="15" xfId="0" applyNumberFormat="1" applyFont="1" applyBorder="1" applyAlignment="1">
      <alignment horizontal="center" vertical="center"/>
    </xf>
    <xf numFmtId="178" fontId="10" fillId="0" borderId="3" xfId="0" applyNumberFormat="1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  <xf numFmtId="178" fontId="10" fillId="0" borderId="20" xfId="0" applyNumberFormat="1" applyFont="1" applyBorder="1" applyAlignment="1">
      <alignment horizontal="center" vertical="center"/>
    </xf>
    <xf numFmtId="178" fontId="10" fillId="0" borderId="21" xfId="0" applyNumberFormat="1" applyFont="1" applyBorder="1" applyAlignment="1">
      <alignment horizontal="center" vertical="center"/>
    </xf>
    <xf numFmtId="178" fontId="10" fillId="0" borderId="22" xfId="0" applyNumberFormat="1" applyFont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32" fontId="1" fillId="0" borderId="11" xfId="0" applyNumberFormat="1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right" vertical="center"/>
    </xf>
    <xf numFmtId="49" fontId="4" fillId="0" borderId="14" xfId="0" applyNumberFormat="1" applyFont="1" applyBorder="1" applyAlignment="1">
      <alignment horizontal="right" vertical="center"/>
    </xf>
    <xf numFmtId="49" fontId="4" fillId="0" borderId="25" xfId="0" applyNumberFormat="1" applyFont="1" applyBorder="1" applyAlignment="1">
      <alignment horizontal="right" vertical="center"/>
    </xf>
    <xf numFmtId="49" fontId="4" fillId="0" borderId="26" xfId="0" applyNumberFormat="1" applyFont="1" applyBorder="1" applyAlignment="1">
      <alignment horizontal="righ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57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right" vertical="center"/>
    </xf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7" fontId="2" fillId="0" borderId="24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32" fontId="2" fillId="0" borderId="11" xfId="0" applyNumberFormat="1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4</xdr:row>
      <xdr:rowOff>123824</xdr:rowOff>
    </xdr:from>
    <xdr:to>
      <xdr:col>23</xdr:col>
      <xdr:colOff>19050</xdr:colOff>
      <xdr:row>12</xdr:row>
      <xdr:rowOff>106378</xdr:rowOff>
    </xdr:to>
    <xdr:grpSp>
      <xdr:nvGrpSpPr>
        <xdr:cNvPr id="142" name="グループ化 141">
          <a:extLst>
            <a:ext uri="{FF2B5EF4-FFF2-40B4-BE49-F238E27FC236}">
              <a16:creationId xmlns:a16="http://schemas.microsoft.com/office/drawing/2014/main" id="{FA7FD62A-FE0D-419E-982B-0823AC85B20E}"/>
            </a:ext>
          </a:extLst>
        </xdr:cNvPr>
        <xdr:cNvGrpSpPr>
          <a:grpSpLocks noChangeAspect="1"/>
        </xdr:cNvGrpSpPr>
      </xdr:nvGrpSpPr>
      <xdr:grpSpPr>
        <a:xfrm>
          <a:off x="457200" y="703607"/>
          <a:ext cx="6858828" cy="3486097"/>
          <a:chOff x="8286750" y="4495799"/>
          <a:chExt cx="13068300" cy="6600826"/>
        </a:xfrm>
      </xdr:grpSpPr>
      <xdr:pic>
        <xdr:nvPicPr>
          <xdr:cNvPr id="106" name="図 105">
            <a:extLst>
              <a:ext uri="{FF2B5EF4-FFF2-40B4-BE49-F238E27FC236}">
                <a16:creationId xmlns:a16="http://schemas.microsoft.com/office/drawing/2014/main" id="{01603D99-7CB3-4227-824A-052D61C073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86750" y="4505325"/>
            <a:ext cx="13066667" cy="6590476"/>
          </a:xfrm>
          <a:prstGeom prst="rect">
            <a:avLst/>
          </a:prstGeom>
        </xdr:spPr>
      </xdr:pic>
      <xdr:sp macro="" textlink="">
        <xdr:nvSpPr>
          <xdr:cNvPr id="109" name="正方形/長方形 108">
            <a:extLst>
              <a:ext uri="{FF2B5EF4-FFF2-40B4-BE49-F238E27FC236}">
                <a16:creationId xmlns:a16="http://schemas.microsoft.com/office/drawing/2014/main" id="{399A18CF-9D3A-4ECE-BE42-8D28D854A6D8}"/>
              </a:ext>
            </a:extLst>
          </xdr:cNvPr>
          <xdr:cNvSpPr/>
        </xdr:nvSpPr>
        <xdr:spPr bwMode="auto">
          <a:xfrm>
            <a:off x="8296274" y="4495799"/>
            <a:ext cx="4581525" cy="11715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3" name="正方形/長方形 162">
            <a:extLst>
              <a:ext uri="{FF2B5EF4-FFF2-40B4-BE49-F238E27FC236}">
                <a16:creationId xmlns:a16="http://schemas.microsoft.com/office/drawing/2014/main" id="{07BCEEB4-1C9D-45DC-9CD2-124E31B4E1FD}"/>
              </a:ext>
            </a:extLst>
          </xdr:cNvPr>
          <xdr:cNvSpPr/>
        </xdr:nvSpPr>
        <xdr:spPr bwMode="auto">
          <a:xfrm>
            <a:off x="8296275" y="9648825"/>
            <a:ext cx="4581525" cy="14478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4" name="正方形/長方形 163">
            <a:extLst>
              <a:ext uri="{FF2B5EF4-FFF2-40B4-BE49-F238E27FC236}">
                <a16:creationId xmlns:a16="http://schemas.microsoft.com/office/drawing/2014/main" id="{9D4A277E-D70B-48A2-B54C-1937D9DDC9A9}"/>
              </a:ext>
            </a:extLst>
          </xdr:cNvPr>
          <xdr:cNvSpPr/>
        </xdr:nvSpPr>
        <xdr:spPr bwMode="auto">
          <a:xfrm>
            <a:off x="17442024" y="9363949"/>
            <a:ext cx="3867151" cy="17145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5" name="正方形/長方形 164">
            <a:extLst>
              <a:ext uri="{FF2B5EF4-FFF2-40B4-BE49-F238E27FC236}">
                <a16:creationId xmlns:a16="http://schemas.microsoft.com/office/drawing/2014/main" id="{B63E6D6A-53A0-4E81-A652-3559583AA98A}"/>
              </a:ext>
            </a:extLst>
          </xdr:cNvPr>
          <xdr:cNvSpPr/>
        </xdr:nvSpPr>
        <xdr:spPr bwMode="auto">
          <a:xfrm>
            <a:off x="19688176" y="7810500"/>
            <a:ext cx="1666874" cy="17145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6" name="正方形/長方形 165">
            <a:extLst>
              <a:ext uri="{FF2B5EF4-FFF2-40B4-BE49-F238E27FC236}">
                <a16:creationId xmlns:a16="http://schemas.microsoft.com/office/drawing/2014/main" id="{8E9C8571-9845-49C4-AC9C-A13E945ED5C1}"/>
              </a:ext>
            </a:extLst>
          </xdr:cNvPr>
          <xdr:cNvSpPr/>
        </xdr:nvSpPr>
        <xdr:spPr bwMode="auto">
          <a:xfrm>
            <a:off x="17068799" y="4505324"/>
            <a:ext cx="4276725" cy="2190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15</xdr:row>
      <xdr:rowOff>38099</xdr:rowOff>
    </xdr:from>
    <xdr:to>
      <xdr:col>2</xdr:col>
      <xdr:colOff>228600</xdr:colOff>
      <xdr:row>15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2713DFD-4310-47A5-B685-78F3CB627BF8}"/>
            </a:ext>
          </a:extLst>
        </xdr:cNvPr>
        <xdr:cNvSpPr txBox="1">
          <a:spLocks noChangeArrowheads="1"/>
        </xdr:cNvSpPr>
      </xdr:nvSpPr>
      <xdr:spPr bwMode="auto">
        <a:xfrm>
          <a:off x="228600" y="47720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B0391302-8F5C-4DF5-8E87-28BFADF66F69}"/>
            </a:ext>
          </a:extLst>
        </xdr:cNvPr>
        <xdr:cNvSpPr>
          <a:spLocks noChangeShapeType="1"/>
        </xdr:cNvSpPr>
      </xdr:nvSpPr>
      <xdr:spPr bwMode="auto">
        <a:xfrm>
          <a:off x="1314450" y="6429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276225</xdr:colOff>
      <xdr:row>17</xdr:row>
      <xdr:rowOff>190500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EB3607DE-4A9E-4E90-B55E-3F9F59F18048}"/>
            </a:ext>
          </a:extLst>
        </xdr:cNvPr>
        <xdr:cNvSpPr>
          <a:spLocks/>
        </xdr:cNvSpPr>
      </xdr:nvSpPr>
      <xdr:spPr bwMode="auto">
        <a:xfrm>
          <a:off x="2266950" y="6591300"/>
          <a:ext cx="266700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57150</xdr:colOff>
      <xdr:row>16</xdr:row>
      <xdr:rowOff>38100</xdr:rowOff>
    </xdr:from>
    <xdr:to>
      <xdr:col>6</xdr:col>
      <xdr:colOff>0</xdr:colOff>
      <xdr:row>16</xdr:row>
      <xdr:rowOff>190500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705DCE62-4E31-492D-9706-D46E7C55F662}"/>
            </a:ext>
          </a:extLst>
        </xdr:cNvPr>
        <xdr:cNvGrpSpPr>
          <a:grpSpLocks/>
        </xdr:cNvGrpSpPr>
      </xdr:nvGrpSpPr>
      <xdr:grpSpPr bwMode="auto">
        <a:xfrm>
          <a:off x="1688824" y="6399143"/>
          <a:ext cx="257589" cy="152400"/>
          <a:chOff x="132" y="708"/>
          <a:chExt cx="20" cy="14"/>
        </a:xfrm>
      </xdr:grpSpPr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903BA0FC-73CA-4A80-AE02-C1FC14E8D491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AEFCF581-0849-46C8-AE03-0E4DE61B55F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1BC42BFA-1F2F-44F2-AFA9-D308782D829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6718C2DA-4689-4554-8656-AFA8D3493E8A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18</xdr:col>
      <xdr:colOff>9525</xdr:colOff>
      <xdr:row>16</xdr:row>
      <xdr:rowOff>142875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8ADCB3AA-CBF7-4269-941E-346F7EC84ED2}"/>
            </a:ext>
          </a:extLst>
        </xdr:cNvPr>
        <xdr:cNvGrpSpPr>
          <a:grpSpLocks/>
        </xdr:cNvGrpSpPr>
      </xdr:nvGrpSpPr>
      <xdr:grpSpPr bwMode="auto">
        <a:xfrm>
          <a:off x="1946413" y="6456293"/>
          <a:ext cx="3786395" cy="47625"/>
          <a:chOff x="158" y="715"/>
          <a:chExt cx="33" cy="5"/>
        </a:xfrm>
      </xdr:grpSpPr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95EFF9A1-6B46-445B-84FD-6495DCA2758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D761FB49-51CC-42CE-9074-A6B53F63E67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9B0BF56E-9A05-4E19-BAEF-F12E18D74103}"/>
            </a:ext>
          </a:extLst>
        </xdr:cNvPr>
        <xdr:cNvSpPr>
          <a:spLocks noChangeShapeType="1"/>
        </xdr:cNvSpPr>
      </xdr:nvSpPr>
      <xdr:spPr bwMode="auto">
        <a:xfrm>
          <a:off x="1314450" y="6657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17</xdr:row>
      <xdr:rowOff>95250</xdr:rowOff>
    </xdr:from>
    <xdr:to>
      <xdr:col>18</xdr:col>
      <xdr:colOff>0</xdr:colOff>
      <xdr:row>17</xdr:row>
      <xdr:rowOff>142875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133DCFB-2052-4874-BED3-B0094B20752C}"/>
            </a:ext>
          </a:extLst>
        </xdr:cNvPr>
        <xdr:cNvGrpSpPr>
          <a:grpSpLocks/>
        </xdr:cNvGrpSpPr>
      </xdr:nvGrpSpPr>
      <xdr:grpSpPr bwMode="auto">
        <a:xfrm>
          <a:off x="3205370" y="6688207"/>
          <a:ext cx="2517913" cy="47625"/>
          <a:chOff x="158" y="715"/>
          <a:chExt cx="33" cy="5"/>
        </a:xfrm>
      </xdr:grpSpPr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86286FD7-58D1-4202-832A-8CDA973206D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04CC09DE-3192-4C15-8DB4-9C05CDD0B0A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17</xdr:row>
      <xdr:rowOff>47625</xdr:rowOff>
    </xdr:from>
    <xdr:to>
      <xdr:col>10</xdr:col>
      <xdr:colOff>0</xdr:colOff>
      <xdr:row>17</xdr:row>
      <xdr:rowOff>190500</xdr:rowOff>
    </xdr:to>
    <xdr:sp macro="" textlink="">
      <xdr:nvSpPr>
        <xdr:cNvPr id="17" name="Freeform 16">
          <a:extLst>
            <a:ext uri="{FF2B5EF4-FFF2-40B4-BE49-F238E27FC236}">
              <a16:creationId xmlns:a16="http://schemas.microsoft.com/office/drawing/2014/main" id="{77DBD6AD-9F35-408D-B836-E668D859B963}"/>
            </a:ext>
          </a:extLst>
        </xdr:cNvPr>
        <xdr:cNvSpPr>
          <a:spLocks/>
        </xdr:cNvSpPr>
      </xdr:nvSpPr>
      <xdr:spPr bwMode="auto">
        <a:xfrm>
          <a:off x="2895600" y="6591300"/>
          <a:ext cx="304800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95250</xdr:rowOff>
    </xdr:from>
    <xdr:to>
      <xdr:col>9</xdr:col>
      <xdr:colOff>0</xdr:colOff>
      <xdr:row>17</xdr:row>
      <xdr:rowOff>142875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1CB74D0D-0863-47C7-A3C2-F3E34BD4047E}"/>
            </a:ext>
          </a:extLst>
        </xdr:cNvPr>
        <xdr:cNvGrpSpPr>
          <a:grpSpLocks/>
        </xdr:cNvGrpSpPr>
      </xdr:nvGrpSpPr>
      <xdr:grpSpPr bwMode="auto">
        <a:xfrm>
          <a:off x="2575891" y="6688207"/>
          <a:ext cx="314739" cy="47625"/>
          <a:chOff x="158" y="715"/>
          <a:chExt cx="33" cy="5"/>
        </a:xfrm>
      </xdr:grpSpPr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4DCFF46C-8EDA-4E77-B429-D4B4C3A2FC8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49B8D8AA-872F-4E58-A570-F48CF4E1AED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123825</xdr:colOff>
      <xdr:row>15</xdr:row>
      <xdr:rowOff>266700</xdr:rowOff>
    </xdr:from>
    <xdr:to>
      <xdr:col>14</xdr:col>
      <xdr:colOff>114300</xdr:colOff>
      <xdr:row>15</xdr:row>
      <xdr:rowOff>1276350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943A6931-FF6A-458B-A46F-04F80844FC6F}"/>
            </a:ext>
          </a:extLst>
        </xdr:cNvPr>
        <xdr:cNvGrpSpPr>
          <a:grpSpLocks/>
        </xdr:cNvGrpSpPr>
      </xdr:nvGrpSpPr>
      <xdr:grpSpPr bwMode="auto">
        <a:xfrm>
          <a:off x="3643934" y="5045765"/>
          <a:ext cx="934692" cy="1009650"/>
          <a:chOff x="336" y="565"/>
          <a:chExt cx="105" cy="106"/>
        </a:xfrm>
      </xdr:grpSpPr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10119745-2C3A-4A9E-853E-7E3AEC6B443A}"/>
              </a:ext>
            </a:extLst>
          </xdr:cNvPr>
          <xdr:cNvGrpSpPr>
            <a:grpSpLocks/>
          </xdr:cNvGrpSpPr>
        </xdr:nvGrpSpPr>
        <xdr:grpSpPr bwMode="auto">
          <a:xfrm rot="5400000">
            <a:off x="300" y="615"/>
            <a:ext cx="77" cy="6"/>
            <a:chOff x="123" y="549"/>
            <a:chExt cx="77" cy="6"/>
          </a:xfrm>
        </xdr:grpSpPr>
        <xdr:sp macro="" textlink="">
          <xdr:nvSpPr>
            <xdr:cNvPr id="45" name="Line 22">
              <a:extLst>
                <a:ext uri="{FF2B5EF4-FFF2-40B4-BE49-F238E27FC236}">
                  <a16:creationId xmlns:a16="http://schemas.microsoft.com/office/drawing/2014/main" id="{A0E3E065-26BF-4DB8-B573-0D4C4D17E2A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" name="Freeform 23">
              <a:extLst>
                <a:ext uri="{FF2B5EF4-FFF2-40B4-BE49-F238E27FC236}">
                  <a16:creationId xmlns:a16="http://schemas.microsoft.com/office/drawing/2014/main" id="{EAE1AAC7-E046-4558-A347-C34D4066534A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" name="Freeform 24">
              <a:extLst>
                <a:ext uri="{FF2B5EF4-FFF2-40B4-BE49-F238E27FC236}">
                  <a16:creationId xmlns:a16="http://schemas.microsoft.com/office/drawing/2014/main" id="{0B907545-A038-4B43-85DB-88D891CF5F89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2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23" name="Group 25">
            <a:extLst>
              <a:ext uri="{FF2B5EF4-FFF2-40B4-BE49-F238E27FC236}">
                <a16:creationId xmlns:a16="http://schemas.microsoft.com/office/drawing/2014/main" id="{C9AEC714-4620-4525-90AF-5E8EA809369D}"/>
              </a:ext>
            </a:extLst>
          </xdr:cNvPr>
          <xdr:cNvGrpSpPr>
            <a:grpSpLocks/>
          </xdr:cNvGrpSpPr>
        </xdr:nvGrpSpPr>
        <xdr:grpSpPr bwMode="auto">
          <a:xfrm rot="-5400000">
            <a:off x="319" y="602"/>
            <a:ext cx="105" cy="32"/>
            <a:chOff x="110" y="567"/>
            <a:chExt cx="105" cy="32"/>
          </a:xfrm>
        </xdr:grpSpPr>
        <xdr:sp macro="" textlink="">
          <xdr:nvSpPr>
            <xdr:cNvPr id="37" name="Line 26">
              <a:extLst>
                <a:ext uri="{FF2B5EF4-FFF2-40B4-BE49-F238E27FC236}">
                  <a16:creationId xmlns:a16="http://schemas.microsoft.com/office/drawing/2014/main" id="{0263385A-6C42-4D45-918E-A6169FAC4BE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" name="Freeform 27">
              <a:extLst>
                <a:ext uri="{FF2B5EF4-FFF2-40B4-BE49-F238E27FC236}">
                  <a16:creationId xmlns:a16="http://schemas.microsoft.com/office/drawing/2014/main" id="{4B8405D9-9A87-4899-AA7D-E248DEBB8A96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9" name="Freeform 28">
              <a:extLst>
                <a:ext uri="{FF2B5EF4-FFF2-40B4-BE49-F238E27FC236}">
                  <a16:creationId xmlns:a16="http://schemas.microsoft.com/office/drawing/2014/main" id="{B9101BC5-2728-4BE6-93D4-C4DFE2D69553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0 w 203"/>
                <a:gd name="T1" fmla="*/ 0 h 199"/>
                <a:gd name="T2" fmla="*/ 0 w 203"/>
                <a:gd name="T3" fmla="*/ 0 h 199"/>
                <a:gd name="T4" fmla="*/ 0 w 203"/>
                <a:gd name="T5" fmla="*/ 0 h 199"/>
                <a:gd name="T6" fmla="*/ 0 w 203"/>
                <a:gd name="T7" fmla="*/ 0 h 199"/>
                <a:gd name="T8" fmla="*/ 0 w 203"/>
                <a:gd name="T9" fmla="*/ 0 h 199"/>
                <a:gd name="T10" fmla="*/ 0 w 203"/>
                <a:gd name="T11" fmla="*/ 0 h 199"/>
                <a:gd name="T12" fmla="*/ 0 w 203"/>
                <a:gd name="T13" fmla="*/ 0 h 199"/>
                <a:gd name="T14" fmla="*/ 0 w 203"/>
                <a:gd name="T15" fmla="*/ 0 h 199"/>
                <a:gd name="T16" fmla="*/ 0 w 203"/>
                <a:gd name="T17" fmla="*/ 0 h 199"/>
                <a:gd name="T18" fmla="*/ 0 w 203"/>
                <a:gd name="T19" fmla="*/ 0 h 199"/>
                <a:gd name="T20" fmla="*/ 0 w 203"/>
                <a:gd name="T21" fmla="*/ 0 h 199"/>
                <a:gd name="T22" fmla="*/ 0 w 203"/>
                <a:gd name="T23" fmla="*/ 0 h 199"/>
                <a:gd name="T24" fmla="*/ 0 w 203"/>
                <a:gd name="T25" fmla="*/ 0 h 199"/>
                <a:gd name="T26" fmla="*/ 0 w 203"/>
                <a:gd name="T27" fmla="*/ 0 h 199"/>
                <a:gd name="T28" fmla="*/ 0 w 203"/>
                <a:gd name="T29" fmla="*/ 0 h 199"/>
                <a:gd name="T30" fmla="*/ 0 w 203"/>
                <a:gd name="T31" fmla="*/ 0 h 199"/>
                <a:gd name="T32" fmla="*/ 0 w 203"/>
                <a:gd name="T33" fmla="*/ 0 h 199"/>
                <a:gd name="T34" fmla="*/ 0 w 203"/>
                <a:gd name="T35" fmla="*/ 0 h 199"/>
                <a:gd name="T36" fmla="*/ 0 w 203"/>
                <a:gd name="T37" fmla="*/ 0 h 199"/>
                <a:gd name="T38" fmla="*/ 0 w 203"/>
                <a:gd name="T39" fmla="*/ 0 h 199"/>
                <a:gd name="T40" fmla="*/ 0 w 203"/>
                <a:gd name="T41" fmla="*/ 0 h 199"/>
                <a:gd name="T42" fmla="*/ 0 w 203"/>
                <a:gd name="T43" fmla="*/ 0 h 199"/>
                <a:gd name="T44" fmla="*/ 0 w 203"/>
                <a:gd name="T45" fmla="*/ 0 h 199"/>
                <a:gd name="T46" fmla="*/ 0 w 203"/>
                <a:gd name="T47" fmla="*/ 0 h 199"/>
                <a:gd name="T48" fmla="*/ 0 w 203"/>
                <a:gd name="T49" fmla="*/ 0 h 199"/>
                <a:gd name="T50" fmla="*/ 0 w 203"/>
                <a:gd name="T51" fmla="*/ 0 h 199"/>
                <a:gd name="T52" fmla="*/ 0 w 203"/>
                <a:gd name="T53" fmla="*/ 0 h 199"/>
                <a:gd name="T54" fmla="*/ 0 w 203"/>
                <a:gd name="T55" fmla="*/ 0 h 199"/>
                <a:gd name="T56" fmla="*/ 0 w 203"/>
                <a:gd name="T57" fmla="*/ 0 h 199"/>
                <a:gd name="T58" fmla="*/ 0 w 203"/>
                <a:gd name="T59" fmla="*/ 0 h 199"/>
                <a:gd name="T60" fmla="*/ 0 w 203"/>
                <a:gd name="T61" fmla="*/ 0 h 199"/>
                <a:gd name="T62" fmla="*/ 0 w 203"/>
                <a:gd name="T63" fmla="*/ 0 h 199"/>
                <a:gd name="T64" fmla="*/ 0 w 203"/>
                <a:gd name="T65" fmla="*/ 0 h 199"/>
                <a:gd name="T66" fmla="*/ 0 w 203"/>
                <a:gd name="T67" fmla="*/ 0 h 199"/>
                <a:gd name="T68" fmla="*/ 0 w 203"/>
                <a:gd name="T69" fmla="*/ 0 h 199"/>
                <a:gd name="T70" fmla="*/ 0 w 203"/>
                <a:gd name="T71" fmla="*/ 0 h 199"/>
                <a:gd name="T72" fmla="*/ 0 w 203"/>
                <a:gd name="T73" fmla="*/ 0 h 199"/>
                <a:gd name="T74" fmla="*/ 0 w 203"/>
                <a:gd name="T75" fmla="*/ 0 h 199"/>
                <a:gd name="T76" fmla="*/ 0 w 203"/>
                <a:gd name="T77" fmla="*/ 0 h 199"/>
                <a:gd name="T78" fmla="*/ 0 w 203"/>
                <a:gd name="T79" fmla="*/ 0 h 199"/>
                <a:gd name="T80" fmla="*/ 0 w 203"/>
                <a:gd name="T81" fmla="*/ 0 h 199"/>
                <a:gd name="T82" fmla="*/ 0 w 203"/>
                <a:gd name="T83" fmla="*/ 0 h 199"/>
                <a:gd name="T84" fmla="*/ 0 w 203"/>
                <a:gd name="T85" fmla="*/ 0 h 199"/>
                <a:gd name="T86" fmla="*/ 0 w 203"/>
                <a:gd name="T87" fmla="*/ 0 h 199"/>
                <a:gd name="T88" fmla="*/ 0 w 203"/>
                <a:gd name="T89" fmla="*/ 0 h 199"/>
                <a:gd name="T90" fmla="*/ 0 w 203"/>
                <a:gd name="T91" fmla="*/ 0 h 199"/>
                <a:gd name="T92" fmla="*/ 0 w 203"/>
                <a:gd name="T93" fmla="*/ 0 h 199"/>
                <a:gd name="T94" fmla="*/ 0 w 203"/>
                <a:gd name="T95" fmla="*/ 0 h 199"/>
                <a:gd name="T96" fmla="*/ 0 w 203"/>
                <a:gd name="T97" fmla="*/ 0 h 199"/>
                <a:gd name="T98" fmla="*/ 0 w 203"/>
                <a:gd name="T99" fmla="*/ 0 h 199"/>
                <a:gd name="T100" fmla="*/ 0 w 203"/>
                <a:gd name="T101" fmla="*/ 0 h 199"/>
                <a:gd name="T102" fmla="*/ 0 w 203"/>
                <a:gd name="T103" fmla="*/ 0 h 199"/>
                <a:gd name="T104" fmla="*/ 0 w 203"/>
                <a:gd name="T105" fmla="*/ 0 h 199"/>
                <a:gd name="T106" fmla="*/ 0 w 203"/>
                <a:gd name="T107" fmla="*/ 0 h 199"/>
                <a:gd name="T108" fmla="*/ 0 w 203"/>
                <a:gd name="T109" fmla="*/ 0 h 199"/>
                <a:gd name="T110" fmla="*/ 0 w 203"/>
                <a:gd name="T111" fmla="*/ 0 h 199"/>
                <a:gd name="T112" fmla="*/ 0 w 203"/>
                <a:gd name="T113" fmla="*/ 0 h 199"/>
                <a:gd name="T114" fmla="*/ 0 w 203"/>
                <a:gd name="T115" fmla="*/ 0 h 199"/>
                <a:gd name="T116" fmla="*/ 0 w 203"/>
                <a:gd name="T117" fmla="*/ 0 h 199"/>
                <a:gd name="T118" fmla="*/ 0 w 203"/>
                <a:gd name="T119" fmla="*/ 0 h 199"/>
                <a:gd name="T120" fmla="*/ 0 w 203"/>
                <a:gd name="T121" fmla="*/ 0 h 199"/>
                <a:gd name="T122" fmla="*/ 0 w 20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0" name="Line 29">
              <a:extLst>
                <a:ext uri="{FF2B5EF4-FFF2-40B4-BE49-F238E27FC236}">
                  <a16:creationId xmlns:a16="http://schemas.microsoft.com/office/drawing/2014/main" id="{1E7F713D-24F0-44DA-839D-89EC896D047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" name="Freeform 30">
              <a:extLst>
                <a:ext uri="{FF2B5EF4-FFF2-40B4-BE49-F238E27FC236}">
                  <a16:creationId xmlns:a16="http://schemas.microsoft.com/office/drawing/2014/main" id="{1EFB3253-47DA-4BFF-9E5A-E3472206DA34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0 w 207"/>
                <a:gd name="T1" fmla="*/ 0 h 176"/>
                <a:gd name="T2" fmla="*/ 0 w 207"/>
                <a:gd name="T3" fmla="*/ 0 h 176"/>
                <a:gd name="T4" fmla="*/ 0 w 207"/>
                <a:gd name="T5" fmla="*/ 0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2" name="Freeform 31">
              <a:extLst>
                <a:ext uri="{FF2B5EF4-FFF2-40B4-BE49-F238E27FC236}">
                  <a16:creationId xmlns:a16="http://schemas.microsoft.com/office/drawing/2014/main" id="{37A2DD0B-C1A8-4F9A-993B-3343163E6BC0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0 w 201"/>
                <a:gd name="T5" fmla="*/ 0 h 202"/>
                <a:gd name="T6" fmla="*/ 0 w 201"/>
                <a:gd name="T7" fmla="*/ 0 h 202"/>
                <a:gd name="T8" fmla="*/ 0 w 201"/>
                <a:gd name="T9" fmla="*/ 0 h 202"/>
                <a:gd name="T10" fmla="*/ 0 w 201"/>
                <a:gd name="T11" fmla="*/ 0 h 202"/>
                <a:gd name="T12" fmla="*/ 0 w 201"/>
                <a:gd name="T13" fmla="*/ 0 h 202"/>
                <a:gd name="T14" fmla="*/ 0 w 201"/>
                <a:gd name="T15" fmla="*/ 0 h 202"/>
                <a:gd name="T16" fmla="*/ 0 w 201"/>
                <a:gd name="T17" fmla="*/ 0 h 202"/>
                <a:gd name="T18" fmla="*/ 0 w 201"/>
                <a:gd name="T19" fmla="*/ 0 h 202"/>
                <a:gd name="T20" fmla="*/ 0 w 201"/>
                <a:gd name="T21" fmla="*/ 0 h 202"/>
                <a:gd name="T22" fmla="*/ 0 w 201"/>
                <a:gd name="T23" fmla="*/ 0 h 202"/>
                <a:gd name="T24" fmla="*/ 0 w 201"/>
                <a:gd name="T25" fmla="*/ 0 h 202"/>
                <a:gd name="T26" fmla="*/ 0 w 201"/>
                <a:gd name="T27" fmla="*/ 0 h 202"/>
                <a:gd name="T28" fmla="*/ 0 w 201"/>
                <a:gd name="T29" fmla="*/ 0 h 202"/>
                <a:gd name="T30" fmla="*/ 0 w 201"/>
                <a:gd name="T31" fmla="*/ 0 h 202"/>
                <a:gd name="T32" fmla="*/ 0 w 201"/>
                <a:gd name="T33" fmla="*/ 0 h 202"/>
                <a:gd name="T34" fmla="*/ 0 w 201"/>
                <a:gd name="T35" fmla="*/ 0 h 202"/>
                <a:gd name="T36" fmla="*/ 0 w 201"/>
                <a:gd name="T37" fmla="*/ 0 h 202"/>
                <a:gd name="T38" fmla="*/ 0 w 201"/>
                <a:gd name="T39" fmla="*/ 0 h 202"/>
                <a:gd name="T40" fmla="*/ 0 w 201"/>
                <a:gd name="T41" fmla="*/ 0 h 202"/>
                <a:gd name="T42" fmla="*/ 0 w 201"/>
                <a:gd name="T43" fmla="*/ 0 h 202"/>
                <a:gd name="T44" fmla="*/ 0 w 201"/>
                <a:gd name="T45" fmla="*/ 0 h 202"/>
                <a:gd name="T46" fmla="*/ 0 w 201"/>
                <a:gd name="T47" fmla="*/ 0 h 202"/>
                <a:gd name="T48" fmla="*/ 0 w 201"/>
                <a:gd name="T49" fmla="*/ 0 h 202"/>
                <a:gd name="T50" fmla="*/ 0 w 201"/>
                <a:gd name="T51" fmla="*/ 0 h 202"/>
                <a:gd name="T52" fmla="*/ 0 w 201"/>
                <a:gd name="T53" fmla="*/ 0 h 202"/>
                <a:gd name="T54" fmla="*/ 0 w 201"/>
                <a:gd name="T55" fmla="*/ 0 h 202"/>
                <a:gd name="T56" fmla="*/ 0 w 201"/>
                <a:gd name="T57" fmla="*/ 0 h 202"/>
                <a:gd name="T58" fmla="*/ 0 w 201"/>
                <a:gd name="T59" fmla="*/ 0 h 202"/>
                <a:gd name="T60" fmla="*/ 0 w 201"/>
                <a:gd name="T61" fmla="*/ 0 h 202"/>
                <a:gd name="T62" fmla="*/ 0 w 201"/>
                <a:gd name="T63" fmla="*/ 0 h 202"/>
                <a:gd name="T64" fmla="*/ 0 w 201"/>
                <a:gd name="T65" fmla="*/ 0 h 202"/>
                <a:gd name="T66" fmla="*/ 0 w 201"/>
                <a:gd name="T67" fmla="*/ 0 h 202"/>
                <a:gd name="T68" fmla="*/ 0 w 201"/>
                <a:gd name="T69" fmla="*/ 0 h 202"/>
                <a:gd name="T70" fmla="*/ 0 w 201"/>
                <a:gd name="T71" fmla="*/ 0 h 202"/>
                <a:gd name="T72" fmla="*/ 0 w 201"/>
                <a:gd name="T73" fmla="*/ 0 h 202"/>
                <a:gd name="T74" fmla="*/ 0 w 201"/>
                <a:gd name="T75" fmla="*/ 0 h 202"/>
                <a:gd name="T76" fmla="*/ 0 w 201"/>
                <a:gd name="T77" fmla="*/ 0 h 202"/>
                <a:gd name="T78" fmla="*/ 0 w 201"/>
                <a:gd name="T79" fmla="*/ 0 h 202"/>
                <a:gd name="T80" fmla="*/ 0 w 201"/>
                <a:gd name="T81" fmla="*/ 0 h 202"/>
                <a:gd name="T82" fmla="*/ 0 w 201"/>
                <a:gd name="T83" fmla="*/ 0 h 202"/>
                <a:gd name="T84" fmla="*/ 0 w 201"/>
                <a:gd name="T85" fmla="*/ 0 h 202"/>
                <a:gd name="T86" fmla="*/ 0 w 201"/>
                <a:gd name="T87" fmla="*/ 0 h 202"/>
                <a:gd name="T88" fmla="*/ 0 w 201"/>
                <a:gd name="T89" fmla="*/ 0 h 202"/>
                <a:gd name="T90" fmla="*/ 0 w 201"/>
                <a:gd name="T91" fmla="*/ 0 h 202"/>
                <a:gd name="T92" fmla="*/ 0 w 201"/>
                <a:gd name="T93" fmla="*/ 0 h 202"/>
                <a:gd name="T94" fmla="*/ 0 w 201"/>
                <a:gd name="T95" fmla="*/ 0 h 202"/>
                <a:gd name="T96" fmla="*/ 0 w 201"/>
                <a:gd name="T97" fmla="*/ 0 h 202"/>
                <a:gd name="T98" fmla="*/ 0 w 201"/>
                <a:gd name="T99" fmla="*/ 0 h 202"/>
                <a:gd name="T100" fmla="*/ 0 w 201"/>
                <a:gd name="T101" fmla="*/ 0 h 202"/>
                <a:gd name="T102" fmla="*/ 0 w 201"/>
                <a:gd name="T103" fmla="*/ 0 h 202"/>
                <a:gd name="T104" fmla="*/ 0 w 201"/>
                <a:gd name="T105" fmla="*/ 0 h 202"/>
                <a:gd name="T106" fmla="*/ 0 w 201"/>
                <a:gd name="T107" fmla="*/ 0 h 202"/>
                <a:gd name="T108" fmla="*/ 0 w 201"/>
                <a:gd name="T109" fmla="*/ 0 h 202"/>
                <a:gd name="T110" fmla="*/ 0 w 201"/>
                <a:gd name="T111" fmla="*/ 0 h 202"/>
                <a:gd name="T112" fmla="*/ 0 w 201"/>
                <a:gd name="T113" fmla="*/ 0 h 202"/>
                <a:gd name="T114" fmla="*/ 0 w 201"/>
                <a:gd name="T115" fmla="*/ 0 h 202"/>
                <a:gd name="T116" fmla="*/ 0 w 201"/>
                <a:gd name="T117" fmla="*/ 0 h 202"/>
                <a:gd name="T118" fmla="*/ 0 w 201"/>
                <a:gd name="T119" fmla="*/ 0 h 202"/>
                <a:gd name="T120" fmla="*/ 0 w 201"/>
                <a:gd name="T121" fmla="*/ 0 h 202"/>
                <a:gd name="T122" fmla="*/ 0 w 201"/>
                <a:gd name="T123" fmla="*/ 0 h 202"/>
                <a:gd name="T124" fmla="*/ 0 w 201"/>
                <a:gd name="T125" fmla="*/ 0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3" name="Line 32">
              <a:extLst>
                <a:ext uri="{FF2B5EF4-FFF2-40B4-BE49-F238E27FC236}">
                  <a16:creationId xmlns:a16="http://schemas.microsoft.com/office/drawing/2014/main" id="{E3EF06EA-0244-4ACE-A32A-5039A0244D8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" name="Freeform 33">
              <a:extLst>
                <a:ext uri="{FF2B5EF4-FFF2-40B4-BE49-F238E27FC236}">
                  <a16:creationId xmlns:a16="http://schemas.microsoft.com/office/drawing/2014/main" id="{C5A3EFC2-2F53-4478-8981-74E47B067327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0 w 208"/>
                <a:gd name="T1" fmla="*/ 0 h 177"/>
                <a:gd name="T2" fmla="*/ 0 w 208"/>
                <a:gd name="T3" fmla="*/ 0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24" name="Group 34">
            <a:extLst>
              <a:ext uri="{FF2B5EF4-FFF2-40B4-BE49-F238E27FC236}">
                <a16:creationId xmlns:a16="http://schemas.microsoft.com/office/drawing/2014/main" id="{752D75B9-5D8C-42EF-A00F-BB256873C244}"/>
              </a:ext>
            </a:extLst>
          </xdr:cNvPr>
          <xdr:cNvGrpSpPr>
            <a:grpSpLocks/>
          </xdr:cNvGrpSpPr>
        </xdr:nvGrpSpPr>
        <xdr:grpSpPr bwMode="auto">
          <a:xfrm rot="5400000">
            <a:off x="399" y="613"/>
            <a:ext cx="77" cy="6"/>
            <a:chOff x="123" y="549"/>
            <a:chExt cx="77" cy="6"/>
          </a:xfrm>
        </xdr:grpSpPr>
        <xdr:sp macro="" textlink="">
          <xdr:nvSpPr>
            <xdr:cNvPr id="34" name="Line 35">
              <a:extLst>
                <a:ext uri="{FF2B5EF4-FFF2-40B4-BE49-F238E27FC236}">
                  <a16:creationId xmlns:a16="http://schemas.microsoft.com/office/drawing/2014/main" id="{2E6E1F3E-B794-42BB-9700-7A5B8859901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" name="Freeform 36">
              <a:extLst>
                <a:ext uri="{FF2B5EF4-FFF2-40B4-BE49-F238E27FC236}">
                  <a16:creationId xmlns:a16="http://schemas.microsoft.com/office/drawing/2014/main" id="{45F4363C-1C8A-4D1F-8440-47AC69273ECA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6" name="Freeform 37">
              <a:extLst>
                <a:ext uri="{FF2B5EF4-FFF2-40B4-BE49-F238E27FC236}">
                  <a16:creationId xmlns:a16="http://schemas.microsoft.com/office/drawing/2014/main" id="{E53F1F72-C174-41E7-94C9-2878323396B3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2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25" name="Group 38">
            <a:extLst>
              <a:ext uri="{FF2B5EF4-FFF2-40B4-BE49-F238E27FC236}">
                <a16:creationId xmlns:a16="http://schemas.microsoft.com/office/drawing/2014/main" id="{4DD0759A-BC4B-4444-81E1-3AF8BC0FFE5D}"/>
              </a:ext>
            </a:extLst>
          </xdr:cNvPr>
          <xdr:cNvGrpSpPr>
            <a:grpSpLocks/>
          </xdr:cNvGrpSpPr>
        </xdr:nvGrpSpPr>
        <xdr:grpSpPr bwMode="auto">
          <a:xfrm rot="5400000">
            <a:off x="355" y="603"/>
            <a:ext cx="105" cy="32"/>
            <a:chOff x="110" y="567"/>
            <a:chExt cx="105" cy="32"/>
          </a:xfrm>
        </xdr:grpSpPr>
        <xdr:sp macro="" textlink="">
          <xdr:nvSpPr>
            <xdr:cNvPr id="26" name="Line 39">
              <a:extLst>
                <a:ext uri="{FF2B5EF4-FFF2-40B4-BE49-F238E27FC236}">
                  <a16:creationId xmlns:a16="http://schemas.microsoft.com/office/drawing/2014/main" id="{FA4C15C2-5B05-4F4F-AB3F-4D53760E772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" name="Freeform 40">
              <a:extLst>
                <a:ext uri="{FF2B5EF4-FFF2-40B4-BE49-F238E27FC236}">
                  <a16:creationId xmlns:a16="http://schemas.microsoft.com/office/drawing/2014/main" id="{7F2D5740-90EE-42AB-B008-FF8C36CF1F50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8" name="Freeform 41">
              <a:extLst>
                <a:ext uri="{FF2B5EF4-FFF2-40B4-BE49-F238E27FC236}">
                  <a16:creationId xmlns:a16="http://schemas.microsoft.com/office/drawing/2014/main" id="{1304D1DA-EAAD-4E6A-BD40-C722BF6131A2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0 w 203"/>
                <a:gd name="T1" fmla="*/ 0 h 199"/>
                <a:gd name="T2" fmla="*/ 0 w 203"/>
                <a:gd name="T3" fmla="*/ 0 h 199"/>
                <a:gd name="T4" fmla="*/ 0 w 203"/>
                <a:gd name="T5" fmla="*/ 0 h 199"/>
                <a:gd name="T6" fmla="*/ 0 w 203"/>
                <a:gd name="T7" fmla="*/ 0 h 199"/>
                <a:gd name="T8" fmla="*/ 0 w 203"/>
                <a:gd name="T9" fmla="*/ 0 h 199"/>
                <a:gd name="T10" fmla="*/ 0 w 203"/>
                <a:gd name="T11" fmla="*/ 0 h 199"/>
                <a:gd name="T12" fmla="*/ 0 w 203"/>
                <a:gd name="T13" fmla="*/ 0 h 199"/>
                <a:gd name="T14" fmla="*/ 0 w 203"/>
                <a:gd name="T15" fmla="*/ 0 h 199"/>
                <a:gd name="T16" fmla="*/ 0 w 203"/>
                <a:gd name="T17" fmla="*/ 0 h 199"/>
                <a:gd name="T18" fmla="*/ 0 w 203"/>
                <a:gd name="T19" fmla="*/ 0 h 199"/>
                <a:gd name="T20" fmla="*/ 0 w 203"/>
                <a:gd name="T21" fmla="*/ 0 h 199"/>
                <a:gd name="T22" fmla="*/ 0 w 203"/>
                <a:gd name="T23" fmla="*/ 0 h 199"/>
                <a:gd name="T24" fmla="*/ 0 w 203"/>
                <a:gd name="T25" fmla="*/ 0 h 199"/>
                <a:gd name="T26" fmla="*/ 0 w 203"/>
                <a:gd name="T27" fmla="*/ 0 h 199"/>
                <a:gd name="T28" fmla="*/ 0 w 203"/>
                <a:gd name="T29" fmla="*/ 0 h 199"/>
                <a:gd name="T30" fmla="*/ 0 w 203"/>
                <a:gd name="T31" fmla="*/ 0 h 199"/>
                <a:gd name="T32" fmla="*/ 0 w 203"/>
                <a:gd name="T33" fmla="*/ 0 h 199"/>
                <a:gd name="T34" fmla="*/ 0 w 203"/>
                <a:gd name="T35" fmla="*/ 0 h 199"/>
                <a:gd name="T36" fmla="*/ 0 w 203"/>
                <a:gd name="T37" fmla="*/ 0 h 199"/>
                <a:gd name="T38" fmla="*/ 0 w 203"/>
                <a:gd name="T39" fmla="*/ 0 h 199"/>
                <a:gd name="T40" fmla="*/ 0 w 203"/>
                <a:gd name="T41" fmla="*/ 0 h 199"/>
                <a:gd name="T42" fmla="*/ 0 w 203"/>
                <a:gd name="T43" fmla="*/ 0 h 199"/>
                <a:gd name="T44" fmla="*/ 0 w 203"/>
                <a:gd name="T45" fmla="*/ 0 h 199"/>
                <a:gd name="T46" fmla="*/ 0 w 203"/>
                <a:gd name="T47" fmla="*/ 0 h 199"/>
                <a:gd name="T48" fmla="*/ 0 w 203"/>
                <a:gd name="T49" fmla="*/ 0 h 199"/>
                <a:gd name="T50" fmla="*/ 0 w 203"/>
                <a:gd name="T51" fmla="*/ 0 h 199"/>
                <a:gd name="T52" fmla="*/ 0 w 203"/>
                <a:gd name="T53" fmla="*/ 0 h 199"/>
                <a:gd name="T54" fmla="*/ 0 w 203"/>
                <a:gd name="T55" fmla="*/ 0 h 199"/>
                <a:gd name="T56" fmla="*/ 0 w 203"/>
                <a:gd name="T57" fmla="*/ 0 h 199"/>
                <a:gd name="T58" fmla="*/ 0 w 203"/>
                <a:gd name="T59" fmla="*/ 0 h 199"/>
                <a:gd name="T60" fmla="*/ 0 w 203"/>
                <a:gd name="T61" fmla="*/ 0 h 199"/>
                <a:gd name="T62" fmla="*/ 0 w 203"/>
                <a:gd name="T63" fmla="*/ 0 h 199"/>
                <a:gd name="T64" fmla="*/ 0 w 203"/>
                <a:gd name="T65" fmla="*/ 0 h 199"/>
                <a:gd name="T66" fmla="*/ 0 w 203"/>
                <a:gd name="T67" fmla="*/ 0 h 199"/>
                <a:gd name="T68" fmla="*/ 0 w 203"/>
                <a:gd name="T69" fmla="*/ 0 h 199"/>
                <a:gd name="T70" fmla="*/ 0 w 203"/>
                <a:gd name="T71" fmla="*/ 0 h 199"/>
                <a:gd name="T72" fmla="*/ 0 w 203"/>
                <a:gd name="T73" fmla="*/ 0 h 199"/>
                <a:gd name="T74" fmla="*/ 0 w 203"/>
                <a:gd name="T75" fmla="*/ 0 h 199"/>
                <a:gd name="T76" fmla="*/ 0 w 203"/>
                <a:gd name="T77" fmla="*/ 0 h 199"/>
                <a:gd name="T78" fmla="*/ 0 w 203"/>
                <a:gd name="T79" fmla="*/ 0 h 199"/>
                <a:gd name="T80" fmla="*/ 0 w 203"/>
                <a:gd name="T81" fmla="*/ 0 h 199"/>
                <a:gd name="T82" fmla="*/ 0 w 203"/>
                <a:gd name="T83" fmla="*/ 0 h 199"/>
                <a:gd name="T84" fmla="*/ 0 w 203"/>
                <a:gd name="T85" fmla="*/ 0 h 199"/>
                <a:gd name="T86" fmla="*/ 0 w 203"/>
                <a:gd name="T87" fmla="*/ 0 h 199"/>
                <a:gd name="T88" fmla="*/ 0 w 203"/>
                <a:gd name="T89" fmla="*/ 0 h 199"/>
                <a:gd name="T90" fmla="*/ 0 w 203"/>
                <a:gd name="T91" fmla="*/ 0 h 199"/>
                <a:gd name="T92" fmla="*/ 0 w 203"/>
                <a:gd name="T93" fmla="*/ 0 h 199"/>
                <a:gd name="T94" fmla="*/ 0 w 203"/>
                <a:gd name="T95" fmla="*/ 0 h 199"/>
                <a:gd name="T96" fmla="*/ 0 w 203"/>
                <a:gd name="T97" fmla="*/ 0 h 199"/>
                <a:gd name="T98" fmla="*/ 0 w 203"/>
                <a:gd name="T99" fmla="*/ 0 h 199"/>
                <a:gd name="T100" fmla="*/ 0 w 203"/>
                <a:gd name="T101" fmla="*/ 0 h 199"/>
                <a:gd name="T102" fmla="*/ 0 w 203"/>
                <a:gd name="T103" fmla="*/ 0 h 199"/>
                <a:gd name="T104" fmla="*/ 0 w 203"/>
                <a:gd name="T105" fmla="*/ 0 h 199"/>
                <a:gd name="T106" fmla="*/ 0 w 203"/>
                <a:gd name="T107" fmla="*/ 0 h 199"/>
                <a:gd name="T108" fmla="*/ 0 w 203"/>
                <a:gd name="T109" fmla="*/ 0 h 199"/>
                <a:gd name="T110" fmla="*/ 0 w 203"/>
                <a:gd name="T111" fmla="*/ 0 h 199"/>
                <a:gd name="T112" fmla="*/ 0 w 203"/>
                <a:gd name="T113" fmla="*/ 0 h 199"/>
                <a:gd name="T114" fmla="*/ 0 w 203"/>
                <a:gd name="T115" fmla="*/ 0 h 199"/>
                <a:gd name="T116" fmla="*/ 0 w 203"/>
                <a:gd name="T117" fmla="*/ 0 h 199"/>
                <a:gd name="T118" fmla="*/ 0 w 203"/>
                <a:gd name="T119" fmla="*/ 0 h 199"/>
                <a:gd name="T120" fmla="*/ 0 w 203"/>
                <a:gd name="T121" fmla="*/ 0 h 199"/>
                <a:gd name="T122" fmla="*/ 0 w 20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9" name="Line 42">
              <a:extLst>
                <a:ext uri="{FF2B5EF4-FFF2-40B4-BE49-F238E27FC236}">
                  <a16:creationId xmlns:a16="http://schemas.microsoft.com/office/drawing/2014/main" id="{AF39B521-0790-41C8-B022-8FADFD40087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" name="Freeform 43">
              <a:extLst>
                <a:ext uri="{FF2B5EF4-FFF2-40B4-BE49-F238E27FC236}">
                  <a16:creationId xmlns:a16="http://schemas.microsoft.com/office/drawing/2014/main" id="{B7DA813D-9F40-4442-85FA-390CCFEB1663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0 w 207"/>
                <a:gd name="T1" fmla="*/ 0 h 176"/>
                <a:gd name="T2" fmla="*/ 0 w 207"/>
                <a:gd name="T3" fmla="*/ 0 h 176"/>
                <a:gd name="T4" fmla="*/ 0 w 207"/>
                <a:gd name="T5" fmla="*/ 0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1" name="Freeform 44">
              <a:extLst>
                <a:ext uri="{FF2B5EF4-FFF2-40B4-BE49-F238E27FC236}">
                  <a16:creationId xmlns:a16="http://schemas.microsoft.com/office/drawing/2014/main" id="{56D32F37-5F8F-4332-AC19-00264CD30798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0 w 201"/>
                <a:gd name="T5" fmla="*/ 0 h 202"/>
                <a:gd name="T6" fmla="*/ 0 w 201"/>
                <a:gd name="T7" fmla="*/ 0 h 202"/>
                <a:gd name="T8" fmla="*/ 0 w 201"/>
                <a:gd name="T9" fmla="*/ 0 h 202"/>
                <a:gd name="T10" fmla="*/ 0 w 201"/>
                <a:gd name="T11" fmla="*/ 0 h 202"/>
                <a:gd name="T12" fmla="*/ 0 w 201"/>
                <a:gd name="T13" fmla="*/ 0 h 202"/>
                <a:gd name="T14" fmla="*/ 0 w 201"/>
                <a:gd name="T15" fmla="*/ 0 h 202"/>
                <a:gd name="T16" fmla="*/ 0 w 201"/>
                <a:gd name="T17" fmla="*/ 0 h 202"/>
                <a:gd name="T18" fmla="*/ 0 w 201"/>
                <a:gd name="T19" fmla="*/ 0 h 202"/>
                <a:gd name="T20" fmla="*/ 0 w 201"/>
                <a:gd name="T21" fmla="*/ 0 h 202"/>
                <a:gd name="T22" fmla="*/ 0 w 201"/>
                <a:gd name="T23" fmla="*/ 0 h 202"/>
                <a:gd name="T24" fmla="*/ 0 w 201"/>
                <a:gd name="T25" fmla="*/ 0 h 202"/>
                <a:gd name="T26" fmla="*/ 0 w 201"/>
                <a:gd name="T27" fmla="*/ 0 h 202"/>
                <a:gd name="T28" fmla="*/ 0 w 201"/>
                <a:gd name="T29" fmla="*/ 0 h 202"/>
                <a:gd name="T30" fmla="*/ 0 w 201"/>
                <a:gd name="T31" fmla="*/ 0 h 202"/>
                <a:gd name="T32" fmla="*/ 0 w 201"/>
                <a:gd name="T33" fmla="*/ 0 h 202"/>
                <a:gd name="T34" fmla="*/ 0 w 201"/>
                <a:gd name="T35" fmla="*/ 0 h 202"/>
                <a:gd name="T36" fmla="*/ 0 w 201"/>
                <a:gd name="T37" fmla="*/ 0 h 202"/>
                <a:gd name="T38" fmla="*/ 0 w 201"/>
                <a:gd name="T39" fmla="*/ 0 h 202"/>
                <a:gd name="T40" fmla="*/ 0 w 201"/>
                <a:gd name="T41" fmla="*/ 0 h 202"/>
                <a:gd name="T42" fmla="*/ 0 w 201"/>
                <a:gd name="T43" fmla="*/ 0 h 202"/>
                <a:gd name="T44" fmla="*/ 0 w 201"/>
                <a:gd name="T45" fmla="*/ 0 h 202"/>
                <a:gd name="T46" fmla="*/ 0 w 201"/>
                <a:gd name="T47" fmla="*/ 0 h 202"/>
                <a:gd name="T48" fmla="*/ 0 w 201"/>
                <a:gd name="T49" fmla="*/ 0 h 202"/>
                <a:gd name="T50" fmla="*/ 0 w 201"/>
                <a:gd name="T51" fmla="*/ 0 h 202"/>
                <a:gd name="T52" fmla="*/ 0 w 201"/>
                <a:gd name="T53" fmla="*/ 0 h 202"/>
                <a:gd name="T54" fmla="*/ 0 w 201"/>
                <a:gd name="T55" fmla="*/ 0 h 202"/>
                <a:gd name="T56" fmla="*/ 0 w 201"/>
                <a:gd name="T57" fmla="*/ 0 h 202"/>
                <a:gd name="T58" fmla="*/ 0 w 201"/>
                <a:gd name="T59" fmla="*/ 0 h 202"/>
                <a:gd name="T60" fmla="*/ 0 w 201"/>
                <a:gd name="T61" fmla="*/ 0 h 202"/>
                <a:gd name="T62" fmla="*/ 0 w 201"/>
                <a:gd name="T63" fmla="*/ 0 h 202"/>
                <a:gd name="T64" fmla="*/ 0 w 201"/>
                <a:gd name="T65" fmla="*/ 0 h 202"/>
                <a:gd name="T66" fmla="*/ 0 w 201"/>
                <a:gd name="T67" fmla="*/ 0 h 202"/>
                <a:gd name="T68" fmla="*/ 0 w 201"/>
                <a:gd name="T69" fmla="*/ 0 h 202"/>
                <a:gd name="T70" fmla="*/ 0 w 201"/>
                <a:gd name="T71" fmla="*/ 0 h 202"/>
                <a:gd name="T72" fmla="*/ 0 w 201"/>
                <a:gd name="T73" fmla="*/ 0 h 202"/>
                <a:gd name="T74" fmla="*/ 0 w 201"/>
                <a:gd name="T75" fmla="*/ 0 h 202"/>
                <a:gd name="T76" fmla="*/ 0 w 201"/>
                <a:gd name="T77" fmla="*/ 0 h 202"/>
                <a:gd name="T78" fmla="*/ 0 w 201"/>
                <a:gd name="T79" fmla="*/ 0 h 202"/>
                <a:gd name="T80" fmla="*/ 0 w 201"/>
                <a:gd name="T81" fmla="*/ 0 h 202"/>
                <a:gd name="T82" fmla="*/ 0 w 201"/>
                <a:gd name="T83" fmla="*/ 0 h 202"/>
                <a:gd name="T84" fmla="*/ 0 w 201"/>
                <a:gd name="T85" fmla="*/ 0 h 202"/>
                <a:gd name="T86" fmla="*/ 0 w 201"/>
                <a:gd name="T87" fmla="*/ 0 h 202"/>
                <a:gd name="T88" fmla="*/ 0 w 201"/>
                <a:gd name="T89" fmla="*/ 0 h 202"/>
                <a:gd name="T90" fmla="*/ 0 w 201"/>
                <a:gd name="T91" fmla="*/ 0 h 202"/>
                <a:gd name="T92" fmla="*/ 0 w 201"/>
                <a:gd name="T93" fmla="*/ 0 h 202"/>
                <a:gd name="T94" fmla="*/ 0 w 201"/>
                <a:gd name="T95" fmla="*/ 0 h 202"/>
                <a:gd name="T96" fmla="*/ 0 w 201"/>
                <a:gd name="T97" fmla="*/ 0 h 202"/>
                <a:gd name="T98" fmla="*/ 0 w 201"/>
                <a:gd name="T99" fmla="*/ 0 h 202"/>
                <a:gd name="T100" fmla="*/ 0 w 201"/>
                <a:gd name="T101" fmla="*/ 0 h 202"/>
                <a:gd name="T102" fmla="*/ 0 w 201"/>
                <a:gd name="T103" fmla="*/ 0 h 202"/>
                <a:gd name="T104" fmla="*/ 0 w 201"/>
                <a:gd name="T105" fmla="*/ 0 h 202"/>
                <a:gd name="T106" fmla="*/ 0 w 201"/>
                <a:gd name="T107" fmla="*/ 0 h 202"/>
                <a:gd name="T108" fmla="*/ 0 w 201"/>
                <a:gd name="T109" fmla="*/ 0 h 202"/>
                <a:gd name="T110" fmla="*/ 0 w 201"/>
                <a:gd name="T111" fmla="*/ 0 h 202"/>
                <a:gd name="T112" fmla="*/ 0 w 201"/>
                <a:gd name="T113" fmla="*/ 0 h 202"/>
                <a:gd name="T114" fmla="*/ 0 w 201"/>
                <a:gd name="T115" fmla="*/ 0 h 202"/>
                <a:gd name="T116" fmla="*/ 0 w 201"/>
                <a:gd name="T117" fmla="*/ 0 h 202"/>
                <a:gd name="T118" fmla="*/ 0 w 201"/>
                <a:gd name="T119" fmla="*/ 0 h 202"/>
                <a:gd name="T120" fmla="*/ 0 w 201"/>
                <a:gd name="T121" fmla="*/ 0 h 202"/>
                <a:gd name="T122" fmla="*/ 0 w 201"/>
                <a:gd name="T123" fmla="*/ 0 h 202"/>
                <a:gd name="T124" fmla="*/ 0 w 201"/>
                <a:gd name="T125" fmla="*/ 0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2" name="Line 45">
              <a:extLst>
                <a:ext uri="{FF2B5EF4-FFF2-40B4-BE49-F238E27FC236}">
                  <a16:creationId xmlns:a16="http://schemas.microsoft.com/office/drawing/2014/main" id="{00464FE7-11BB-4284-A155-AF2503CC32C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" name="Freeform 46">
              <a:extLst>
                <a:ext uri="{FF2B5EF4-FFF2-40B4-BE49-F238E27FC236}">
                  <a16:creationId xmlns:a16="http://schemas.microsoft.com/office/drawing/2014/main" id="{08F5B7CD-16C2-4680-99DC-DBB4D1AE787C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0 w 208"/>
                <a:gd name="T1" fmla="*/ 0 h 177"/>
                <a:gd name="T2" fmla="*/ 0 w 208"/>
                <a:gd name="T3" fmla="*/ 0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15</xdr:col>
      <xdr:colOff>247650</xdr:colOff>
      <xdr:row>15</xdr:row>
      <xdr:rowOff>457200</xdr:rowOff>
    </xdr:from>
    <xdr:to>
      <xdr:col>17</xdr:col>
      <xdr:colOff>66675</xdr:colOff>
      <xdr:row>15</xdr:row>
      <xdr:rowOff>1095375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7049F5D0-9F09-4498-8F80-C04F1278F872}"/>
            </a:ext>
          </a:extLst>
        </xdr:cNvPr>
        <xdr:cNvGrpSpPr>
          <a:grpSpLocks/>
        </xdr:cNvGrpSpPr>
      </xdr:nvGrpSpPr>
      <xdr:grpSpPr bwMode="auto">
        <a:xfrm>
          <a:off x="5026715" y="5236265"/>
          <a:ext cx="448503" cy="638175"/>
          <a:chOff x="481" y="585"/>
          <a:chExt cx="47" cy="67"/>
        </a:xfrm>
      </xdr:grpSpPr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6F022A03-123B-418C-873C-AE764713F96B}"/>
              </a:ext>
            </a:extLst>
          </xdr:cNvPr>
          <xdr:cNvGrpSpPr>
            <a:grpSpLocks/>
          </xdr:cNvGrpSpPr>
        </xdr:nvGrpSpPr>
        <xdr:grpSpPr bwMode="auto">
          <a:xfrm>
            <a:off x="511" y="585"/>
            <a:ext cx="17" cy="27"/>
            <a:chOff x="506" y="578"/>
            <a:chExt cx="17" cy="27"/>
          </a:xfrm>
        </xdr:grpSpPr>
        <xdr:sp macro="" textlink="">
          <xdr:nvSpPr>
            <xdr:cNvPr id="55" name="Freeform 49">
              <a:extLst>
                <a:ext uri="{FF2B5EF4-FFF2-40B4-BE49-F238E27FC236}">
                  <a16:creationId xmlns:a16="http://schemas.microsoft.com/office/drawing/2014/main" id="{B01E39FF-FDDC-4EBD-AF62-4FAC63D81E96}"/>
                </a:ext>
              </a:extLst>
            </xdr:cNvPr>
            <xdr:cNvSpPr>
              <a:spLocks/>
            </xdr:cNvSpPr>
          </xdr:nvSpPr>
          <xdr:spPr bwMode="auto">
            <a:xfrm rot="5374774">
              <a:off x="514" y="592"/>
              <a:ext cx="9" cy="9"/>
            </a:xfrm>
            <a:custGeom>
              <a:avLst/>
              <a:gdLst>
                <a:gd name="T0" fmla="*/ 0 w 193"/>
                <a:gd name="T1" fmla="*/ 0 h 199"/>
                <a:gd name="T2" fmla="*/ 0 w 193"/>
                <a:gd name="T3" fmla="*/ 0 h 199"/>
                <a:gd name="T4" fmla="*/ 0 w 193"/>
                <a:gd name="T5" fmla="*/ 0 h 199"/>
                <a:gd name="T6" fmla="*/ 0 w 193"/>
                <a:gd name="T7" fmla="*/ 0 h 199"/>
                <a:gd name="T8" fmla="*/ 0 w 193"/>
                <a:gd name="T9" fmla="*/ 0 h 199"/>
                <a:gd name="T10" fmla="*/ 0 w 193"/>
                <a:gd name="T11" fmla="*/ 0 h 199"/>
                <a:gd name="T12" fmla="*/ 0 w 193"/>
                <a:gd name="T13" fmla="*/ 0 h 199"/>
                <a:gd name="T14" fmla="*/ 0 w 193"/>
                <a:gd name="T15" fmla="*/ 0 h 199"/>
                <a:gd name="T16" fmla="*/ 0 w 193"/>
                <a:gd name="T17" fmla="*/ 0 h 199"/>
                <a:gd name="T18" fmla="*/ 0 w 193"/>
                <a:gd name="T19" fmla="*/ 0 h 199"/>
                <a:gd name="T20" fmla="*/ 0 w 193"/>
                <a:gd name="T21" fmla="*/ 0 h 199"/>
                <a:gd name="T22" fmla="*/ 0 w 193"/>
                <a:gd name="T23" fmla="*/ 0 h 199"/>
                <a:gd name="T24" fmla="*/ 0 w 193"/>
                <a:gd name="T25" fmla="*/ 0 h 199"/>
                <a:gd name="T26" fmla="*/ 0 w 193"/>
                <a:gd name="T27" fmla="*/ 0 h 199"/>
                <a:gd name="T28" fmla="*/ 0 w 193"/>
                <a:gd name="T29" fmla="*/ 0 h 199"/>
                <a:gd name="T30" fmla="*/ 0 w 193"/>
                <a:gd name="T31" fmla="*/ 0 h 199"/>
                <a:gd name="T32" fmla="*/ 0 w 193"/>
                <a:gd name="T33" fmla="*/ 0 h 199"/>
                <a:gd name="T34" fmla="*/ 0 w 193"/>
                <a:gd name="T35" fmla="*/ 0 h 199"/>
                <a:gd name="T36" fmla="*/ 0 w 193"/>
                <a:gd name="T37" fmla="*/ 0 h 199"/>
                <a:gd name="T38" fmla="*/ 0 w 193"/>
                <a:gd name="T39" fmla="*/ 0 h 199"/>
                <a:gd name="T40" fmla="*/ 0 w 193"/>
                <a:gd name="T41" fmla="*/ 0 h 199"/>
                <a:gd name="T42" fmla="*/ 0 w 193"/>
                <a:gd name="T43" fmla="*/ 0 h 199"/>
                <a:gd name="T44" fmla="*/ 0 w 193"/>
                <a:gd name="T45" fmla="*/ 0 h 199"/>
                <a:gd name="T46" fmla="*/ 0 w 193"/>
                <a:gd name="T47" fmla="*/ 0 h 199"/>
                <a:gd name="T48" fmla="*/ 0 w 193"/>
                <a:gd name="T49" fmla="*/ 0 h 199"/>
                <a:gd name="T50" fmla="*/ 0 w 193"/>
                <a:gd name="T51" fmla="*/ 0 h 199"/>
                <a:gd name="T52" fmla="*/ 0 w 193"/>
                <a:gd name="T53" fmla="*/ 0 h 199"/>
                <a:gd name="T54" fmla="*/ 0 w 193"/>
                <a:gd name="T55" fmla="*/ 0 h 199"/>
                <a:gd name="T56" fmla="*/ 0 w 193"/>
                <a:gd name="T57" fmla="*/ 0 h 199"/>
                <a:gd name="T58" fmla="*/ 0 w 193"/>
                <a:gd name="T59" fmla="*/ 0 h 199"/>
                <a:gd name="T60" fmla="*/ 0 w 193"/>
                <a:gd name="T61" fmla="*/ 0 h 199"/>
                <a:gd name="T62" fmla="*/ 0 w 193"/>
                <a:gd name="T63" fmla="*/ 0 h 199"/>
                <a:gd name="T64" fmla="*/ 0 w 193"/>
                <a:gd name="T65" fmla="*/ 0 h 199"/>
                <a:gd name="T66" fmla="*/ 0 w 193"/>
                <a:gd name="T67" fmla="*/ 0 h 199"/>
                <a:gd name="T68" fmla="*/ 0 w 193"/>
                <a:gd name="T69" fmla="*/ 0 h 199"/>
                <a:gd name="T70" fmla="*/ 0 w 193"/>
                <a:gd name="T71" fmla="*/ 0 h 199"/>
                <a:gd name="T72" fmla="*/ 0 w 193"/>
                <a:gd name="T73" fmla="*/ 0 h 199"/>
                <a:gd name="T74" fmla="*/ 0 w 193"/>
                <a:gd name="T75" fmla="*/ 0 h 199"/>
                <a:gd name="T76" fmla="*/ 0 w 193"/>
                <a:gd name="T77" fmla="*/ 0 h 199"/>
                <a:gd name="T78" fmla="*/ 0 w 193"/>
                <a:gd name="T79" fmla="*/ 0 h 199"/>
                <a:gd name="T80" fmla="*/ 0 w 193"/>
                <a:gd name="T81" fmla="*/ 0 h 199"/>
                <a:gd name="T82" fmla="*/ 0 w 193"/>
                <a:gd name="T83" fmla="*/ 0 h 199"/>
                <a:gd name="T84" fmla="*/ 0 w 193"/>
                <a:gd name="T85" fmla="*/ 0 h 199"/>
                <a:gd name="T86" fmla="*/ 0 w 193"/>
                <a:gd name="T87" fmla="*/ 0 h 199"/>
                <a:gd name="T88" fmla="*/ 0 w 193"/>
                <a:gd name="T89" fmla="*/ 0 h 199"/>
                <a:gd name="T90" fmla="*/ 0 w 193"/>
                <a:gd name="T91" fmla="*/ 0 h 199"/>
                <a:gd name="T92" fmla="*/ 0 w 193"/>
                <a:gd name="T93" fmla="*/ 0 h 199"/>
                <a:gd name="T94" fmla="*/ 0 w 193"/>
                <a:gd name="T95" fmla="*/ 0 h 199"/>
                <a:gd name="T96" fmla="*/ 0 w 193"/>
                <a:gd name="T97" fmla="*/ 0 h 199"/>
                <a:gd name="T98" fmla="*/ 0 w 193"/>
                <a:gd name="T99" fmla="*/ 0 h 199"/>
                <a:gd name="T100" fmla="*/ 0 w 193"/>
                <a:gd name="T101" fmla="*/ 0 h 199"/>
                <a:gd name="T102" fmla="*/ 0 w 193"/>
                <a:gd name="T103" fmla="*/ 0 h 199"/>
                <a:gd name="T104" fmla="*/ 0 w 193"/>
                <a:gd name="T105" fmla="*/ 0 h 199"/>
                <a:gd name="T106" fmla="*/ 0 w 193"/>
                <a:gd name="T107" fmla="*/ 0 h 199"/>
                <a:gd name="T108" fmla="*/ 0 w 193"/>
                <a:gd name="T109" fmla="*/ 0 h 199"/>
                <a:gd name="T110" fmla="*/ 0 w 193"/>
                <a:gd name="T111" fmla="*/ 0 h 199"/>
                <a:gd name="T112" fmla="*/ 0 w 193"/>
                <a:gd name="T113" fmla="*/ 0 h 199"/>
                <a:gd name="T114" fmla="*/ 0 w 193"/>
                <a:gd name="T115" fmla="*/ 0 h 199"/>
                <a:gd name="T116" fmla="*/ 0 w 193"/>
                <a:gd name="T117" fmla="*/ 0 h 199"/>
                <a:gd name="T118" fmla="*/ 0 w 193"/>
                <a:gd name="T119" fmla="*/ 0 h 199"/>
                <a:gd name="T120" fmla="*/ 0 w 193"/>
                <a:gd name="T121" fmla="*/ 0 h 199"/>
                <a:gd name="T122" fmla="*/ 0 w 19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" name="Line 50">
              <a:extLst>
                <a:ext uri="{FF2B5EF4-FFF2-40B4-BE49-F238E27FC236}">
                  <a16:creationId xmlns:a16="http://schemas.microsoft.com/office/drawing/2014/main" id="{CD83C7D5-6D32-479C-BDEF-E6CA9161A388}"/>
                </a:ext>
              </a:extLst>
            </xdr:cNvPr>
            <xdr:cNvSpPr>
              <a:spLocks noChangeShapeType="1"/>
            </xdr:cNvSpPr>
          </xdr:nvSpPr>
          <xdr:spPr bwMode="auto">
            <a:xfrm rot="5374774">
              <a:off x="511" y="597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" name="Freeform 51">
              <a:extLst>
                <a:ext uri="{FF2B5EF4-FFF2-40B4-BE49-F238E27FC236}">
                  <a16:creationId xmlns:a16="http://schemas.microsoft.com/office/drawing/2014/main" id="{A41318A2-4FA4-4CDA-9E13-6D5E018DD6A4}"/>
                </a:ext>
              </a:extLst>
            </xdr:cNvPr>
            <xdr:cNvSpPr>
              <a:spLocks/>
            </xdr:cNvSpPr>
          </xdr:nvSpPr>
          <xdr:spPr bwMode="auto">
            <a:xfrm rot="5374774">
              <a:off x="505" y="598"/>
              <a:ext cx="8" cy="6"/>
            </a:xfrm>
            <a:custGeom>
              <a:avLst/>
              <a:gdLst>
                <a:gd name="T0" fmla="*/ 0 w 201"/>
                <a:gd name="T1" fmla="*/ 0 h 174"/>
                <a:gd name="T2" fmla="*/ 0 w 201"/>
                <a:gd name="T3" fmla="*/ 0 h 174"/>
                <a:gd name="T4" fmla="*/ 0 w 201"/>
                <a:gd name="T5" fmla="*/ 0 h 17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" name="Line 52">
              <a:extLst>
                <a:ext uri="{FF2B5EF4-FFF2-40B4-BE49-F238E27FC236}">
                  <a16:creationId xmlns:a16="http://schemas.microsoft.com/office/drawing/2014/main" id="{8E6D95B4-8E94-4D8E-9F45-B4539146AC7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23" y="578"/>
              <a:ext cx="0" cy="1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50" name="Group 53">
            <a:extLst>
              <a:ext uri="{FF2B5EF4-FFF2-40B4-BE49-F238E27FC236}">
                <a16:creationId xmlns:a16="http://schemas.microsoft.com/office/drawing/2014/main" id="{70CA41EA-70DB-45EB-B386-06108CD2D5BF}"/>
              </a:ext>
            </a:extLst>
          </xdr:cNvPr>
          <xdr:cNvGrpSpPr>
            <a:grpSpLocks/>
          </xdr:cNvGrpSpPr>
        </xdr:nvGrpSpPr>
        <xdr:grpSpPr bwMode="auto">
          <a:xfrm>
            <a:off x="481" y="625"/>
            <a:ext cx="17" cy="27"/>
            <a:chOff x="471" y="616"/>
            <a:chExt cx="17" cy="27"/>
          </a:xfrm>
        </xdr:grpSpPr>
        <xdr:sp macro="" textlink="">
          <xdr:nvSpPr>
            <xdr:cNvPr id="51" name="Freeform 54">
              <a:extLst>
                <a:ext uri="{FF2B5EF4-FFF2-40B4-BE49-F238E27FC236}">
                  <a16:creationId xmlns:a16="http://schemas.microsoft.com/office/drawing/2014/main" id="{80C0E7CE-9A54-47B6-B378-5080B4D79C85}"/>
                </a:ext>
              </a:extLst>
            </xdr:cNvPr>
            <xdr:cNvSpPr>
              <a:spLocks/>
            </xdr:cNvSpPr>
          </xdr:nvSpPr>
          <xdr:spPr bwMode="auto">
            <a:xfrm rot="-5425225">
              <a:off x="471" y="620"/>
              <a:ext cx="8" cy="8"/>
            </a:xfrm>
            <a:custGeom>
              <a:avLst/>
              <a:gdLst>
                <a:gd name="T0" fmla="*/ 0 w 193"/>
                <a:gd name="T1" fmla="*/ 0 h 199"/>
                <a:gd name="T2" fmla="*/ 0 w 193"/>
                <a:gd name="T3" fmla="*/ 0 h 199"/>
                <a:gd name="T4" fmla="*/ 0 w 193"/>
                <a:gd name="T5" fmla="*/ 0 h 199"/>
                <a:gd name="T6" fmla="*/ 0 w 193"/>
                <a:gd name="T7" fmla="*/ 0 h 199"/>
                <a:gd name="T8" fmla="*/ 0 w 193"/>
                <a:gd name="T9" fmla="*/ 0 h 199"/>
                <a:gd name="T10" fmla="*/ 0 w 193"/>
                <a:gd name="T11" fmla="*/ 0 h 199"/>
                <a:gd name="T12" fmla="*/ 0 w 193"/>
                <a:gd name="T13" fmla="*/ 0 h 199"/>
                <a:gd name="T14" fmla="*/ 0 w 193"/>
                <a:gd name="T15" fmla="*/ 0 h 199"/>
                <a:gd name="T16" fmla="*/ 0 w 193"/>
                <a:gd name="T17" fmla="*/ 0 h 199"/>
                <a:gd name="T18" fmla="*/ 0 w 193"/>
                <a:gd name="T19" fmla="*/ 0 h 199"/>
                <a:gd name="T20" fmla="*/ 0 w 193"/>
                <a:gd name="T21" fmla="*/ 0 h 199"/>
                <a:gd name="T22" fmla="*/ 0 w 193"/>
                <a:gd name="T23" fmla="*/ 0 h 199"/>
                <a:gd name="T24" fmla="*/ 0 w 193"/>
                <a:gd name="T25" fmla="*/ 0 h 199"/>
                <a:gd name="T26" fmla="*/ 0 w 193"/>
                <a:gd name="T27" fmla="*/ 0 h 199"/>
                <a:gd name="T28" fmla="*/ 0 w 193"/>
                <a:gd name="T29" fmla="*/ 0 h 199"/>
                <a:gd name="T30" fmla="*/ 0 w 193"/>
                <a:gd name="T31" fmla="*/ 0 h 199"/>
                <a:gd name="T32" fmla="*/ 0 w 193"/>
                <a:gd name="T33" fmla="*/ 0 h 199"/>
                <a:gd name="T34" fmla="*/ 0 w 193"/>
                <a:gd name="T35" fmla="*/ 0 h 199"/>
                <a:gd name="T36" fmla="*/ 0 w 193"/>
                <a:gd name="T37" fmla="*/ 0 h 199"/>
                <a:gd name="T38" fmla="*/ 0 w 193"/>
                <a:gd name="T39" fmla="*/ 0 h 199"/>
                <a:gd name="T40" fmla="*/ 0 w 193"/>
                <a:gd name="T41" fmla="*/ 0 h 199"/>
                <a:gd name="T42" fmla="*/ 0 w 193"/>
                <a:gd name="T43" fmla="*/ 0 h 199"/>
                <a:gd name="T44" fmla="*/ 0 w 193"/>
                <a:gd name="T45" fmla="*/ 0 h 199"/>
                <a:gd name="T46" fmla="*/ 0 w 193"/>
                <a:gd name="T47" fmla="*/ 0 h 199"/>
                <a:gd name="T48" fmla="*/ 0 w 193"/>
                <a:gd name="T49" fmla="*/ 0 h 199"/>
                <a:gd name="T50" fmla="*/ 0 w 193"/>
                <a:gd name="T51" fmla="*/ 0 h 199"/>
                <a:gd name="T52" fmla="*/ 0 w 193"/>
                <a:gd name="T53" fmla="*/ 0 h 199"/>
                <a:gd name="T54" fmla="*/ 0 w 193"/>
                <a:gd name="T55" fmla="*/ 0 h 199"/>
                <a:gd name="T56" fmla="*/ 0 w 193"/>
                <a:gd name="T57" fmla="*/ 0 h 199"/>
                <a:gd name="T58" fmla="*/ 0 w 193"/>
                <a:gd name="T59" fmla="*/ 0 h 199"/>
                <a:gd name="T60" fmla="*/ 0 w 193"/>
                <a:gd name="T61" fmla="*/ 0 h 199"/>
                <a:gd name="T62" fmla="*/ 0 w 193"/>
                <a:gd name="T63" fmla="*/ 0 h 199"/>
                <a:gd name="T64" fmla="*/ 0 w 193"/>
                <a:gd name="T65" fmla="*/ 0 h 199"/>
                <a:gd name="T66" fmla="*/ 0 w 193"/>
                <a:gd name="T67" fmla="*/ 0 h 199"/>
                <a:gd name="T68" fmla="*/ 0 w 193"/>
                <a:gd name="T69" fmla="*/ 0 h 199"/>
                <a:gd name="T70" fmla="*/ 0 w 193"/>
                <a:gd name="T71" fmla="*/ 0 h 199"/>
                <a:gd name="T72" fmla="*/ 0 w 193"/>
                <a:gd name="T73" fmla="*/ 0 h 199"/>
                <a:gd name="T74" fmla="*/ 0 w 193"/>
                <a:gd name="T75" fmla="*/ 0 h 199"/>
                <a:gd name="T76" fmla="*/ 0 w 193"/>
                <a:gd name="T77" fmla="*/ 0 h 199"/>
                <a:gd name="T78" fmla="*/ 0 w 193"/>
                <a:gd name="T79" fmla="*/ 0 h 199"/>
                <a:gd name="T80" fmla="*/ 0 w 193"/>
                <a:gd name="T81" fmla="*/ 0 h 199"/>
                <a:gd name="T82" fmla="*/ 0 w 193"/>
                <a:gd name="T83" fmla="*/ 0 h 199"/>
                <a:gd name="T84" fmla="*/ 0 w 193"/>
                <a:gd name="T85" fmla="*/ 0 h 199"/>
                <a:gd name="T86" fmla="*/ 0 w 193"/>
                <a:gd name="T87" fmla="*/ 0 h 199"/>
                <a:gd name="T88" fmla="*/ 0 w 193"/>
                <a:gd name="T89" fmla="*/ 0 h 199"/>
                <a:gd name="T90" fmla="*/ 0 w 193"/>
                <a:gd name="T91" fmla="*/ 0 h 199"/>
                <a:gd name="T92" fmla="*/ 0 w 193"/>
                <a:gd name="T93" fmla="*/ 0 h 199"/>
                <a:gd name="T94" fmla="*/ 0 w 193"/>
                <a:gd name="T95" fmla="*/ 0 h 199"/>
                <a:gd name="T96" fmla="*/ 0 w 193"/>
                <a:gd name="T97" fmla="*/ 0 h 199"/>
                <a:gd name="T98" fmla="*/ 0 w 193"/>
                <a:gd name="T99" fmla="*/ 0 h 199"/>
                <a:gd name="T100" fmla="*/ 0 w 193"/>
                <a:gd name="T101" fmla="*/ 0 h 199"/>
                <a:gd name="T102" fmla="*/ 0 w 193"/>
                <a:gd name="T103" fmla="*/ 0 h 199"/>
                <a:gd name="T104" fmla="*/ 0 w 193"/>
                <a:gd name="T105" fmla="*/ 0 h 199"/>
                <a:gd name="T106" fmla="*/ 0 w 193"/>
                <a:gd name="T107" fmla="*/ 0 h 199"/>
                <a:gd name="T108" fmla="*/ 0 w 193"/>
                <a:gd name="T109" fmla="*/ 0 h 199"/>
                <a:gd name="T110" fmla="*/ 0 w 193"/>
                <a:gd name="T111" fmla="*/ 0 h 199"/>
                <a:gd name="T112" fmla="*/ 0 w 193"/>
                <a:gd name="T113" fmla="*/ 0 h 199"/>
                <a:gd name="T114" fmla="*/ 0 w 193"/>
                <a:gd name="T115" fmla="*/ 0 h 199"/>
                <a:gd name="T116" fmla="*/ 0 w 193"/>
                <a:gd name="T117" fmla="*/ 0 h 199"/>
                <a:gd name="T118" fmla="*/ 0 w 193"/>
                <a:gd name="T119" fmla="*/ 0 h 199"/>
                <a:gd name="T120" fmla="*/ 0 w 193"/>
                <a:gd name="T121" fmla="*/ 0 h 199"/>
                <a:gd name="T122" fmla="*/ 0 w 19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" name="Line 55">
              <a:extLst>
                <a:ext uri="{FF2B5EF4-FFF2-40B4-BE49-F238E27FC236}">
                  <a16:creationId xmlns:a16="http://schemas.microsoft.com/office/drawing/2014/main" id="{7FDF880F-4A39-43F0-9D2B-7B0A53366016}"/>
                </a:ext>
              </a:extLst>
            </xdr:cNvPr>
            <xdr:cNvSpPr>
              <a:spLocks noChangeShapeType="1"/>
            </xdr:cNvSpPr>
          </xdr:nvSpPr>
          <xdr:spPr bwMode="auto">
            <a:xfrm rot="16174775" flipV="1">
              <a:off x="483" y="616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" name="Freeform 56">
              <a:extLst>
                <a:ext uri="{FF2B5EF4-FFF2-40B4-BE49-F238E27FC236}">
                  <a16:creationId xmlns:a16="http://schemas.microsoft.com/office/drawing/2014/main" id="{C1E9F057-4EFE-4928-8180-A69E960AD181}"/>
                </a:ext>
              </a:extLst>
            </xdr:cNvPr>
            <xdr:cNvSpPr>
              <a:spLocks/>
            </xdr:cNvSpPr>
          </xdr:nvSpPr>
          <xdr:spPr bwMode="auto">
            <a:xfrm rot="-5425225">
              <a:off x="481" y="617"/>
              <a:ext cx="8" cy="6"/>
            </a:xfrm>
            <a:custGeom>
              <a:avLst/>
              <a:gdLst>
                <a:gd name="T0" fmla="*/ 0 w 201"/>
                <a:gd name="T1" fmla="*/ 0 h 174"/>
                <a:gd name="T2" fmla="*/ 0 w 201"/>
                <a:gd name="T3" fmla="*/ 0 h 174"/>
                <a:gd name="T4" fmla="*/ 0 w 201"/>
                <a:gd name="T5" fmla="*/ 0 h 17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" name="Line 57">
              <a:extLst>
                <a:ext uri="{FF2B5EF4-FFF2-40B4-BE49-F238E27FC236}">
                  <a16:creationId xmlns:a16="http://schemas.microsoft.com/office/drawing/2014/main" id="{0953B79D-E791-4A15-9050-4C55A7FA605D}"/>
                </a:ext>
              </a:extLst>
            </xdr:cNvPr>
            <xdr:cNvSpPr>
              <a:spLocks noChangeShapeType="1"/>
            </xdr:cNvSpPr>
          </xdr:nvSpPr>
          <xdr:spPr bwMode="auto">
            <a:xfrm rot="10800000">
              <a:off x="471" y="628"/>
              <a:ext cx="0" cy="1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14</xdr:col>
      <xdr:colOff>9525</xdr:colOff>
      <xdr:row>20</xdr:row>
      <xdr:rowOff>47625</xdr:rowOff>
    </xdr:from>
    <xdr:to>
      <xdr:col>14</xdr:col>
      <xdr:colOff>276225</xdr:colOff>
      <xdr:row>20</xdr:row>
      <xdr:rowOff>190500</xdr:rowOff>
    </xdr:to>
    <xdr:sp macro="" textlink="">
      <xdr:nvSpPr>
        <xdr:cNvPr id="59" name="Freeform 58">
          <a:extLst>
            <a:ext uri="{FF2B5EF4-FFF2-40B4-BE49-F238E27FC236}">
              <a16:creationId xmlns:a16="http://schemas.microsoft.com/office/drawing/2014/main" id="{68D9DCC6-501A-4EB8-A11F-B0692D17B1FF}"/>
            </a:ext>
          </a:extLst>
        </xdr:cNvPr>
        <xdr:cNvSpPr>
          <a:spLocks/>
        </xdr:cNvSpPr>
      </xdr:nvSpPr>
      <xdr:spPr bwMode="auto">
        <a:xfrm>
          <a:off x="4467225" y="7277100"/>
          <a:ext cx="266700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47625</xdr:colOff>
      <xdr:row>19</xdr:row>
      <xdr:rowOff>38100</xdr:rowOff>
    </xdr:from>
    <xdr:to>
      <xdr:col>12</xdr:col>
      <xdr:colOff>266700</xdr:colOff>
      <xdr:row>19</xdr:row>
      <xdr:rowOff>190500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67F7371D-3E81-47DB-BD6E-77800CD940D2}"/>
            </a:ext>
          </a:extLst>
        </xdr:cNvPr>
        <xdr:cNvGrpSpPr>
          <a:grpSpLocks/>
        </xdr:cNvGrpSpPr>
      </xdr:nvGrpSpPr>
      <xdr:grpSpPr bwMode="auto">
        <a:xfrm>
          <a:off x="3882473" y="7094883"/>
          <a:ext cx="219075" cy="152400"/>
          <a:chOff x="132" y="708"/>
          <a:chExt cx="20" cy="14"/>
        </a:xfrm>
      </xdr:grpSpPr>
      <xdr:sp macro="" textlink="">
        <xdr:nvSpPr>
          <xdr:cNvPr id="61" name="Line 60">
            <a:extLst>
              <a:ext uri="{FF2B5EF4-FFF2-40B4-BE49-F238E27FC236}">
                <a16:creationId xmlns:a16="http://schemas.microsoft.com/office/drawing/2014/main" id="{953C418A-35B8-47EC-9105-CD49A3EFA401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61">
            <a:extLst>
              <a:ext uri="{FF2B5EF4-FFF2-40B4-BE49-F238E27FC236}">
                <a16:creationId xmlns:a16="http://schemas.microsoft.com/office/drawing/2014/main" id="{52B49C2C-D3D1-47A8-8A58-F0E9C477947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62">
            <a:extLst>
              <a:ext uri="{FF2B5EF4-FFF2-40B4-BE49-F238E27FC236}">
                <a16:creationId xmlns:a16="http://schemas.microsoft.com/office/drawing/2014/main" id="{223E8C47-B813-4944-BA94-B51537C7F30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63">
            <a:extLst>
              <a:ext uri="{FF2B5EF4-FFF2-40B4-BE49-F238E27FC236}">
                <a16:creationId xmlns:a16="http://schemas.microsoft.com/office/drawing/2014/main" id="{6CA7A8F8-94A7-473C-B52F-08F97CD759F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18</xdr:col>
      <xdr:colOff>0</xdr:colOff>
      <xdr:row>19</xdr:row>
      <xdr:rowOff>142875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520DE533-6C85-493A-BECB-C2C69AE40D2B}"/>
            </a:ext>
          </a:extLst>
        </xdr:cNvPr>
        <xdr:cNvGrpSpPr>
          <a:grpSpLocks/>
        </xdr:cNvGrpSpPr>
      </xdr:nvGrpSpPr>
      <xdr:grpSpPr bwMode="auto">
        <a:xfrm>
          <a:off x="4149587" y="7152033"/>
          <a:ext cx="1573696" cy="47625"/>
          <a:chOff x="158" y="715"/>
          <a:chExt cx="33" cy="5"/>
        </a:xfrm>
      </xdr:grpSpPr>
      <xdr:sp macro="" textlink="">
        <xdr:nvSpPr>
          <xdr:cNvPr id="66" name="Line 65">
            <a:extLst>
              <a:ext uri="{FF2B5EF4-FFF2-40B4-BE49-F238E27FC236}">
                <a16:creationId xmlns:a16="http://schemas.microsoft.com/office/drawing/2014/main" id="{BB367890-1139-4A44-9132-480B3224471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66">
            <a:extLst>
              <a:ext uri="{FF2B5EF4-FFF2-40B4-BE49-F238E27FC236}">
                <a16:creationId xmlns:a16="http://schemas.microsoft.com/office/drawing/2014/main" id="{65A10B36-3E41-47BA-9725-2CC820633A6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20</xdr:row>
      <xdr:rowOff>104775</xdr:rowOff>
    </xdr:from>
    <xdr:to>
      <xdr:col>18</xdr:col>
      <xdr:colOff>0</xdr:colOff>
      <xdr:row>20</xdr:row>
      <xdr:rowOff>152400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FA6E1969-1957-43B8-9646-E7875747F6FF}"/>
            </a:ext>
          </a:extLst>
        </xdr:cNvPr>
        <xdr:cNvGrpSpPr>
          <a:grpSpLocks/>
        </xdr:cNvGrpSpPr>
      </xdr:nvGrpSpPr>
      <xdr:grpSpPr bwMode="auto">
        <a:xfrm>
          <a:off x="5408543" y="7393471"/>
          <a:ext cx="314740" cy="47625"/>
          <a:chOff x="158" y="715"/>
          <a:chExt cx="33" cy="5"/>
        </a:xfrm>
      </xdr:grpSpPr>
      <xdr:sp macro="" textlink="">
        <xdr:nvSpPr>
          <xdr:cNvPr id="69" name="Line 68">
            <a:extLst>
              <a:ext uri="{FF2B5EF4-FFF2-40B4-BE49-F238E27FC236}">
                <a16:creationId xmlns:a16="http://schemas.microsoft.com/office/drawing/2014/main" id="{C4EA419F-D14D-4147-B713-51D8941728A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69">
            <a:extLst>
              <a:ext uri="{FF2B5EF4-FFF2-40B4-BE49-F238E27FC236}">
                <a16:creationId xmlns:a16="http://schemas.microsoft.com/office/drawing/2014/main" id="{77D07FA1-E05C-42DC-8FB6-C85AC20B3DE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9525</xdr:colOff>
      <xdr:row>20</xdr:row>
      <xdr:rowOff>47625</xdr:rowOff>
    </xdr:from>
    <xdr:to>
      <xdr:col>17</xdr:col>
      <xdr:colOff>0</xdr:colOff>
      <xdr:row>20</xdr:row>
      <xdr:rowOff>190500</xdr:rowOff>
    </xdr:to>
    <xdr:sp macro="" textlink="">
      <xdr:nvSpPr>
        <xdr:cNvPr id="71" name="Freeform 70">
          <a:extLst>
            <a:ext uri="{FF2B5EF4-FFF2-40B4-BE49-F238E27FC236}">
              <a16:creationId xmlns:a16="http://schemas.microsoft.com/office/drawing/2014/main" id="{F3CB9AB5-A6F1-4A6A-B0E6-3B077534829B}"/>
            </a:ext>
          </a:extLst>
        </xdr:cNvPr>
        <xdr:cNvSpPr>
          <a:spLocks/>
        </xdr:cNvSpPr>
      </xdr:nvSpPr>
      <xdr:spPr bwMode="auto">
        <a:xfrm>
          <a:off x="5095875" y="7277100"/>
          <a:ext cx="304800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20</xdr:row>
      <xdr:rowOff>104775</xdr:rowOff>
    </xdr:from>
    <xdr:to>
      <xdr:col>16</xdr:col>
      <xdr:colOff>0</xdr:colOff>
      <xdr:row>20</xdr:row>
      <xdr:rowOff>152400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61E27856-7C9D-45D9-A0D3-57E71816EF2B}"/>
            </a:ext>
          </a:extLst>
        </xdr:cNvPr>
        <xdr:cNvGrpSpPr>
          <a:grpSpLocks/>
        </xdr:cNvGrpSpPr>
      </xdr:nvGrpSpPr>
      <xdr:grpSpPr bwMode="auto">
        <a:xfrm>
          <a:off x="4779065" y="7393471"/>
          <a:ext cx="314739" cy="47625"/>
          <a:chOff x="158" y="715"/>
          <a:chExt cx="33" cy="5"/>
        </a:xfrm>
      </xdr:grpSpPr>
      <xdr:sp macro="" textlink="">
        <xdr:nvSpPr>
          <xdr:cNvPr id="73" name="Line 72">
            <a:extLst>
              <a:ext uri="{FF2B5EF4-FFF2-40B4-BE49-F238E27FC236}">
                <a16:creationId xmlns:a16="http://schemas.microsoft.com/office/drawing/2014/main" id="{9620E1B6-92DF-479C-8BEA-86FE9730638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73">
            <a:extLst>
              <a:ext uri="{FF2B5EF4-FFF2-40B4-BE49-F238E27FC236}">
                <a16:creationId xmlns:a16="http://schemas.microsoft.com/office/drawing/2014/main" id="{F8CE4E44-85F6-4CF9-BCF1-A3BA56686EC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95250</xdr:rowOff>
    </xdr:from>
    <xdr:to>
      <xdr:col>11</xdr:col>
      <xdr:colOff>0</xdr:colOff>
      <xdr:row>19</xdr:row>
      <xdr:rowOff>142875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93A6387A-BE78-42A1-88DA-FB904959DF9B}"/>
            </a:ext>
          </a:extLst>
        </xdr:cNvPr>
        <xdr:cNvGrpSpPr>
          <a:grpSpLocks/>
        </xdr:cNvGrpSpPr>
      </xdr:nvGrpSpPr>
      <xdr:grpSpPr bwMode="auto">
        <a:xfrm>
          <a:off x="1316935" y="7152033"/>
          <a:ext cx="2203174" cy="47625"/>
          <a:chOff x="158" y="715"/>
          <a:chExt cx="33" cy="5"/>
        </a:xfrm>
      </xdr:grpSpPr>
      <xdr:sp macro="" textlink="">
        <xdr:nvSpPr>
          <xdr:cNvPr id="76" name="Line 75">
            <a:extLst>
              <a:ext uri="{FF2B5EF4-FFF2-40B4-BE49-F238E27FC236}">
                <a16:creationId xmlns:a16="http://schemas.microsoft.com/office/drawing/2014/main" id="{43691D3B-4853-4B5A-993E-E345E162F4C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76">
            <a:extLst>
              <a:ext uri="{FF2B5EF4-FFF2-40B4-BE49-F238E27FC236}">
                <a16:creationId xmlns:a16="http://schemas.microsoft.com/office/drawing/2014/main" id="{8A6A7B3D-90A7-4725-A166-0C7FD974343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114300</xdr:rowOff>
    </xdr:from>
    <xdr:to>
      <xdr:col>12</xdr:col>
      <xdr:colOff>0</xdr:colOff>
      <xdr:row>19</xdr:row>
      <xdr:rowOff>114300</xdr:rowOff>
    </xdr:to>
    <xdr:sp macro="" textlink="">
      <xdr:nvSpPr>
        <xdr:cNvPr id="78" name="Line 77">
          <a:extLst>
            <a:ext uri="{FF2B5EF4-FFF2-40B4-BE49-F238E27FC236}">
              <a16:creationId xmlns:a16="http://schemas.microsoft.com/office/drawing/2014/main" id="{77272AAA-9A52-4568-834A-7C82A6CDF55D}"/>
            </a:ext>
          </a:extLst>
        </xdr:cNvPr>
        <xdr:cNvSpPr>
          <a:spLocks noChangeShapeType="1"/>
        </xdr:cNvSpPr>
      </xdr:nvSpPr>
      <xdr:spPr bwMode="auto">
        <a:xfrm>
          <a:off x="3514725" y="71151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20</xdr:row>
      <xdr:rowOff>114300</xdr:rowOff>
    </xdr:from>
    <xdr:to>
      <xdr:col>14</xdr:col>
      <xdr:colOff>0</xdr:colOff>
      <xdr:row>20</xdr:row>
      <xdr:rowOff>114300</xdr:rowOff>
    </xdr:to>
    <xdr:sp macro="" textlink="">
      <xdr:nvSpPr>
        <xdr:cNvPr id="79" name="Line 78">
          <a:extLst>
            <a:ext uri="{FF2B5EF4-FFF2-40B4-BE49-F238E27FC236}">
              <a16:creationId xmlns:a16="http://schemas.microsoft.com/office/drawing/2014/main" id="{E1F17E60-D04D-4C2A-A424-A4805755FEEF}"/>
            </a:ext>
          </a:extLst>
        </xdr:cNvPr>
        <xdr:cNvSpPr>
          <a:spLocks noChangeShapeType="1"/>
        </xdr:cNvSpPr>
      </xdr:nvSpPr>
      <xdr:spPr bwMode="auto">
        <a:xfrm>
          <a:off x="3514725" y="73437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95250</xdr:rowOff>
    </xdr:from>
    <xdr:to>
      <xdr:col>11</xdr:col>
      <xdr:colOff>0</xdr:colOff>
      <xdr:row>20</xdr:row>
      <xdr:rowOff>142875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2E9CD548-94B9-4BE2-AF0F-5B526AA88509}"/>
            </a:ext>
          </a:extLst>
        </xdr:cNvPr>
        <xdr:cNvGrpSpPr>
          <a:grpSpLocks/>
        </xdr:cNvGrpSpPr>
      </xdr:nvGrpSpPr>
      <xdr:grpSpPr bwMode="auto">
        <a:xfrm>
          <a:off x="1316935" y="7383946"/>
          <a:ext cx="2203174" cy="47625"/>
          <a:chOff x="158" y="715"/>
          <a:chExt cx="33" cy="5"/>
        </a:xfrm>
      </xdr:grpSpPr>
      <xdr:sp macro="" textlink="">
        <xdr:nvSpPr>
          <xdr:cNvPr id="81" name="Line 80">
            <a:extLst>
              <a:ext uri="{FF2B5EF4-FFF2-40B4-BE49-F238E27FC236}">
                <a16:creationId xmlns:a16="http://schemas.microsoft.com/office/drawing/2014/main" id="{1698DF6D-60A6-4019-B091-AE25723AFE4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81">
            <a:extLst>
              <a:ext uri="{FF2B5EF4-FFF2-40B4-BE49-F238E27FC236}">
                <a16:creationId xmlns:a16="http://schemas.microsoft.com/office/drawing/2014/main" id="{17311455-DB69-4AE7-B9E6-2DC4B40FECF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209550</xdr:colOff>
      <xdr:row>15</xdr:row>
      <xdr:rowOff>609600</xdr:rowOff>
    </xdr:from>
    <xdr:to>
      <xdr:col>9</xdr:col>
      <xdr:colOff>161925</xdr:colOff>
      <xdr:row>15</xdr:row>
      <xdr:rowOff>762000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68FAB0FB-5CBC-4BC3-B8FD-3B6FDACEE170}"/>
            </a:ext>
          </a:extLst>
        </xdr:cNvPr>
        <xdr:cNvGrpSpPr>
          <a:grpSpLocks/>
        </xdr:cNvGrpSpPr>
      </xdr:nvGrpSpPr>
      <xdr:grpSpPr bwMode="auto">
        <a:xfrm>
          <a:off x="2785441" y="5388665"/>
          <a:ext cx="267114" cy="152400"/>
          <a:chOff x="248" y="601"/>
          <a:chExt cx="28" cy="16"/>
        </a:xfrm>
      </xdr:grpSpPr>
      <xdr:sp macro="" textlink="">
        <xdr:nvSpPr>
          <xdr:cNvPr id="86" name="Line 85">
            <a:extLst>
              <a:ext uri="{FF2B5EF4-FFF2-40B4-BE49-F238E27FC236}">
                <a16:creationId xmlns:a16="http://schemas.microsoft.com/office/drawing/2014/main" id="{515E334C-4274-406C-931A-9D2149892040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Freeform 86">
            <a:extLst>
              <a:ext uri="{FF2B5EF4-FFF2-40B4-BE49-F238E27FC236}">
                <a16:creationId xmlns:a16="http://schemas.microsoft.com/office/drawing/2014/main" id="{9CAB3AA8-B98F-4E12-86CE-43B215DBA144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0 w 193"/>
              <a:gd name="T7" fmla="*/ 0 h 199"/>
              <a:gd name="T8" fmla="*/ 0 w 193"/>
              <a:gd name="T9" fmla="*/ 0 h 199"/>
              <a:gd name="T10" fmla="*/ 0 w 193"/>
              <a:gd name="T11" fmla="*/ 0 h 199"/>
              <a:gd name="T12" fmla="*/ 0 w 193"/>
              <a:gd name="T13" fmla="*/ 0 h 199"/>
              <a:gd name="T14" fmla="*/ 0 w 193"/>
              <a:gd name="T15" fmla="*/ 0 h 199"/>
              <a:gd name="T16" fmla="*/ 0 w 193"/>
              <a:gd name="T17" fmla="*/ 0 h 199"/>
              <a:gd name="T18" fmla="*/ 0 w 193"/>
              <a:gd name="T19" fmla="*/ 0 h 199"/>
              <a:gd name="T20" fmla="*/ 0 w 193"/>
              <a:gd name="T21" fmla="*/ 0 h 199"/>
              <a:gd name="T22" fmla="*/ 0 w 193"/>
              <a:gd name="T23" fmla="*/ 0 h 199"/>
              <a:gd name="T24" fmla="*/ 0 w 193"/>
              <a:gd name="T25" fmla="*/ 0 h 199"/>
              <a:gd name="T26" fmla="*/ 0 w 193"/>
              <a:gd name="T27" fmla="*/ 0 h 199"/>
              <a:gd name="T28" fmla="*/ 0 w 193"/>
              <a:gd name="T29" fmla="*/ 0 h 199"/>
              <a:gd name="T30" fmla="*/ 0 w 193"/>
              <a:gd name="T31" fmla="*/ 0 h 199"/>
              <a:gd name="T32" fmla="*/ 0 w 193"/>
              <a:gd name="T33" fmla="*/ 0 h 199"/>
              <a:gd name="T34" fmla="*/ 0 w 193"/>
              <a:gd name="T35" fmla="*/ 0 h 199"/>
              <a:gd name="T36" fmla="*/ 0 w 193"/>
              <a:gd name="T37" fmla="*/ 0 h 199"/>
              <a:gd name="T38" fmla="*/ 0 w 193"/>
              <a:gd name="T39" fmla="*/ 0 h 199"/>
              <a:gd name="T40" fmla="*/ 0 w 193"/>
              <a:gd name="T41" fmla="*/ 0 h 199"/>
              <a:gd name="T42" fmla="*/ 0 w 193"/>
              <a:gd name="T43" fmla="*/ 0 h 199"/>
              <a:gd name="T44" fmla="*/ 0 w 193"/>
              <a:gd name="T45" fmla="*/ 0 h 199"/>
              <a:gd name="T46" fmla="*/ 0 w 193"/>
              <a:gd name="T47" fmla="*/ 0 h 199"/>
              <a:gd name="T48" fmla="*/ 0 w 193"/>
              <a:gd name="T49" fmla="*/ 0 h 199"/>
              <a:gd name="T50" fmla="*/ 0 w 193"/>
              <a:gd name="T51" fmla="*/ 0 h 199"/>
              <a:gd name="T52" fmla="*/ 0 w 193"/>
              <a:gd name="T53" fmla="*/ 0 h 199"/>
              <a:gd name="T54" fmla="*/ 0 w 193"/>
              <a:gd name="T55" fmla="*/ 0 h 199"/>
              <a:gd name="T56" fmla="*/ 0 w 193"/>
              <a:gd name="T57" fmla="*/ 0 h 199"/>
              <a:gd name="T58" fmla="*/ 0 w 193"/>
              <a:gd name="T59" fmla="*/ 0 h 199"/>
              <a:gd name="T60" fmla="*/ 0 w 193"/>
              <a:gd name="T61" fmla="*/ 0 h 199"/>
              <a:gd name="T62" fmla="*/ 0 w 193"/>
              <a:gd name="T63" fmla="*/ 0 h 199"/>
              <a:gd name="T64" fmla="*/ 0 w 193"/>
              <a:gd name="T65" fmla="*/ 0 h 199"/>
              <a:gd name="T66" fmla="*/ 0 w 193"/>
              <a:gd name="T67" fmla="*/ 0 h 199"/>
              <a:gd name="T68" fmla="*/ 0 w 193"/>
              <a:gd name="T69" fmla="*/ 0 h 199"/>
              <a:gd name="T70" fmla="*/ 0 w 193"/>
              <a:gd name="T71" fmla="*/ 0 h 199"/>
              <a:gd name="T72" fmla="*/ 0 w 193"/>
              <a:gd name="T73" fmla="*/ 0 h 199"/>
              <a:gd name="T74" fmla="*/ 0 w 193"/>
              <a:gd name="T75" fmla="*/ 0 h 199"/>
              <a:gd name="T76" fmla="*/ 0 w 193"/>
              <a:gd name="T77" fmla="*/ 0 h 199"/>
              <a:gd name="T78" fmla="*/ 0 w 193"/>
              <a:gd name="T79" fmla="*/ 0 h 199"/>
              <a:gd name="T80" fmla="*/ 0 w 193"/>
              <a:gd name="T81" fmla="*/ 0 h 199"/>
              <a:gd name="T82" fmla="*/ 0 w 193"/>
              <a:gd name="T83" fmla="*/ 0 h 199"/>
              <a:gd name="T84" fmla="*/ 0 w 193"/>
              <a:gd name="T85" fmla="*/ 0 h 199"/>
              <a:gd name="T86" fmla="*/ 0 w 193"/>
              <a:gd name="T87" fmla="*/ 0 h 199"/>
              <a:gd name="T88" fmla="*/ 0 w 193"/>
              <a:gd name="T89" fmla="*/ 0 h 199"/>
              <a:gd name="T90" fmla="*/ 0 w 193"/>
              <a:gd name="T91" fmla="*/ 0 h 199"/>
              <a:gd name="T92" fmla="*/ 0 w 193"/>
              <a:gd name="T93" fmla="*/ 0 h 199"/>
              <a:gd name="T94" fmla="*/ 0 w 193"/>
              <a:gd name="T95" fmla="*/ 0 h 199"/>
              <a:gd name="T96" fmla="*/ 0 w 193"/>
              <a:gd name="T97" fmla="*/ 0 h 199"/>
              <a:gd name="T98" fmla="*/ 0 w 193"/>
              <a:gd name="T99" fmla="*/ 0 h 199"/>
              <a:gd name="T100" fmla="*/ 0 w 193"/>
              <a:gd name="T101" fmla="*/ 0 h 199"/>
              <a:gd name="T102" fmla="*/ 0 w 193"/>
              <a:gd name="T103" fmla="*/ 0 h 199"/>
              <a:gd name="T104" fmla="*/ 0 w 193"/>
              <a:gd name="T105" fmla="*/ 0 h 199"/>
              <a:gd name="T106" fmla="*/ 0 w 193"/>
              <a:gd name="T107" fmla="*/ 0 h 199"/>
              <a:gd name="T108" fmla="*/ 0 w 193"/>
              <a:gd name="T109" fmla="*/ 0 h 199"/>
              <a:gd name="T110" fmla="*/ 0 w 193"/>
              <a:gd name="T111" fmla="*/ 0 h 199"/>
              <a:gd name="T112" fmla="*/ 0 w 193"/>
              <a:gd name="T113" fmla="*/ 0 h 199"/>
              <a:gd name="T114" fmla="*/ 0 w 193"/>
              <a:gd name="T115" fmla="*/ 0 h 199"/>
              <a:gd name="T116" fmla="*/ 0 w 193"/>
              <a:gd name="T117" fmla="*/ 0 h 199"/>
              <a:gd name="T118" fmla="*/ 0 w 193"/>
              <a:gd name="T119" fmla="*/ 0 h 199"/>
              <a:gd name="T120" fmla="*/ 0 w 193"/>
              <a:gd name="T121" fmla="*/ 0 h 199"/>
              <a:gd name="T122" fmla="*/ 0 w 19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Line 87">
            <a:extLst>
              <a:ext uri="{FF2B5EF4-FFF2-40B4-BE49-F238E27FC236}">
                <a16:creationId xmlns:a16="http://schemas.microsoft.com/office/drawing/2014/main" id="{12B473A0-9639-427F-978F-E838DAA7DF96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Freeform 88">
            <a:extLst>
              <a:ext uri="{FF2B5EF4-FFF2-40B4-BE49-F238E27FC236}">
                <a16:creationId xmlns:a16="http://schemas.microsoft.com/office/drawing/2014/main" id="{B8CB998B-C37E-4896-9C45-8AB511401264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0 w 201"/>
              <a:gd name="T1" fmla="*/ 0 h 174"/>
              <a:gd name="T2" fmla="*/ 0 w 201"/>
              <a:gd name="T3" fmla="*/ 0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228600</xdr:colOff>
      <xdr:row>15</xdr:row>
      <xdr:rowOff>885825</xdr:rowOff>
    </xdr:from>
    <xdr:to>
      <xdr:col>10</xdr:col>
      <xdr:colOff>180975</xdr:colOff>
      <xdr:row>15</xdr:row>
      <xdr:rowOff>1038225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79D0B4AF-D10D-4EC5-BC70-D3A38C7B4CFA}"/>
            </a:ext>
          </a:extLst>
        </xdr:cNvPr>
        <xdr:cNvGrpSpPr>
          <a:grpSpLocks/>
        </xdr:cNvGrpSpPr>
      </xdr:nvGrpSpPr>
      <xdr:grpSpPr bwMode="auto">
        <a:xfrm rot="10800000">
          <a:off x="3119230" y="5664890"/>
          <a:ext cx="267115" cy="152400"/>
          <a:chOff x="248" y="601"/>
          <a:chExt cx="28" cy="16"/>
        </a:xfrm>
      </xdr:grpSpPr>
      <xdr:sp macro="" textlink="">
        <xdr:nvSpPr>
          <xdr:cNvPr id="91" name="Line 90">
            <a:extLst>
              <a:ext uri="{FF2B5EF4-FFF2-40B4-BE49-F238E27FC236}">
                <a16:creationId xmlns:a16="http://schemas.microsoft.com/office/drawing/2014/main" id="{FD3CF4DD-F5CE-493A-84D5-CA0C01C69512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Freeform 91">
            <a:extLst>
              <a:ext uri="{FF2B5EF4-FFF2-40B4-BE49-F238E27FC236}">
                <a16:creationId xmlns:a16="http://schemas.microsoft.com/office/drawing/2014/main" id="{9FFD022F-B486-48EC-8902-DD229F310D20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0 w 193"/>
              <a:gd name="T7" fmla="*/ 0 h 199"/>
              <a:gd name="T8" fmla="*/ 0 w 193"/>
              <a:gd name="T9" fmla="*/ 0 h 199"/>
              <a:gd name="T10" fmla="*/ 0 w 193"/>
              <a:gd name="T11" fmla="*/ 0 h 199"/>
              <a:gd name="T12" fmla="*/ 0 w 193"/>
              <a:gd name="T13" fmla="*/ 0 h 199"/>
              <a:gd name="T14" fmla="*/ 0 w 193"/>
              <a:gd name="T15" fmla="*/ 0 h 199"/>
              <a:gd name="T16" fmla="*/ 0 w 193"/>
              <a:gd name="T17" fmla="*/ 0 h 199"/>
              <a:gd name="T18" fmla="*/ 0 w 193"/>
              <a:gd name="T19" fmla="*/ 0 h 199"/>
              <a:gd name="T20" fmla="*/ 0 w 193"/>
              <a:gd name="T21" fmla="*/ 0 h 199"/>
              <a:gd name="T22" fmla="*/ 0 w 193"/>
              <a:gd name="T23" fmla="*/ 0 h 199"/>
              <a:gd name="T24" fmla="*/ 0 w 193"/>
              <a:gd name="T25" fmla="*/ 0 h 199"/>
              <a:gd name="T26" fmla="*/ 0 w 193"/>
              <a:gd name="T27" fmla="*/ 0 h 199"/>
              <a:gd name="T28" fmla="*/ 0 w 193"/>
              <a:gd name="T29" fmla="*/ 0 h 199"/>
              <a:gd name="T30" fmla="*/ 0 w 193"/>
              <a:gd name="T31" fmla="*/ 0 h 199"/>
              <a:gd name="T32" fmla="*/ 0 w 193"/>
              <a:gd name="T33" fmla="*/ 0 h 199"/>
              <a:gd name="T34" fmla="*/ 0 w 193"/>
              <a:gd name="T35" fmla="*/ 0 h 199"/>
              <a:gd name="T36" fmla="*/ 0 w 193"/>
              <a:gd name="T37" fmla="*/ 0 h 199"/>
              <a:gd name="T38" fmla="*/ 0 w 193"/>
              <a:gd name="T39" fmla="*/ 0 h 199"/>
              <a:gd name="T40" fmla="*/ 0 w 193"/>
              <a:gd name="T41" fmla="*/ 0 h 199"/>
              <a:gd name="T42" fmla="*/ 0 w 193"/>
              <a:gd name="T43" fmla="*/ 0 h 199"/>
              <a:gd name="T44" fmla="*/ 0 w 193"/>
              <a:gd name="T45" fmla="*/ 0 h 199"/>
              <a:gd name="T46" fmla="*/ 0 w 193"/>
              <a:gd name="T47" fmla="*/ 0 h 199"/>
              <a:gd name="T48" fmla="*/ 0 w 193"/>
              <a:gd name="T49" fmla="*/ 0 h 199"/>
              <a:gd name="T50" fmla="*/ 0 w 193"/>
              <a:gd name="T51" fmla="*/ 0 h 199"/>
              <a:gd name="T52" fmla="*/ 0 w 193"/>
              <a:gd name="T53" fmla="*/ 0 h 199"/>
              <a:gd name="T54" fmla="*/ 0 w 193"/>
              <a:gd name="T55" fmla="*/ 0 h 199"/>
              <a:gd name="T56" fmla="*/ 0 w 193"/>
              <a:gd name="T57" fmla="*/ 0 h 199"/>
              <a:gd name="T58" fmla="*/ 0 w 193"/>
              <a:gd name="T59" fmla="*/ 0 h 199"/>
              <a:gd name="T60" fmla="*/ 0 w 193"/>
              <a:gd name="T61" fmla="*/ 0 h 199"/>
              <a:gd name="T62" fmla="*/ 0 w 193"/>
              <a:gd name="T63" fmla="*/ 0 h 199"/>
              <a:gd name="T64" fmla="*/ 0 w 193"/>
              <a:gd name="T65" fmla="*/ 0 h 199"/>
              <a:gd name="T66" fmla="*/ 0 w 193"/>
              <a:gd name="T67" fmla="*/ 0 h 199"/>
              <a:gd name="T68" fmla="*/ 0 w 193"/>
              <a:gd name="T69" fmla="*/ 0 h 199"/>
              <a:gd name="T70" fmla="*/ 0 w 193"/>
              <a:gd name="T71" fmla="*/ 0 h 199"/>
              <a:gd name="T72" fmla="*/ 0 w 193"/>
              <a:gd name="T73" fmla="*/ 0 h 199"/>
              <a:gd name="T74" fmla="*/ 0 w 193"/>
              <a:gd name="T75" fmla="*/ 0 h 199"/>
              <a:gd name="T76" fmla="*/ 0 w 193"/>
              <a:gd name="T77" fmla="*/ 0 h 199"/>
              <a:gd name="T78" fmla="*/ 0 w 193"/>
              <a:gd name="T79" fmla="*/ 0 h 199"/>
              <a:gd name="T80" fmla="*/ 0 w 193"/>
              <a:gd name="T81" fmla="*/ 0 h 199"/>
              <a:gd name="T82" fmla="*/ 0 w 193"/>
              <a:gd name="T83" fmla="*/ 0 h 199"/>
              <a:gd name="T84" fmla="*/ 0 w 193"/>
              <a:gd name="T85" fmla="*/ 0 h 199"/>
              <a:gd name="T86" fmla="*/ 0 w 193"/>
              <a:gd name="T87" fmla="*/ 0 h 199"/>
              <a:gd name="T88" fmla="*/ 0 w 193"/>
              <a:gd name="T89" fmla="*/ 0 h 199"/>
              <a:gd name="T90" fmla="*/ 0 w 193"/>
              <a:gd name="T91" fmla="*/ 0 h 199"/>
              <a:gd name="T92" fmla="*/ 0 w 193"/>
              <a:gd name="T93" fmla="*/ 0 h 199"/>
              <a:gd name="T94" fmla="*/ 0 w 193"/>
              <a:gd name="T95" fmla="*/ 0 h 199"/>
              <a:gd name="T96" fmla="*/ 0 w 193"/>
              <a:gd name="T97" fmla="*/ 0 h 199"/>
              <a:gd name="T98" fmla="*/ 0 w 193"/>
              <a:gd name="T99" fmla="*/ 0 h 199"/>
              <a:gd name="T100" fmla="*/ 0 w 193"/>
              <a:gd name="T101" fmla="*/ 0 h 199"/>
              <a:gd name="T102" fmla="*/ 0 w 193"/>
              <a:gd name="T103" fmla="*/ 0 h 199"/>
              <a:gd name="T104" fmla="*/ 0 w 193"/>
              <a:gd name="T105" fmla="*/ 0 h 199"/>
              <a:gd name="T106" fmla="*/ 0 w 193"/>
              <a:gd name="T107" fmla="*/ 0 h 199"/>
              <a:gd name="T108" fmla="*/ 0 w 193"/>
              <a:gd name="T109" fmla="*/ 0 h 199"/>
              <a:gd name="T110" fmla="*/ 0 w 193"/>
              <a:gd name="T111" fmla="*/ 0 h 199"/>
              <a:gd name="T112" fmla="*/ 0 w 193"/>
              <a:gd name="T113" fmla="*/ 0 h 199"/>
              <a:gd name="T114" fmla="*/ 0 w 193"/>
              <a:gd name="T115" fmla="*/ 0 h 199"/>
              <a:gd name="T116" fmla="*/ 0 w 193"/>
              <a:gd name="T117" fmla="*/ 0 h 199"/>
              <a:gd name="T118" fmla="*/ 0 w 193"/>
              <a:gd name="T119" fmla="*/ 0 h 199"/>
              <a:gd name="T120" fmla="*/ 0 w 193"/>
              <a:gd name="T121" fmla="*/ 0 h 199"/>
              <a:gd name="T122" fmla="*/ 0 w 19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3" name="Line 92">
            <a:extLst>
              <a:ext uri="{FF2B5EF4-FFF2-40B4-BE49-F238E27FC236}">
                <a16:creationId xmlns:a16="http://schemas.microsoft.com/office/drawing/2014/main" id="{9213BDE2-78FA-4B92-B86B-C94E92148855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Freeform 93">
            <a:extLst>
              <a:ext uri="{FF2B5EF4-FFF2-40B4-BE49-F238E27FC236}">
                <a16:creationId xmlns:a16="http://schemas.microsoft.com/office/drawing/2014/main" id="{5906E850-91AA-46B0-980C-A7CCD12421E6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0 w 201"/>
              <a:gd name="T1" fmla="*/ 0 h 174"/>
              <a:gd name="T2" fmla="*/ 0 w 201"/>
              <a:gd name="T3" fmla="*/ 0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19050</xdr:colOff>
      <xdr:row>18</xdr:row>
      <xdr:rowOff>38100</xdr:rowOff>
    </xdr:from>
    <xdr:to>
      <xdr:col>9</xdr:col>
      <xdr:colOff>0</xdr:colOff>
      <xdr:row>18</xdr:row>
      <xdr:rowOff>209550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AA936378-DDD0-4A96-8496-4495D929D108}"/>
            </a:ext>
          </a:extLst>
        </xdr:cNvPr>
        <xdr:cNvGrpSpPr>
          <a:grpSpLocks/>
        </xdr:cNvGrpSpPr>
      </xdr:nvGrpSpPr>
      <xdr:grpSpPr bwMode="auto">
        <a:xfrm>
          <a:off x="2594941" y="6862970"/>
          <a:ext cx="295689" cy="171450"/>
          <a:chOff x="226" y="755"/>
          <a:chExt cx="29" cy="18"/>
        </a:xfrm>
      </xdr:grpSpPr>
      <xdr:sp macro="" textlink="">
        <xdr:nvSpPr>
          <xdr:cNvPr id="96" name="Oval 95">
            <a:extLst>
              <a:ext uri="{FF2B5EF4-FFF2-40B4-BE49-F238E27FC236}">
                <a16:creationId xmlns:a16="http://schemas.microsoft.com/office/drawing/2014/main" id="{294D7A87-D92E-4FC7-8E57-148064181E2E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96">
            <a:extLst>
              <a:ext uri="{FF2B5EF4-FFF2-40B4-BE49-F238E27FC236}">
                <a16:creationId xmlns:a16="http://schemas.microsoft.com/office/drawing/2014/main" id="{506152C3-9052-4183-BD4A-F11B4549AFB5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Freeform 97">
            <a:extLst>
              <a:ext uri="{FF2B5EF4-FFF2-40B4-BE49-F238E27FC236}">
                <a16:creationId xmlns:a16="http://schemas.microsoft.com/office/drawing/2014/main" id="{84C73EEA-0101-4624-A4C2-4B011442E654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0 h 208"/>
              <a:gd name="T2" fmla="*/ 0 w 268"/>
              <a:gd name="T3" fmla="*/ 0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19050</xdr:colOff>
      <xdr:row>21</xdr:row>
      <xdr:rowOff>38100</xdr:rowOff>
    </xdr:from>
    <xdr:to>
      <xdr:col>16</xdr:col>
      <xdr:colOff>0</xdr:colOff>
      <xdr:row>21</xdr:row>
      <xdr:rowOff>209550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DA0F6DB5-4898-4D6B-BEDD-F5B26E8CDA02}"/>
            </a:ext>
          </a:extLst>
        </xdr:cNvPr>
        <xdr:cNvGrpSpPr>
          <a:grpSpLocks/>
        </xdr:cNvGrpSpPr>
      </xdr:nvGrpSpPr>
      <xdr:grpSpPr bwMode="auto">
        <a:xfrm>
          <a:off x="4798115" y="7558709"/>
          <a:ext cx="295689" cy="171450"/>
          <a:chOff x="226" y="755"/>
          <a:chExt cx="29" cy="18"/>
        </a:xfrm>
      </xdr:grpSpPr>
      <xdr:sp macro="" textlink="">
        <xdr:nvSpPr>
          <xdr:cNvPr id="100" name="Oval 99">
            <a:extLst>
              <a:ext uri="{FF2B5EF4-FFF2-40B4-BE49-F238E27FC236}">
                <a16:creationId xmlns:a16="http://schemas.microsoft.com/office/drawing/2014/main" id="{94A38556-7BD3-4A81-A263-6227344C8A54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1" name="Line 100">
            <a:extLst>
              <a:ext uri="{FF2B5EF4-FFF2-40B4-BE49-F238E27FC236}">
                <a16:creationId xmlns:a16="http://schemas.microsoft.com/office/drawing/2014/main" id="{6371644D-68B6-44C3-B0F0-15EFEBD99C27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Freeform 101">
            <a:extLst>
              <a:ext uri="{FF2B5EF4-FFF2-40B4-BE49-F238E27FC236}">
                <a16:creationId xmlns:a16="http://schemas.microsoft.com/office/drawing/2014/main" id="{268A3E38-21C6-4B52-BFFF-ECCB9BB89239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0 h 208"/>
              <a:gd name="T2" fmla="*/ 0 w 268"/>
              <a:gd name="T3" fmla="*/ 0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0</xdr:col>
      <xdr:colOff>38100</xdr:colOff>
      <xdr:row>10</xdr:row>
      <xdr:rowOff>0</xdr:rowOff>
    </xdr:from>
    <xdr:ext cx="962025" cy="653187"/>
    <xdr:sp macro="" textlink="">
      <xdr:nvSpPr>
        <xdr:cNvPr id="104" name="Text Box 103">
          <a:extLst>
            <a:ext uri="{FF2B5EF4-FFF2-40B4-BE49-F238E27FC236}">
              <a16:creationId xmlns:a16="http://schemas.microsoft.com/office/drawing/2014/main" id="{1DC1FD41-8238-4F87-BD14-9CBA33C62258}"/>
            </a:ext>
          </a:extLst>
        </xdr:cNvPr>
        <xdr:cNvSpPr txBox="1">
          <a:spLocks noChangeArrowheads="1"/>
        </xdr:cNvSpPr>
      </xdr:nvSpPr>
      <xdr:spPr bwMode="auto">
        <a:xfrm>
          <a:off x="38100" y="3590925"/>
          <a:ext cx="962025" cy="65318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付加機能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　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ギャップ感応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oneCellAnchor>
    <xdr:from>
      <xdr:col>13</xdr:col>
      <xdr:colOff>257175</xdr:colOff>
      <xdr:row>15</xdr:row>
      <xdr:rowOff>1209675</xdr:rowOff>
    </xdr:from>
    <xdr:ext cx="288541" cy="150041"/>
    <xdr:sp macro="" textlink="">
      <xdr:nvSpPr>
        <xdr:cNvPr id="105" name="Text Box 104">
          <a:extLst>
            <a:ext uri="{FF2B5EF4-FFF2-40B4-BE49-F238E27FC236}">
              <a16:creationId xmlns:a16="http://schemas.microsoft.com/office/drawing/2014/main" id="{42F63021-64D9-4EA7-8DDE-4621214284F7}"/>
            </a:ext>
          </a:extLst>
        </xdr:cNvPr>
        <xdr:cNvSpPr txBox="1">
          <a:spLocks noChangeArrowheads="1"/>
        </xdr:cNvSpPr>
      </xdr:nvSpPr>
      <xdr:spPr bwMode="auto">
        <a:xfrm>
          <a:off x="4400550" y="5943600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23.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13</xdr:col>
      <xdr:colOff>257175</xdr:colOff>
      <xdr:row>15</xdr:row>
      <xdr:rowOff>209550</xdr:rowOff>
    </xdr:from>
    <xdr:ext cx="288541" cy="150041"/>
    <xdr:sp macro="" textlink="">
      <xdr:nvSpPr>
        <xdr:cNvPr id="107" name="Text Box 107">
          <a:extLst>
            <a:ext uri="{FF2B5EF4-FFF2-40B4-BE49-F238E27FC236}">
              <a16:creationId xmlns:a16="http://schemas.microsoft.com/office/drawing/2014/main" id="{50DC58FA-B172-4EDF-B97E-3C33ACCF10E9}"/>
            </a:ext>
          </a:extLst>
        </xdr:cNvPr>
        <xdr:cNvSpPr txBox="1">
          <a:spLocks noChangeArrowheads="1"/>
        </xdr:cNvSpPr>
      </xdr:nvSpPr>
      <xdr:spPr bwMode="auto">
        <a:xfrm>
          <a:off x="4400550" y="494347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11</xdr:col>
      <xdr:colOff>0</xdr:colOff>
      <xdr:row>15</xdr:row>
      <xdr:rowOff>200025</xdr:rowOff>
    </xdr:from>
    <xdr:ext cx="288541" cy="150041"/>
    <xdr:sp macro="" textlink="">
      <xdr:nvSpPr>
        <xdr:cNvPr id="108" name="Text Box 108">
          <a:extLst>
            <a:ext uri="{FF2B5EF4-FFF2-40B4-BE49-F238E27FC236}">
              <a16:creationId xmlns:a16="http://schemas.microsoft.com/office/drawing/2014/main" id="{4B3A2002-2741-4672-BF30-44B029A9110A}"/>
            </a:ext>
          </a:extLst>
        </xdr:cNvPr>
        <xdr:cNvSpPr txBox="1">
          <a:spLocks noChangeArrowheads="1"/>
        </xdr:cNvSpPr>
      </xdr:nvSpPr>
      <xdr:spPr bwMode="auto">
        <a:xfrm>
          <a:off x="3514725" y="4933950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4</xdr:col>
      <xdr:colOff>38100</xdr:colOff>
      <xdr:row>15</xdr:row>
      <xdr:rowOff>504825</xdr:rowOff>
    </xdr:from>
    <xdr:to>
      <xdr:col>7</xdr:col>
      <xdr:colOff>85725</xdr:colOff>
      <xdr:row>15</xdr:row>
      <xdr:rowOff>809625</xdr:rowOff>
    </xdr:to>
    <xdr:grpSp>
      <xdr:nvGrpSpPr>
        <xdr:cNvPr id="110" name="Group 110">
          <a:extLst>
            <a:ext uri="{FF2B5EF4-FFF2-40B4-BE49-F238E27FC236}">
              <a16:creationId xmlns:a16="http://schemas.microsoft.com/office/drawing/2014/main" id="{C078704E-3BEF-4372-B868-4C97CA7F48A9}"/>
            </a:ext>
          </a:extLst>
        </xdr:cNvPr>
        <xdr:cNvGrpSpPr>
          <a:grpSpLocks/>
        </xdr:cNvGrpSpPr>
      </xdr:nvGrpSpPr>
      <xdr:grpSpPr bwMode="auto">
        <a:xfrm>
          <a:off x="1355035" y="5283890"/>
          <a:ext cx="991842" cy="304800"/>
          <a:chOff x="123" y="585"/>
          <a:chExt cx="105" cy="32"/>
        </a:xfrm>
      </xdr:grpSpPr>
      <xdr:sp macro="" textlink="">
        <xdr:nvSpPr>
          <xdr:cNvPr id="111" name="Line 111">
            <a:extLst>
              <a:ext uri="{FF2B5EF4-FFF2-40B4-BE49-F238E27FC236}">
                <a16:creationId xmlns:a16="http://schemas.microsoft.com/office/drawing/2014/main" id="{91783C6F-05E3-435F-9738-208761E97E1E}"/>
              </a:ext>
            </a:extLst>
          </xdr:cNvPr>
          <xdr:cNvSpPr>
            <a:spLocks noChangeShapeType="1"/>
          </xdr:cNvSpPr>
        </xdr:nvSpPr>
        <xdr:spPr bwMode="auto">
          <a:xfrm>
            <a:off x="123" y="60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Freeform 112">
            <a:extLst>
              <a:ext uri="{FF2B5EF4-FFF2-40B4-BE49-F238E27FC236}">
                <a16:creationId xmlns:a16="http://schemas.microsoft.com/office/drawing/2014/main" id="{A9DF21A2-1CCE-41B7-91D2-C324036206F6}"/>
              </a:ext>
            </a:extLst>
          </xdr:cNvPr>
          <xdr:cNvSpPr>
            <a:spLocks/>
          </xdr:cNvSpPr>
        </xdr:nvSpPr>
        <xdr:spPr bwMode="auto">
          <a:xfrm>
            <a:off x="221" y="598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grpSp>
        <xdr:nvGrpSpPr>
          <xdr:cNvPr id="113" name="Group 113">
            <a:extLst>
              <a:ext uri="{FF2B5EF4-FFF2-40B4-BE49-F238E27FC236}">
                <a16:creationId xmlns:a16="http://schemas.microsoft.com/office/drawing/2014/main" id="{965A9AFD-CDE0-433A-A74D-B4A207946617}"/>
              </a:ext>
            </a:extLst>
          </xdr:cNvPr>
          <xdr:cNvGrpSpPr>
            <a:grpSpLocks/>
          </xdr:cNvGrpSpPr>
        </xdr:nvGrpSpPr>
        <xdr:grpSpPr bwMode="auto">
          <a:xfrm>
            <a:off x="143" y="585"/>
            <a:ext cx="11" cy="16"/>
            <a:chOff x="130" y="585"/>
            <a:chExt cx="11" cy="16"/>
          </a:xfrm>
        </xdr:grpSpPr>
        <xdr:sp macro="" textlink="">
          <xdr:nvSpPr>
            <xdr:cNvPr id="118" name="Freeform 114">
              <a:extLst>
                <a:ext uri="{FF2B5EF4-FFF2-40B4-BE49-F238E27FC236}">
                  <a16:creationId xmlns:a16="http://schemas.microsoft.com/office/drawing/2014/main" id="{BC2C224A-77AA-46D6-B34F-AF28B7F00097}"/>
                </a:ext>
              </a:extLst>
            </xdr:cNvPr>
            <xdr:cNvSpPr>
              <a:spLocks/>
            </xdr:cNvSpPr>
          </xdr:nvSpPr>
          <xdr:spPr bwMode="auto">
            <a:xfrm>
              <a:off x="130" y="593"/>
              <a:ext cx="7" cy="8"/>
            </a:xfrm>
            <a:custGeom>
              <a:avLst/>
              <a:gdLst>
                <a:gd name="T0" fmla="*/ 0 w 203"/>
                <a:gd name="T1" fmla="*/ 0 h 199"/>
                <a:gd name="T2" fmla="*/ 0 w 203"/>
                <a:gd name="T3" fmla="*/ 0 h 199"/>
                <a:gd name="T4" fmla="*/ 0 w 203"/>
                <a:gd name="T5" fmla="*/ 0 h 199"/>
                <a:gd name="T6" fmla="*/ 0 w 203"/>
                <a:gd name="T7" fmla="*/ 0 h 199"/>
                <a:gd name="T8" fmla="*/ 0 w 203"/>
                <a:gd name="T9" fmla="*/ 0 h 199"/>
                <a:gd name="T10" fmla="*/ 0 w 203"/>
                <a:gd name="T11" fmla="*/ 0 h 199"/>
                <a:gd name="T12" fmla="*/ 0 w 203"/>
                <a:gd name="T13" fmla="*/ 0 h 199"/>
                <a:gd name="T14" fmla="*/ 0 w 203"/>
                <a:gd name="T15" fmla="*/ 0 h 199"/>
                <a:gd name="T16" fmla="*/ 0 w 203"/>
                <a:gd name="T17" fmla="*/ 0 h 199"/>
                <a:gd name="T18" fmla="*/ 0 w 203"/>
                <a:gd name="T19" fmla="*/ 0 h 199"/>
                <a:gd name="T20" fmla="*/ 0 w 203"/>
                <a:gd name="T21" fmla="*/ 0 h 199"/>
                <a:gd name="T22" fmla="*/ 0 w 203"/>
                <a:gd name="T23" fmla="*/ 0 h 199"/>
                <a:gd name="T24" fmla="*/ 0 w 203"/>
                <a:gd name="T25" fmla="*/ 0 h 199"/>
                <a:gd name="T26" fmla="*/ 0 w 203"/>
                <a:gd name="T27" fmla="*/ 0 h 199"/>
                <a:gd name="T28" fmla="*/ 0 w 203"/>
                <a:gd name="T29" fmla="*/ 0 h 199"/>
                <a:gd name="T30" fmla="*/ 0 w 203"/>
                <a:gd name="T31" fmla="*/ 0 h 199"/>
                <a:gd name="T32" fmla="*/ 0 w 203"/>
                <a:gd name="T33" fmla="*/ 0 h 199"/>
                <a:gd name="T34" fmla="*/ 0 w 203"/>
                <a:gd name="T35" fmla="*/ 0 h 199"/>
                <a:gd name="T36" fmla="*/ 0 w 203"/>
                <a:gd name="T37" fmla="*/ 0 h 199"/>
                <a:gd name="T38" fmla="*/ 0 w 203"/>
                <a:gd name="T39" fmla="*/ 0 h 199"/>
                <a:gd name="T40" fmla="*/ 0 w 203"/>
                <a:gd name="T41" fmla="*/ 0 h 199"/>
                <a:gd name="T42" fmla="*/ 0 w 203"/>
                <a:gd name="T43" fmla="*/ 0 h 199"/>
                <a:gd name="T44" fmla="*/ 0 w 203"/>
                <a:gd name="T45" fmla="*/ 0 h 199"/>
                <a:gd name="T46" fmla="*/ 0 w 203"/>
                <a:gd name="T47" fmla="*/ 0 h 199"/>
                <a:gd name="T48" fmla="*/ 0 w 203"/>
                <a:gd name="T49" fmla="*/ 0 h 199"/>
                <a:gd name="T50" fmla="*/ 0 w 203"/>
                <a:gd name="T51" fmla="*/ 0 h 199"/>
                <a:gd name="T52" fmla="*/ 0 w 203"/>
                <a:gd name="T53" fmla="*/ 0 h 199"/>
                <a:gd name="T54" fmla="*/ 0 w 203"/>
                <a:gd name="T55" fmla="*/ 0 h 199"/>
                <a:gd name="T56" fmla="*/ 0 w 203"/>
                <a:gd name="T57" fmla="*/ 0 h 199"/>
                <a:gd name="T58" fmla="*/ 0 w 203"/>
                <a:gd name="T59" fmla="*/ 0 h 199"/>
                <a:gd name="T60" fmla="*/ 0 w 203"/>
                <a:gd name="T61" fmla="*/ 0 h 199"/>
                <a:gd name="T62" fmla="*/ 0 w 203"/>
                <a:gd name="T63" fmla="*/ 0 h 199"/>
                <a:gd name="T64" fmla="*/ 0 w 203"/>
                <a:gd name="T65" fmla="*/ 0 h 199"/>
                <a:gd name="T66" fmla="*/ 0 w 203"/>
                <a:gd name="T67" fmla="*/ 0 h 199"/>
                <a:gd name="T68" fmla="*/ 0 w 203"/>
                <a:gd name="T69" fmla="*/ 0 h 199"/>
                <a:gd name="T70" fmla="*/ 0 w 203"/>
                <a:gd name="T71" fmla="*/ 0 h 199"/>
                <a:gd name="T72" fmla="*/ 0 w 203"/>
                <a:gd name="T73" fmla="*/ 0 h 199"/>
                <a:gd name="T74" fmla="*/ 0 w 203"/>
                <a:gd name="T75" fmla="*/ 0 h 199"/>
                <a:gd name="T76" fmla="*/ 0 w 203"/>
                <a:gd name="T77" fmla="*/ 0 h 199"/>
                <a:gd name="T78" fmla="*/ 0 w 203"/>
                <a:gd name="T79" fmla="*/ 0 h 199"/>
                <a:gd name="T80" fmla="*/ 0 w 203"/>
                <a:gd name="T81" fmla="*/ 0 h 199"/>
                <a:gd name="T82" fmla="*/ 0 w 203"/>
                <a:gd name="T83" fmla="*/ 0 h 199"/>
                <a:gd name="T84" fmla="*/ 0 w 203"/>
                <a:gd name="T85" fmla="*/ 0 h 199"/>
                <a:gd name="T86" fmla="*/ 0 w 203"/>
                <a:gd name="T87" fmla="*/ 0 h 199"/>
                <a:gd name="T88" fmla="*/ 0 w 203"/>
                <a:gd name="T89" fmla="*/ 0 h 199"/>
                <a:gd name="T90" fmla="*/ 0 w 203"/>
                <a:gd name="T91" fmla="*/ 0 h 199"/>
                <a:gd name="T92" fmla="*/ 0 w 203"/>
                <a:gd name="T93" fmla="*/ 0 h 199"/>
                <a:gd name="T94" fmla="*/ 0 w 203"/>
                <a:gd name="T95" fmla="*/ 0 h 199"/>
                <a:gd name="T96" fmla="*/ 0 w 203"/>
                <a:gd name="T97" fmla="*/ 0 h 199"/>
                <a:gd name="T98" fmla="*/ 0 w 203"/>
                <a:gd name="T99" fmla="*/ 0 h 199"/>
                <a:gd name="T100" fmla="*/ 0 w 203"/>
                <a:gd name="T101" fmla="*/ 0 h 199"/>
                <a:gd name="T102" fmla="*/ 0 w 203"/>
                <a:gd name="T103" fmla="*/ 0 h 199"/>
                <a:gd name="T104" fmla="*/ 0 w 203"/>
                <a:gd name="T105" fmla="*/ 0 h 199"/>
                <a:gd name="T106" fmla="*/ 0 w 203"/>
                <a:gd name="T107" fmla="*/ 0 h 199"/>
                <a:gd name="T108" fmla="*/ 0 w 203"/>
                <a:gd name="T109" fmla="*/ 0 h 199"/>
                <a:gd name="T110" fmla="*/ 0 w 203"/>
                <a:gd name="T111" fmla="*/ 0 h 199"/>
                <a:gd name="T112" fmla="*/ 0 w 203"/>
                <a:gd name="T113" fmla="*/ 0 h 199"/>
                <a:gd name="T114" fmla="*/ 0 w 203"/>
                <a:gd name="T115" fmla="*/ 0 h 199"/>
                <a:gd name="T116" fmla="*/ 0 w 203"/>
                <a:gd name="T117" fmla="*/ 0 h 199"/>
                <a:gd name="T118" fmla="*/ 0 w 203"/>
                <a:gd name="T119" fmla="*/ 0 h 199"/>
                <a:gd name="T120" fmla="*/ 0 w 203"/>
                <a:gd name="T121" fmla="*/ 0 h 199"/>
                <a:gd name="T122" fmla="*/ 0 w 20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9" name="Line 115">
              <a:extLst>
                <a:ext uri="{FF2B5EF4-FFF2-40B4-BE49-F238E27FC236}">
                  <a16:creationId xmlns:a16="http://schemas.microsoft.com/office/drawing/2014/main" id="{A6F63674-CADB-4009-AC7A-C2E6163E3A7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7" y="58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Freeform 116">
              <a:extLst>
                <a:ext uri="{FF2B5EF4-FFF2-40B4-BE49-F238E27FC236}">
                  <a16:creationId xmlns:a16="http://schemas.microsoft.com/office/drawing/2014/main" id="{D17B3725-D7DB-4E40-9DCE-4789EBEDD750}"/>
                </a:ext>
              </a:extLst>
            </xdr:cNvPr>
            <xdr:cNvSpPr>
              <a:spLocks/>
            </xdr:cNvSpPr>
          </xdr:nvSpPr>
          <xdr:spPr bwMode="auto">
            <a:xfrm>
              <a:off x="133" y="585"/>
              <a:ext cx="8" cy="7"/>
            </a:xfrm>
            <a:custGeom>
              <a:avLst/>
              <a:gdLst>
                <a:gd name="T0" fmla="*/ 0 w 207"/>
                <a:gd name="T1" fmla="*/ 0 h 176"/>
                <a:gd name="T2" fmla="*/ 0 w 207"/>
                <a:gd name="T3" fmla="*/ 0 h 176"/>
                <a:gd name="T4" fmla="*/ 0 w 207"/>
                <a:gd name="T5" fmla="*/ 0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14" name="Group 117">
            <a:extLst>
              <a:ext uri="{FF2B5EF4-FFF2-40B4-BE49-F238E27FC236}">
                <a16:creationId xmlns:a16="http://schemas.microsoft.com/office/drawing/2014/main" id="{81D9D112-F96A-451D-B2AC-56EA055D9CED}"/>
              </a:ext>
            </a:extLst>
          </xdr:cNvPr>
          <xdr:cNvGrpSpPr>
            <a:grpSpLocks/>
          </xdr:cNvGrpSpPr>
        </xdr:nvGrpSpPr>
        <xdr:grpSpPr bwMode="auto">
          <a:xfrm>
            <a:off x="158" y="601"/>
            <a:ext cx="12" cy="16"/>
            <a:chOff x="141" y="601"/>
            <a:chExt cx="12" cy="16"/>
          </a:xfrm>
        </xdr:grpSpPr>
        <xdr:sp macro="" textlink="">
          <xdr:nvSpPr>
            <xdr:cNvPr id="115" name="Freeform 118">
              <a:extLst>
                <a:ext uri="{FF2B5EF4-FFF2-40B4-BE49-F238E27FC236}">
                  <a16:creationId xmlns:a16="http://schemas.microsoft.com/office/drawing/2014/main" id="{B20E42B4-9A83-40B6-A528-353329BBD5A2}"/>
                </a:ext>
              </a:extLst>
            </xdr:cNvPr>
            <xdr:cNvSpPr>
              <a:spLocks/>
            </xdr:cNvSpPr>
          </xdr:nvSpPr>
          <xdr:spPr bwMode="auto">
            <a:xfrm>
              <a:off x="141" y="601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0 w 201"/>
                <a:gd name="T5" fmla="*/ 0 h 202"/>
                <a:gd name="T6" fmla="*/ 0 w 201"/>
                <a:gd name="T7" fmla="*/ 0 h 202"/>
                <a:gd name="T8" fmla="*/ 0 w 201"/>
                <a:gd name="T9" fmla="*/ 0 h 202"/>
                <a:gd name="T10" fmla="*/ 0 w 201"/>
                <a:gd name="T11" fmla="*/ 0 h 202"/>
                <a:gd name="T12" fmla="*/ 0 w 201"/>
                <a:gd name="T13" fmla="*/ 0 h 202"/>
                <a:gd name="T14" fmla="*/ 0 w 201"/>
                <a:gd name="T15" fmla="*/ 0 h 202"/>
                <a:gd name="T16" fmla="*/ 0 w 201"/>
                <a:gd name="T17" fmla="*/ 0 h 202"/>
                <a:gd name="T18" fmla="*/ 0 w 201"/>
                <a:gd name="T19" fmla="*/ 0 h 202"/>
                <a:gd name="T20" fmla="*/ 0 w 201"/>
                <a:gd name="T21" fmla="*/ 0 h 202"/>
                <a:gd name="T22" fmla="*/ 0 w 201"/>
                <a:gd name="T23" fmla="*/ 0 h 202"/>
                <a:gd name="T24" fmla="*/ 0 w 201"/>
                <a:gd name="T25" fmla="*/ 0 h 202"/>
                <a:gd name="T26" fmla="*/ 0 w 201"/>
                <a:gd name="T27" fmla="*/ 0 h 202"/>
                <a:gd name="T28" fmla="*/ 0 w 201"/>
                <a:gd name="T29" fmla="*/ 0 h 202"/>
                <a:gd name="T30" fmla="*/ 0 w 201"/>
                <a:gd name="T31" fmla="*/ 0 h 202"/>
                <a:gd name="T32" fmla="*/ 0 w 201"/>
                <a:gd name="T33" fmla="*/ 0 h 202"/>
                <a:gd name="T34" fmla="*/ 0 w 201"/>
                <a:gd name="T35" fmla="*/ 0 h 202"/>
                <a:gd name="T36" fmla="*/ 0 w 201"/>
                <a:gd name="T37" fmla="*/ 0 h 202"/>
                <a:gd name="T38" fmla="*/ 0 w 201"/>
                <a:gd name="T39" fmla="*/ 0 h 202"/>
                <a:gd name="T40" fmla="*/ 0 w 201"/>
                <a:gd name="T41" fmla="*/ 0 h 202"/>
                <a:gd name="T42" fmla="*/ 0 w 201"/>
                <a:gd name="T43" fmla="*/ 0 h 202"/>
                <a:gd name="T44" fmla="*/ 0 w 201"/>
                <a:gd name="T45" fmla="*/ 0 h 202"/>
                <a:gd name="T46" fmla="*/ 0 w 201"/>
                <a:gd name="T47" fmla="*/ 0 h 202"/>
                <a:gd name="T48" fmla="*/ 0 w 201"/>
                <a:gd name="T49" fmla="*/ 0 h 202"/>
                <a:gd name="T50" fmla="*/ 0 w 201"/>
                <a:gd name="T51" fmla="*/ 0 h 202"/>
                <a:gd name="T52" fmla="*/ 0 w 201"/>
                <a:gd name="T53" fmla="*/ 0 h 202"/>
                <a:gd name="T54" fmla="*/ 0 w 201"/>
                <a:gd name="T55" fmla="*/ 0 h 202"/>
                <a:gd name="T56" fmla="*/ 0 w 201"/>
                <a:gd name="T57" fmla="*/ 0 h 202"/>
                <a:gd name="T58" fmla="*/ 0 w 201"/>
                <a:gd name="T59" fmla="*/ 0 h 202"/>
                <a:gd name="T60" fmla="*/ 0 w 201"/>
                <a:gd name="T61" fmla="*/ 0 h 202"/>
                <a:gd name="T62" fmla="*/ 0 w 201"/>
                <a:gd name="T63" fmla="*/ 0 h 202"/>
                <a:gd name="T64" fmla="*/ 0 w 201"/>
                <a:gd name="T65" fmla="*/ 0 h 202"/>
                <a:gd name="T66" fmla="*/ 0 w 201"/>
                <a:gd name="T67" fmla="*/ 0 h 202"/>
                <a:gd name="T68" fmla="*/ 0 w 201"/>
                <a:gd name="T69" fmla="*/ 0 h 202"/>
                <a:gd name="T70" fmla="*/ 0 w 201"/>
                <a:gd name="T71" fmla="*/ 0 h 202"/>
                <a:gd name="T72" fmla="*/ 0 w 201"/>
                <a:gd name="T73" fmla="*/ 0 h 202"/>
                <a:gd name="T74" fmla="*/ 0 w 201"/>
                <a:gd name="T75" fmla="*/ 0 h 202"/>
                <a:gd name="T76" fmla="*/ 0 w 201"/>
                <a:gd name="T77" fmla="*/ 0 h 202"/>
                <a:gd name="T78" fmla="*/ 0 w 201"/>
                <a:gd name="T79" fmla="*/ 0 h 202"/>
                <a:gd name="T80" fmla="*/ 0 w 201"/>
                <a:gd name="T81" fmla="*/ 0 h 202"/>
                <a:gd name="T82" fmla="*/ 0 w 201"/>
                <a:gd name="T83" fmla="*/ 0 h 202"/>
                <a:gd name="T84" fmla="*/ 0 w 201"/>
                <a:gd name="T85" fmla="*/ 0 h 202"/>
                <a:gd name="T86" fmla="*/ 0 w 201"/>
                <a:gd name="T87" fmla="*/ 0 h 202"/>
                <a:gd name="T88" fmla="*/ 0 w 201"/>
                <a:gd name="T89" fmla="*/ 0 h 202"/>
                <a:gd name="T90" fmla="*/ 0 w 201"/>
                <a:gd name="T91" fmla="*/ 0 h 202"/>
                <a:gd name="T92" fmla="*/ 0 w 201"/>
                <a:gd name="T93" fmla="*/ 0 h 202"/>
                <a:gd name="T94" fmla="*/ 0 w 201"/>
                <a:gd name="T95" fmla="*/ 0 h 202"/>
                <a:gd name="T96" fmla="*/ 0 w 201"/>
                <a:gd name="T97" fmla="*/ 0 h 202"/>
                <a:gd name="T98" fmla="*/ 0 w 201"/>
                <a:gd name="T99" fmla="*/ 0 h 202"/>
                <a:gd name="T100" fmla="*/ 0 w 201"/>
                <a:gd name="T101" fmla="*/ 0 h 202"/>
                <a:gd name="T102" fmla="*/ 0 w 201"/>
                <a:gd name="T103" fmla="*/ 0 h 202"/>
                <a:gd name="T104" fmla="*/ 0 w 201"/>
                <a:gd name="T105" fmla="*/ 0 h 202"/>
                <a:gd name="T106" fmla="*/ 0 w 201"/>
                <a:gd name="T107" fmla="*/ 0 h 202"/>
                <a:gd name="T108" fmla="*/ 0 w 201"/>
                <a:gd name="T109" fmla="*/ 0 h 202"/>
                <a:gd name="T110" fmla="*/ 0 w 201"/>
                <a:gd name="T111" fmla="*/ 0 h 202"/>
                <a:gd name="T112" fmla="*/ 0 w 201"/>
                <a:gd name="T113" fmla="*/ 0 h 202"/>
                <a:gd name="T114" fmla="*/ 0 w 201"/>
                <a:gd name="T115" fmla="*/ 0 h 202"/>
                <a:gd name="T116" fmla="*/ 0 w 201"/>
                <a:gd name="T117" fmla="*/ 0 h 202"/>
                <a:gd name="T118" fmla="*/ 0 w 201"/>
                <a:gd name="T119" fmla="*/ 0 h 202"/>
                <a:gd name="T120" fmla="*/ 0 w 201"/>
                <a:gd name="T121" fmla="*/ 0 h 202"/>
                <a:gd name="T122" fmla="*/ 0 w 201"/>
                <a:gd name="T123" fmla="*/ 0 h 202"/>
                <a:gd name="T124" fmla="*/ 0 w 201"/>
                <a:gd name="T125" fmla="*/ 0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" name="Line 119">
              <a:extLst>
                <a:ext uri="{FF2B5EF4-FFF2-40B4-BE49-F238E27FC236}">
                  <a16:creationId xmlns:a16="http://schemas.microsoft.com/office/drawing/2014/main" id="{7A113FE2-DA58-43DC-AFEE-A7202F49B1A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49" y="608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Freeform 120">
              <a:extLst>
                <a:ext uri="{FF2B5EF4-FFF2-40B4-BE49-F238E27FC236}">
                  <a16:creationId xmlns:a16="http://schemas.microsoft.com/office/drawing/2014/main" id="{171836B1-7272-425A-B70D-FD0421B2BBC0}"/>
                </a:ext>
              </a:extLst>
            </xdr:cNvPr>
            <xdr:cNvSpPr>
              <a:spLocks/>
            </xdr:cNvSpPr>
          </xdr:nvSpPr>
          <xdr:spPr bwMode="auto">
            <a:xfrm>
              <a:off x="145" y="610"/>
              <a:ext cx="8" cy="7"/>
            </a:xfrm>
            <a:custGeom>
              <a:avLst/>
              <a:gdLst>
                <a:gd name="T0" fmla="*/ 0 w 208"/>
                <a:gd name="T1" fmla="*/ 0 h 177"/>
                <a:gd name="T2" fmla="*/ 0 w 208"/>
                <a:gd name="T3" fmla="*/ 0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4</xdr:col>
      <xdr:colOff>152400</xdr:colOff>
      <xdr:row>15</xdr:row>
      <xdr:rowOff>333375</xdr:rowOff>
    </xdr:from>
    <xdr:to>
      <xdr:col>6</xdr:col>
      <xdr:colOff>228600</xdr:colOff>
      <xdr:row>15</xdr:row>
      <xdr:rowOff>390525</xdr:rowOff>
    </xdr:to>
    <xdr:grpSp>
      <xdr:nvGrpSpPr>
        <xdr:cNvPr id="121" name="Group 121">
          <a:extLst>
            <a:ext uri="{FF2B5EF4-FFF2-40B4-BE49-F238E27FC236}">
              <a16:creationId xmlns:a16="http://schemas.microsoft.com/office/drawing/2014/main" id="{60C7BB6A-1757-4C73-AB52-851A4DBA9582}"/>
            </a:ext>
          </a:extLst>
        </xdr:cNvPr>
        <xdr:cNvGrpSpPr>
          <a:grpSpLocks/>
        </xdr:cNvGrpSpPr>
      </xdr:nvGrpSpPr>
      <xdr:grpSpPr bwMode="auto">
        <a:xfrm>
          <a:off x="1469335" y="5112440"/>
          <a:ext cx="705678" cy="57150"/>
          <a:chOff x="123" y="549"/>
          <a:chExt cx="77" cy="6"/>
        </a:xfrm>
      </xdr:grpSpPr>
      <xdr:sp macro="" textlink="">
        <xdr:nvSpPr>
          <xdr:cNvPr id="122" name="Line 122">
            <a:extLst>
              <a:ext uri="{FF2B5EF4-FFF2-40B4-BE49-F238E27FC236}">
                <a16:creationId xmlns:a16="http://schemas.microsoft.com/office/drawing/2014/main" id="{AC7CB942-310A-45D7-B14E-F1B0D4F1A2A1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Freeform 123">
            <a:extLst>
              <a:ext uri="{FF2B5EF4-FFF2-40B4-BE49-F238E27FC236}">
                <a16:creationId xmlns:a16="http://schemas.microsoft.com/office/drawing/2014/main" id="{15AB8D22-D0A0-481C-97BA-BEF7D9B8944D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4" name="Freeform 124">
            <a:extLst>
              <a:ext uri="{FF2B5EF4-FFF2-40B4-BE49-F238E27FC236}">
                <a16:creationId xmlns:a16="http://schemas.microsoft.com/office/drawing/2014/main" id="{9EC95277-AAA9-467E-887F-AD8A1779861B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28575</xdr:colOff>
      <xdr:row>15</xdr:row>
      <xdr:rowOff>876300</xdr:rowOff>
    </xdr:from>
    <xdr:to>
      <xdr:col>7</xdr:col>
      <xdr:colOff>76200</xdr:colOff>
      <xdr:row>15</xdr:row>
      <xdr:rowOff>1171575</xdr:rowOff>
    </xdr:to>
    <xdr:grpSp>
      <xdr:nvGrpSpPr>
        <xdr:cNvPr id="125" name="Group 125">
          <a:extLst>
            <a:ext uri="{FF2B5EF4-FFF2-40B4-BE49-F238E27FC236}">
              <a16:creationId xmlns:a16="http://schemas.microsoft.com/office/drawing/2014/main" id="{4514A497-90BA-4E36-8813-5CB586008CD1}"/>
            </a:ext>
          </a:extLst>
        </xdr:cNvPr>
        <xdr:cNvGrpSpPr>
          <a:grpSpLocks/>
        </xdr:cNvGrpSpPr>
      </xdr:nvGrpSpPr>
      <xdr:grpSpPr bwMode="auto">
        <a:xfrm>
          <a:off x="1345510" y="5655365"/>
          <a:ext cx="991842" cy="295275"/>
          <a:chOff x="122" y="624"/>
          <a:chExt cx="105" cy="31"/>
        </a:xfrm>
      </xdr:grpSpPr>
      <xdr:sp macro="" textlink="">
        <xdr:nvSpPr>
          <xdr:cNvPr id="126" name="Line 126">
            <a:extLst>
              <a:ext uri="{FF2B5EF4-FFF2-40B4-BE49-F238E27FC236}">
                <a16:creationId xmlns:a16="http://schemas.microsoft.com/office/drawing/2014/main" id="{B0F8599B-72BF-4983-BD04-64976306BC8E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23" y="63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" name="Freeform 127">
            <a:extLst>
              <a:ext uri="{FF2B5EF4-FFF2-40B4-BE49-F238E27FC236}">
                <a16:creationId xmlns:a16="http://schemas.microsoft.com/office/drawing/2014/main" id="{1BC95F87-6C7D-432F-95E4-1C42AB1369B9}"/>
              </a:ext>
            </a:extLst>
          </xdr:cNvPr>
          <xdr:cNvSpPr>
            <a:spLocks/>
          </xdr:cNvSpPr>
        </xdr:nvSpPr>
        <xdr:spPr bwMode="auto">
          <a:xfrm rot="10800000">
            <a:off x="122" y="636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" name="Freeform 128">
            <a:extLst>
              <a:ext uri="{FF2B5EF4-FFF2-40B4-BE49-F238E27FC236}">
                <a16:creationId xmlns:a16="http://schemas.microsoft.com/office/drawing/2014/main" id="{4E4EBBA0-7F7A-41F8-BF40-5803289DC666}"/>
              </a:ext>
            </a:extLst>
          </xdr:cNvPr>
          <xdr:cNvSpPr>
            <a:spLocks/>
          </xdr:cNvSpPr>
        </xdr:nvSpPr>
        <xdr:spPr bwMode="auto">
          <a:xfrm rot="10800000">
            <a:off x="202" y="639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9" name="Line 129">
            <a:extLst>
              <a:ext uri="{FF2B5EF4-FFF2-40B4-BE49-F238E27FC236}">
                <a16:creationId xmlns:a16="http://schemas.microsoft.com/office/drawing/2014/main" id="{0EEC2B65-0288-46E7-B2FD-6F9BCF9F8F3F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202" y="64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" name="Freeform 130">
            <a:extLst>
              <a:ext uri="{FF2B5EF4-FFF2-40B4-BE49-F238E27FC236}">
                <a16:creationId xmlns:a16="http://schemas.microsoft.com/office/drawing/2014/main" id="{4DF86FDC-A2AC-4621-9264-24AEFBA5ED75}"/>
              </a:ext>
            </a:extLst>
          </xdr:cNvPr>
          <xdr:cNvSpPr>
            <a:spLocks/>
          </xdr:cNvSpPr>
        </xdr:nvSpPr>
        <xdr:spPr bwMode="auto">
          <a:xfrm rot="10800000">
            <a:off x="198" y="648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1" name="Freeform 131">
            <a:extLst>
              <a:ext uri="{FF2B5EF4-FFF2-40B4-BE49-F238E27FC236}">
                <a16:creationId xmlns:a16="http://schemas.microsoft.com/office/drawing/2014/main" id="{36A69742-B27E-4A32-88B0-92AD997A4A5F}"/>
              </a:ext>
            </a:extLst>
          </xdr:cNvPr>
          <xdr:cNvSpPr>
            <a:spLocks/>
          </xdr:cNvSpPr>
        </xdr:nvSpPr>
        <xdr:spPr bwMode="auto">
          <a:xfrm rot="10800000">
            <a:off x="186" y="632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2" name="Line 132">
            <a:extLst>
              <a:ext uri="{FF2B5EF4-FFF2-40B4-BE49-F238E27FC236}">
                <a16:creationId xmlns:a16="http://schemas.microsoft.com/office/drawing/2014/main" id="{4F47F24D-4981-4124-B296-31757567D524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86" y="62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" name="Freeform 133">
            <a:extLst>
              <a:ext uri="{FF2B5EF4-FFF2-40B4-BE49-F238E27FC236}">
                <a16:creationId xmlns:a16="http://schemas.microsoft.com/office/drawing/2014/main" id="{4D07E8F3-BAAA-4B36-8874-01E3965B092B}"/>
              </a:ext>
            </a:extLst>
          </xdr:cNvPr>
          <xdr:cNvSpPr>
            <a:spLocks/>
          </xdr:cNvSpPr>
        </xdr:nvSpPr>
        <xdr:spPr bwMode="auto">
          <a:xfrm rot="10800000">
            <a:off x="182" y="62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15</xdr:row>
      <xdr:rowOff>1257300</xdr:rowOff>
    </xdr:from>
    <xdr:to>
      <xdr:col>6</xdr:col>
      <xdr:colOff>228600</xdr:colOff>
      <xdr:row>15</xdr:row>
      <xdr:rowOff>1314450</xdr:rowOff>
    </xdr:to>
    <xdr:grpSp>
      <xdr:nvGrpSpPr>
        <xdr:cNvPr id="134" name="Group 134">
          <a:extLst>
            <a:ext uri="{FF2B5EF4-FFF2-40B4-BE49-F238E27FC236}">
              <a16:creationId xmlns:a16="http://schemas.microsoft.com/office/drawing/2014/main" id="{504D5ABA-D27D-4724-94EB-F603540C4919}"/>
            </a:ext>
          </a:extLst>
        </xdr:cNvPr>
        <xdr:cNvGrpSpPr>
          <a:grpSpLocks/>
        </xdr:cNvGrpSpPr>
      </xdr:nvGrpSpPr>
      <xdr:grpSpPr bwMode="auto">
        <a:xfrm>
          <a:off x="1469335" y="6036365"/>
          <a:ext cx="705678" cy="57150"/>
          <a:chOff x="123" y="549"/>
          <a:chExt cx="77" cy="6"/>
        </a:xfrm>
      </xdr:grpSpPr>
      <xdr:sp macro="" textlink="">
        <xdr:nvSpPr>
          <xdr:cNvPr id="135" name="Line 135">
            <a:extLst>
              <a:ext uri="{FF2B5EF4-FFF2-40B4-BE49-F238E27FC236}">
                <a16:creationId xmlns:a16="http://schemas.microsoft.com/office/drawing/2014/main" id="{F4D80518-16C5-4A62-BC1D-280EE059650A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" name="Freeform 136">
            <a:extLst>
              <a:ext uri="{FF2B5EF4-FFF2-40B4-BE49-F238E27FC236}">
                <a16:creationId xmlns:a16="http://schemas.microsoft.com/office/drawing/2014/main" id="{48688B45-51C2-4F6F-89F5-49C62F3524F2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7" name="Freeform 137">
            <a:extLst>
              <a:ext uri="{FF2B5EF4-FFF2-40B4-BE49-F238E27FC236}">
                <a16:creationId xmlns:a16="http://schemas.microsoft.com/office/drawing/2014/main" id="{DEE88D1D-6770-47CD-BB1D-FC0EC1BA51B0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5</xdr:col>
      <xdr:colOff>66675</xdr:colOff>
      <xdr:row>15</xdr:row>
      <xdr:rowOff>1352550</xdr:rowOff>
    </xdr:from>
    <xdr:ext cx="288541" cy="150041"/>
    <xdr:sp macro="" textlink="">
      <xdr:nvSpPr>
        <xdr:cNvPr id="138" name="Text Box 138">
          <a:extLst>
            <a:ext uri="{FF2B5EF4-FFF2-40B4-BE49-F238E27FC236}">
              <a16:creationId xmlns:a16="http://schemas.microsoft.com/office/drawing/2014/main" id="{1DBBF9D1-6EEF-4039-A09F-38FA08726A44}"/>
            </a:ext>
          </a:extLst>
        </xdr:cNvPr>
        <xdr:cNvSpPr txBox="1">
          <a:spLocks noChangeArrowheads="1"/>
        </xdr:cNvSpPr>
      </xdr:nvSpPr>
      <xdr:spPr bwMode="auto">
        <a:xfrm>
          <a:off x="1695450" y="608647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21.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7</xdr:col>
      <xdr:colOff>19050</xdr:colOff>
      <xdr:row>15</xdr:row>
      <xdr:rowOff>1219200</xdr:rowOff>
    </xdr:from>
    <xdr:ext cx="288541" cy="150041"/>
    <xdr:sp macro="" textlink="">
      <xdr:nvSpPr>
        <xdr:cNvPr id="139" name="Text Box 139">
          <a:extLst>
            <a:ext uri="{FF2B5EF4-FFF2-40B4-BE49-F238E27FC236}">
              <a16:creationId xmlns:a16="http://schemas.microsoft.com/office/drawing/2014/main" id="{58A842C9-A38F-4606-BAAA-E40E5D1E553F}"/>
            </a:ext>
          </a:extLst>
        </xdr:cNvPr>
        <xdr:cNvSpPr txBox="1">
          <a:spLocks noChangeArrowheads="1"/>
        </xdr:cNvSpPr>
      </xdr:nvSpPr>
      <xdr:spPr bwMode="auto">
        <a:xfrm>
          <a:off x="2276475" y="595312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7</xdr:col>
      <xdr:colOff>28575</xdr:colOff>
      <xdr:row>15</xdr:row>
      <xdr:rowOff>295275</xdr:rowOff>
    </xdr:from>
    <xdr:ext cx="288541" cy="150041"/>
    <xdr:sp macro="" textlink="">
      <xdr:nvSpPr>
        <xdr:cNvPr id="140" name="Text Box 140">
          <a:extLst>
            <a:ext uri="{FF2B5EF4-FFF2-40B4-BE49-F238E27FC236}">
              <a16:creationId xmlns:a16="http://schemas.microsoft.com/office/drawing/2014/main" id="{2C8739D1-1E54-4449-92CC-57099AC7197F}"/>
            </a:ext>
          </a:extLst>
        </xdr:cNvPr>
        <xdr:cNvSpPr txBox="1">
          <a:spLocks noChangeArrowheads="1"/>
        </xdr:cNvSpPr>
      </xdr:nvSpPr>
      <xdr:spPr bwMode="auto">
        <a:xfrm>
          <a:off x="2286000" y="5029200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 editAs="oneCell">
    <xdr:from>
      <xdr:col>4</xdr:col>
      <xdr:colOff>85725</xdr:colOff>
      <xdr:row>8</xdr:row>
      <xdr:rowOff>704850</xdr:rowOff>
    </xdr:from>
    <xdr:to>
      <xdr:col>5</xdr:col>
      <xdr:colOff>58652</xdr:colOff>
      <xdr:row>8</xdr:row>
      <xdr:rowOff>992850</xdr:rowOff>
    </xdr:to>
    <xdr:pic>
      <xdr:nvPicPr>
        <xdr:cNvPr id="145" name="図 144">
          <a:extLst>
            <a:ext uri="{FF2B5EF4-FFF2-40B4-BE49-F238E27FC236}">
              <a16:creationId xmlns:a16="http://schemas.microsoft.com/office/drawing/2014/main" id="{5F6369DA-AC86-447B-98A6-905A6D61F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0175" y="219075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21</xdr:col>
      <xdr:colOff>285750</xdr:colOff>
      <xdr:row>8</xdr:row>
      <xdr:rowOff>285750</xdr:rowOff>
    </xdr:from>
    <xdr:to>
      <xdr:col>22</xdr:col>
      <xdr:colOff>258677</xdr:colOff>
      <xdr:row>8</xdr:row>
      <xdr:rowOff>573750</xdr:rowOff>
    </xdr:to>
    <xdr:pic>
      <xdr:nvPicPr>
        <xdr:cNvPr id="146" name="図 145">
          <a:extLst>
            <a:ext uri="{FF2B5EF4-FFF2-40B4-BE49-F238E27FC236}">
              <a16:creationId xmlns:a16="http://schemas.microsoft.com/office/drawing/2014/main" id="{58E18BEC-D213-4F9B-9AC0-43007314E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3725" y="177165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10</xdr:row>
      <xdr:rowOff>190500</xdr:rowOff>
    </xdr:from>
    <xdr:to>
      <xdr:col>13</xdr:col>
      <xdr:colOff>115802</xdr:colOff>
      <xdr:row>12</xdr:row>
      <xdr:rowOff>21300</xdr:rowOff>
    </xdr:to>
    <xdr:pic>
      <xdr:nvPicPr>
        <xdr:cNvPr id="147" name="図 146">
          <a:extLst>
            <a:ext uri="{FF2B5EF4-FFF2-40B4-BE49-F238E27FC236}">
              <a16:creationId xmlns:a16="http://schemas.microsoft.com/office/drawing/2014/main" id="{FA41C5C4-46E7-43F0-A6E6-0F585B2A7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1925" y="3781425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238125</xdr:colOff>
      <xdr:row>4</xdr:row>
      <xdr:rowOff>66675</xdr:rowOff>
    </xdr:from>
    <xdr:to>
      <xdr:col>13</xdr:col>
      <xdr:colOff>211052</xdr:colOff>
      <xdr:row>5</xdr:row>
      <xdr:rowOff>126075</xdr:rowOff>
    </xdr:to>
    <xdr:pic>
      <xdr:nvPicPr>
        <xdr:cNvPr id="148" name="図 147">
          <a:extLst>
            <a:ext uri="{FF2B5EF4-FFF2-40B4-BE49-F238E27FC236}">
              <a16:creationId xmlns:a16="http://schemas.microsoft.com/office/drawing/2014/main" id="{E8F8F2EA-59A6-4DBF-A120-2ADF529AF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7175" y="638175"/>
          <a:ext cx="287252" cy="288000"/>
        </a:xfrm>
        <a:prstGeom prst="rect">
          <a:avLst/>
        </a:prstGeom>
      </xdr:spPr>
    </xdr:pic>
    <xdr:clientData/>
  </xdr:twoCellAnchor>
  <xdr:twoCellAnchor>
    <xdr:from>
      <xdr:col>12</xdr:col>
      <xdr:colOff>155510</xdr:colOff>
      <xdr:row>5</xdr:row>
      <xdr:rowOff>184281</xdr:rowOff>
    </xdr:from>
    <xdr:to>
      <xdr:col>12</xdr:col>
      <xdr:colOff>240654</xdr:colOff>
      <xdr:row>8</xdr:row>
      <xdr:rowOff>1331557</xdr:rowOff>
    </xdr:to>
    <xdr:cxnSp macro="">
      <xdr:nvCxnSpPr>
        <xdr:cNvPr id="154" name="直線矢印コネクタ 153">
          <a:extLst>
            <a:ext uri="{FF2B5EF4-FFF2-40B4-BE49-F238E27FC236}">
              <a16:creationId xmlns:a16="http://schemas.microsoft.com/office/drawing/2014/main" id="{2CEE6D04-C397-447A-81DD-7BBB974775FE}"/>
            </a:ext>
          </a:extLst>
        </xdr:cNvPr>
        <xdr:cNvCxnSpPr/>
      </xdr:nvCxnSpPr>
      <xdr:spPr>
        <a:xfrm flipV="1">
          <a:off x="3965510" y="1000710"/>
          <a:ext cx="85144" cy="1847071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242012</xdr:colOff>
      <xdr:row>7</xdr:row>
      <xdr:rowOff>113717</xdr:rowOff>
    </xdr:from>
    <xdr:ext cx="436521" cy="250453"/>
    <xdr:sp macro="" textlink="">
      <xdr:nvSpPr>
        <xdr:cNvPr id="159" name="テキスト ボックス 158">
          <a:extLst>
            <a:ext uri="{FF2B5EF4-FFF2-40B4-BE49-F238E27FC236}">
              <a16:creationId xmlns:a16="http://schemas.microsoft.com/office/drawing/2014/main" id="{97F9A4A7-7C9E-42A4-A066-FE4484D0919A}"/>
            </a:ext>
          </a:extLst>
        </xdr:cNvPr>
        <xdr:cNvSpPr txBox="1"/>
      </xdr:nvSpPr>
      <xdr:spPr>
        <a:xfrm>
          <a:off x="4363032" y="1396676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52.4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oneCellAnchor>
    <xdr:from>
      <xdr:col>10</xdr:col>
      <xdr:colOff>310049</xdr:colOff>
      <xdr:row>8</xdr:row>
      <xdr:rowOff>579275</xdr:rowOff>
    </xdr:from>
    <xdr:ext cx="436521" cy="250453"/>
    <xdr:sp macro="" textlink="">
      <xdr:nvSpPr>
        <xdr:cNvPr id="160" name="テキスト ボックス 159">
          <a:extLst>
            <a:ext uri="{FF2B5EF4-FFF2-40B4-BE49-F238E27FC236}">
              <a16:creationId xmlns:a16="http://schemas.microsoft.com/office/drawing/2014/main" id="{C9C534E5-C34B-4B86-A496-BA6EBB0B18F3}"/>
            </a:ext>
          </a:extLst>
        </xdr:cNvPr>
        <xdr:cNvSpPr txBox="1"/>
      </xdr:nvSpPr>
      <xdr:spPr>
        <a:xfrm>
          <a:off x="3498008" y="2095499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50.1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oneCellAnchor>
    <xdr:from>
      <xdr:col>5</xdr:col>
      <xdr:colOff>76200</xdr:colOff>
      <xdr:row>15</xdr:row>
      <xdr:rowOff>152400</xdr:rowOff>
    </xdr:from>
    <xdr:ext cx="288541" cy="150041"/>
    <xdr:sp macro="" textlink="">
      <xdr:nvSpPr>
        <xdr:cNvPr id="161" name="Text Box 138">
          <a:extLst>
            <a:ext uri="{FF2B5EF4-FFF2-40B4-BE49-F238E27FC236}">
              <a16:creationId xmlns:a16="http://schemas.microsoft.com/office/drawing/2014/main" id="{5D3FE7E1-1A8F-4C20-AA7E-F1EE60FCFF99}"/>
            </a:ext>
          </a:extLst>
        </xdr:cNvPr>
        <xdr:cNvSpPr txBox="1">
          <a:spLocks noChangeArrowheads="1"/>
        </xdr:cNvSpPr>
      </xdr:nvSpPr>
      <xdr:spPr bwMode="auto">
        <a:xfrm>
          <a:off x="1704975" y="488632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11</xdr:col>
      <xdr:colOff>0</xdr:colOff>
      <xdr:row>15</xdr:row>
      <xdr:rowOff>1219200</xdr:rowOff>
    </xdr:from>
    <xdr:ext cx="288541" cy="150041"/>
    <xdr:sp macro="" textlink="">
      <xdr:nvSpPr>
        <xdr:cNvPr id="162" name="Text Box 104">
          <a:extLst>
            <a:ext uri="{FF2B5EF4-FFF2-40B4-BE49-F238E27FC236}">
              <a16:creationId xmlns:a16="http://schemas.microsoft.com/office/drawing/2014/main" id="{B4116F1D-5018-4EDA-AEE8-FE85A6C1D351}"/>
            </a:ext>
          </a:extLst>
        </xdr:cNvPr>
        <xdr:cNvSpPr txBox="1">
          <a:spLocks noChangeArrowheads="1"/>
        </xdr:cNvSpPr>
      </xdr:nvSpPr>
      <xdr:spPr bwMode="auto">
        <a:xfrm>
          <a:off x="3514725" y="595312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19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10</xdr:col>
      <xdr:colOff>87920</xdr:colOff>
      <xdr:row>7</xdr:row>
      <xdr:rowOff>15041</xdr:rowOff>
    </xdr:from>
    <xdr:to>
      <xdr:col>15</xdr:col>
      <xdr:colOff>288814</xdr:colOff>
      <xdr:row>8</xdr:row>
      <xdr:rowOff>724213</xdr:rowOff>
    </xdr:to>
    <xdr:sp macro="" textlink="">
      <xdr:nvSpPr>
        <xdr:cNvPr id="168" name="フリーフォーム: 図形 167">
          <a:extLst>
            <a:ext uri="{FF2B5EF4-FFF2-40B4-BE49-F238E27FC236}">
              <a16:creationId xmlns:a16="http://schemas.microsoft.com/office/drawing/2014/main" id="{94003295-8F26-4F6A-AA6D-24AFC3A36875}"/>
            </a:ext>
          </a:extLst>
        </xdr:cNvPr>
        <xdr:cNvSpPr/>
      </xdr:nvSpPr>
      <xdr:spPr>
        <a:xfrm rot="1260578" flipH="1">
          <a:off x="3279506" y="1273194"/>
          <a:ext cx="1764700" cy="936635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2112453 w 2112453"/>
            <a:gd name="connsiteY0" fmla="*/ 21483883 h 21483875"/>
            <a:gd name="connsiteX1" fmla="*/ 0 w 2112453"/>
            <a:gd name="connsiteY1" fmla="*/ -7 h 21483875"/>
            <a:gd name="connsiteX0" fmla="*/ 2112453 w 2112453"/>
            <a:gd name="connsiteY0" fmla="*/ 21483883 h 21483875"/>
            <a:gd name="connsiteX1" fmla="*/ 0 w 2112453"/>
            <a:gd name="connsiteY1" fmla="*/ -7 h 21483875"/>
            <a:gd name="connsiteX0" fmla="*/ 2112453 w 2112453"/>
            <a:gd name="connsiteY0" fmla="*/ 21483883 h 21483875"/>
            <a:gd name="connsiteX1" fmla="*/ 0 w 2112453"/>
            <a:gd name="connsiteY1" fmla="*/ -7 h 214838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112453" h="21483875">
              <a:moveTo>
                <a:pt x="2112453" y="21483883"/>
              </a:moveTo>
              <a:cubicBezTo>
                <a:pt x="1438941" y="13824218"/>
                <a:pt x="784794" y="5993273"/>
                <a:pt x="0" y="-7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14</xdr:col>
      <xdr:colOff>215689</xdr:colOff>
      <xdr:row>11</xdr:row>
      <xdr:rowOff>168097</xdr:rowOff>
    </xdr:from>
    <xdr:ext cx="2669568" cy="259096"/>
    <xdr:sp macro="" textlink="">
      <xdr:nvSpPr>
        <xdr:cNvPr id="153" name="Text Box 103">
          <a:extLst>
            <a:ext uri="{FF2B5EF4-FFF2-40B4-BE49-F238E27FC236}">
              <a16:creationId xmlns:a16="http://schemas.microsoft.com/office/drawing/2014/main" id="{A30C5122-7B48-4C33-9BE0-A1D800FD2DCB}"/>
            </a:ext>
          </a:extLst>
        </xdr:cNvPr>
        <xdr:cNvSpPr txBox="1">
          <a:spLocks noChangeArrowheads="1"/>
        </xdr:cNvSpPr>
      </xdr:nvSpPr>
      <xdr:spPr bwMode="auto">
        <a:xfrm>
          <a:off x="4680015" y="4019510"/>
          <a:ext cx="2669568" cy="259096"/>
        </a:xfrm>
        <a:prstGeom prst="rect">
          <a:avLst/>
        </a:prstGeom>
        <a:solidFill>
          <a:sysClr val="window" lastClr="FFFFFF"/>
        </a:solidFill>
        <a:ln>
          <a:noFill/>
        </a:ln>
        <a:effectLst/>
      </xdr:spPr>
      <xdr:txBody>
        <a:bodyPr vertOverflow="clip" horzOverflow="clip" wrap="none" lIns="36000" tIns="36000" rIns="36000" bIns="7200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※1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現示は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1,2Step 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現示は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8,9Step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で保障（終日）</a:t>
          </a:r>
        </a:p>
      </xdr:txBody>
    </xdr:sp>
    <xdr:clientData/>
  </xdr:oneCellAnchor>
  <xdr:oneCellAnchor>
    <xdr:from>
      <xdr:col>20</xdr:col>
      <xdr:colOff>184669</xdr:colOff>
      <xdr:row>15</xdr:row>
      <xdr:rowOff>1088572</xdr:rowOff>
    </xdr:from>
    <xdr:ext cx="1015715" cy="666750"/>
    <xdr:sp macro="" textlink="">
      <xdr:nvSpPr>
        <xdr:cNvPr id="83" name="Text Box 91">
          <a:extLst>
            <a:ext uri="{FF2B5EF4-FFF2-40B4-BE49-F238E27FC236}">
              <a16:creationId xmlns:a16="http://schemas.microsoft.com/office/drawing/2014/main" id="{F0515987-B989-43E3-BB10-A662872008DA}"/>
            </a:ext>
          </a:extLst>
        </xdr:cNvPr>
        <xdr:cNvSpPr txBox="1">
          <a:spLocks noChangeArrowheads="1"/>
        </xdr:cNvSpPr>
      </xdr:nvSpPr>
      <xdr:spPr bwMode="auto">
        <a:xfrm>
          <a:off x="6482832" y="5880230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EC6780K+34001007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EC6780K-209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38099</xdr:rowOff>
    </xdr:from>
    <xdr:to>
      <xdr:col>2</xdr:col>
      <xdr:colOff>228600</xdr:colOff>
      <xdr:row>15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DA9D509F-5A76-4312-BD1B-80694492327D}"/>
            </a:ext>
          </a:extLst>
        </xdr:cNvPr>
        <xdr:cNvSpPr txBox="1">
          <a:spLocks noChangeArrowheads="1"/>
        </xdr:cNvSpPr>
      </xdr:nvSpPr>
      <xdr:spPr bwMode="auto">
        <a:xfrm>
          <a:off x="228600" y="47720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6418" name="Line 2">
          <a:extLst>
            <a:ext uri="{FF2B5EF4-FFF2-40B4-BE49-F238E27FC236}">
              <a16:creationId xmlns:a16="http://schemas.microsoft.com/office/drawing/2014/main" id="{FB2B2897-4DD4-4504-8D19-E653443F9E4A}"/>
            </a:ext>
          </a:extLst>
        </xdr:cNvPr>
        <xdr:cNvSpPr>
          <a:spLocks noChangeShapeType="1"/>
        </xdr:cNvSpPr>
      </xdr:nvSpPr>
      <xdr:spPr bwMode="auto">
        <a:xfrm>
          <a:off x="1314450" y="6429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276225</xdr:colOff>
      <xdr:row>17</xdr:row>
      <xdr:rowOff>190500</xdr:rowOff>
    </xdr:to>
    <xdr:sp macro="" textlink="">
      <xdr:nvSpPr>
        <xdr:cNvPr id="6419" name="Freeform 3">
          <a:extLst>
            <a:ext uri="{FF2B5EF4-FFF2-40B4-BE49-F238E27FC236}">
              <a16:creationId xmlns:a16="http://schemas.microsoft.com/office/drawing/2014/main" id="{06564D08-B2C5-4CF3-9DA3-8D7171AA8EE9}"/>
            </a:ext>
          </a:extLst>
        </xdr:cNvPr>
        <xdr:cNvSpPr>
          <a:spLocks/>
        </xdr:cNvSpPr>
      </xdr:nvSpPr>
      <xdr:spPr bwMode="auto">
        <a:xfrm>
          <a:off x="2266950" y="6591300"/>
          <a:ext cx="266700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57150</xdr:colOff>
      <xdr:row>16</xdr:row>
      <xdr:rowOff>38100</xdr:rowOff>
    </xdr:from>
    <xdr:to>
      <xdr:col>6</xdr:col>
      <xdr:colOff>0</xdr:colOff>
      <xdr:row>16</xdr:row>
      <xdr:rowOff>190500</xdr:rowOff>
    </xdr:to>
    <xdr:grpSp>
      <xdr:nvGrpSpPr>
        <xdr:cNvPr id="6420" name="Group 4">
          <a:extLst>
            <a:ext uri="{FF2B5EF4-FFF2-40B4-BE49-F238E27FC236}">
              <a16:creationId xmlns:a16="http://schemas.microsoft.com/office/drawing/2014/main" id="{7FE3EE97-2B9E-4760-9BF4-61AC46709B0E}"/>
            </a:ext>
          </a:extLst>
        </xdr:cNvPr>
        <xdr:cNvGrpSpPr>
          <a:grpSpLocks/>
        </xdr:cNvGrpSpPr>
      </xdr:nvGrpSpPr>
      <xdr:grpSpPr bwMode="auto">
        <a:xfrm>
          <a:off x="1685925" y="6353175"/>
          <a:ext cx="257175" cy="152400"/>
          <a:chOff x="132" y="708"/>
          <a:chExt cx="20" cy="14"/>
        </a:xfrm>
      </xdr:grpSpPr>
      <xdr:sp macro="" textlink="">
        <xdr:nvSpPr>
          <xdr:cNvPr id="6556" name="Line 5">
            <a:extLst>
              <a:ext uri="{FF2B5EF4-FFF2-40B4-BE49-F238E27FC236}">
                <a16:creationId xmlns:a16="http://schemas.microsoft.com/office/drawing/2014/main" id="{75617B49-8E59-460D-87E9-E4DA6229246C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57" name="Line 6">
            <a:extLst>
              <a:ext uri="{FF2B5EF4-FFF2-40B4-BE49-F238E27FC236}">
                <a16:creationId xmlns:a16="http://schemas.microsoft.com/office/drawing/2014/main" id="{10E0A418-21C9-474E-B506-A0D56CFB38C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58" name="Line 7">
            <a:extLst>
              <a:ext uri="{FF2B5EF4-FFF2-40B4-BE49-F238E27FC236}">
                <a16:creationId xmlns:a16="http://schemas.microsoft.com/office/drawing/2014/main" id="{DFFF4091-36CD-40C9-8889-444A91E7050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59" name="Line 8">
            <a:extLst>
              <a:ext uri="{FF2B5EF4-FFF2-40B4-BE49-F238E27FC236}">
                <a16:creationId xmlns:a16="http://schemas.microsoft.com/office/drawing/2014/main" id="{EF65A2AF-CA82-46B0-A132-D4348F4553F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18</xdr:col>
      <xdr:colOff>9525</xdr:colOff>
      <xdr:row>16</xdr:row>
      <xdr:rowOff>142875</xdr:rowOff>
    </xdr:to>
    <xdr:grpSp>
      <xdr:nvGrpSpPr>
        <xdr:cNvPr id="6421" name="Group 9">
          <a:extLst>
            <a:ext uri="{FF2B5EF4-FFF2-40B4-BE49-F238E27FC236}">
              <a16:creationId xmlns:a16="http://schemas.microsoft.com/office/drawing/2014/main" id="{22C2A1A1-58EF-4FB3-8E47-9869D2C5BD3E}"/>
            </a:ext>
          </a:extLst>
        </xdr:cNvPr>
        <xdr:cNvGrpSpPr>
          <a:grpSpLocks/>
        </xdr:cNvGrpSpPr>
      </xdr:nvGrpSpPr>
      <xdr:grpSpPr bwMode="auto">
        <a:xfrm>
          <a:off x="1943100" y="6410325"/>
          <a:ext cx="3781425" cy="47625"/>
          <a:chOff x="158" y="715"/>
          <a:chExt cx="33" cy="5"/>
        </a:xfrm>
      </xdr:grpSpPr>
      <xdr:sp macro="" textlink="">
        <xdr:nvSpPr>
          <xdr:cNvPr id="6554" name="Line 10">
            <a:extLst>
              <a:ext uri="{FF2B5EF4-FFF2-40B4-BE49-F238E27FC236}">
                <a16:creationId xmlns:a16="http://schemas.microsoft.com/office/drawing/2014/main" id="{2B6D67BB-E651-48A0-9F1E-3F56C4E3F77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55" name="Line 11">
            <a:extLst>
              <a:ext uri="{FF2B5EF4-FFF2-40B4-BE49-F238E27FC236}">
                <a16:creationId xmlns:a16="http://schemas.microsoft.com/office/drawing/2014/main" id="{71C2C024-83F1-4E74-86DA-FE0401B7EB3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6422" name="Line 12">
          <a:extLst>
            <a:ext uri="{FF2B5EF4-FFF2-40B4-BE49-F238E27FC236}">
              <a16:creationId xmlns:a16="http://schemas.microsoft.com/office/drawing/2014/main" id="{83F9CD7A-777B-4421-AC0F-FD8701EBB9A6}"/>
            </a:ext>
          </a:extLst>
        </xdr:cNvPr>
        <xdr:cNvSpPr>
          <a:spLocks noChangeShapeType="1"/>
        </xdr:cNvSpPr>
      </xdr:nvSpPr>
      <xdr:spPr bwMode="auto">
        <a:xfrm>
          <a:off x="1314450" y="6657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17</xdr:row>
      <xdr:rowOff>95250</xdr:rowOff>
    </xdr:from>
    <xdr:to>
      <xdr:col>18</xdr:col>
      <xdr:colOff>0</xdr:colOff>
      <xdr:row>17</xdr:row>
      <xdr:rowOff>142875</xdr:rowOff>
    </xdr:to>
    <xdr:grpSp>
      <xdr:nvGrpSpPr>
        <xdr:cNvPr id="6423" name="Group 13">
          <a:extLst>
            <a:ext uri="{FF2B5EF4-FFF2-40B4-BE49-F238E27FC236}">
              <a16:creationId xmlns:a16="http://schemas.microsoft.com/office/drawing/2014/main" id="{62B27871-76E6-41B0-914A-D6F725FAACC5}"/>
            </a:ext>
          </a:extLst>
        </xdr:cNvPr>
        <xdr:cNvGrpSpPr>
          <a:grpSpLocks/>
        </xdr:cNvGrpSpPr>
      </xdr:nvGrpSpPr>
      <xdr:grpSpPr bwMode="auto">
        <a:xfrm>
          <a:off x="3200400" y="6638925"/>
          <a:ext cx="2514600" cy="47625"/>
          <a:chOff x="158" y="715"/>
          <a:chExt cx="33" cy="5"/>
        </a:xfrm>
      </xdr:grpSpPr>
      <xdr:sp macro="" textlink="">
        <xdr:nvSpPr>
          <xdr:cNvPr id="6552" name="Line 14">
            <a:extLst>
              <a:ext uri="{FF2B5EF4-FFF2-40B4-BE49-F238E27FC236}">
                <a16:creationId xmlns:a16="http://schemas.microsoft.com/office/drawing/2014/main" id="{0713AA2E-48F1-4FFD-B162-D1170629B90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53" name="Line 15">
            <a:extLst>
              <a:ext uri="{FF2B5EF4-FFF2-40B4-BE49-F238E27FC236}">
                <a16:creationId xmlns:a16="http://schemas.microsoft.com/office/drawing/2014/main" id="{3EA8320B-DA28-43DB-A0AB-55F0A2FC9F5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17</xdr:row>
      <xdr:rowOff>47625</xdr:rowOff>
    </xdr:from>
    <xdr:to>
      <xdr:col>10</xdr:col>
      <xdr:colOff>0</xdr:colOff>
      <xdr:row>17</xdr:row>
      <xdr:rowOff>190500</xdr:rowOff>
    </xdr:to>
    <xdr:sp macro="" textlink="">
      <xdr:nvSpPr>
        <xdr:cNvPr id="6424" name="Freeform 16">
          <a:extLst>
            <a:ext uri="{FF2B5EF4-FFF2-40B4-BE49-F238E27FC236}">
              <a16:creationId xmlns:a16="http://schemas.microsoft.com/office/drawing/2014/main" id="{CD2BD7F8-917F-40A8-820D-987F069E41A8}"/>
            </a:ext>
          </a:extLst>
        </xdr:cNvPr>
        <xdr:cNvSpPr>
          <a:spLocks/>
        </xdr:cNvSpPr>
      </xdr:nvSpPr>
      <xdr:spPr bwMode="auto">
        <a:xfrm>
          <a:off x="2895600" y="6591300"/>
          <a:ext cx="304800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95250</xdr:rowOff>
    </xdr:from>
    <xdr:to>
      <xdr:col>9</xdr:col>
      <xdr:colOff>0</xdr:colOff>
      <xdr:row>17</xdr:row>
      <xdr:rowOff>142875</xdr:rowOff>
    </xdr:to>
    <xdr:grpSp>
      <xdr:nvGrpSpPr>
        <xdr:cNvPr id="6425" name="Group 17">
          <a:extLst>
            <a:ext uri="{FF2B5EF4-FFF2-40B4-BE49-F238E27FC236}">
              <a16:creationId xmlns:a16="http://schemas.microsoft.com/office/drawing/2014/main" id="{0A634070-0621-4D15-AA3A-C9DB10153523}"/>
            </a:ext>
          </a:extLst>
        </xdr:cNvPr>
        <xdr:cNvGrpSpPr>
          <a:grpSpLocks/>
        </xdr:cNvGrpSpPr>
      </xdr:nvGrpSpPr>
      <xdr:grpSpPr bwMode="auto">
        <a:xfrm>
          <a:off x="2571750" y="6638925"/>
          <a:ext cx="314325" cy="47625"/>
          <a:chOff x="158" y="715"/>
          <a:chExt cx="33" cy="5"/>
        </a:xfrm>
      </xdr:grpSpPr>
      <xdr:sp macro="" textlink="">
        <xdr:nvSpPr>
          <xdr:cNvPr id="6550" name="Line 18">
            <a:extLst>
              <a:ext uri="{FF2B5EF4-FFF2-40B4-BE49-F238E27FC236}">
                <a16:creationId xmlns:a16="http://schemas.microsoft.com/office/drawing/2014/main" id="{855415A8-6673-4BD6-8599-A7F8A04B490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51" name="Line 19">
            <a:extLst>
              <a:ext uri="{FF2B5EF4-FFF2-40B4-BE49-F238E27FC236}">
                <a16:creationId xmlns:a16="http://schemas.microsoft.com/office/drawing/2014/main" id="{2EC29CA0-D9D5-48F4-B373-610779D80B2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123825</xdr:colOff>
      <xdr:row>15</xdr:row>
      <xdr:rowOff>266700</xdr:rowOff>
    </xdr:from>
    <xdr:to>
      <xdr:col>14</xdr:col>
      <xdr:colOff>114300</xdr:colOff>
      <xdr:row>15</xdr:row>
      <xdr:rowOff>1276350</xdr:rowOff>
    </xdr:to>
    <xdr:grpSp>
      <xdr:nvGrpSpPr>
        <xdr:cNvPr id="6426" name="Group 20">
          <a:extLst>
            <a:ext uri="{FF2B5EF4-FFF2-40B4-BE49-F238E27FC236}">
              <a16:creationId xmlns:a16="http://schemas.microsoft.com/office/drawing/2014/main" id="{025F1649-0A0A-4D26-9B59-7861C0D66DAA}"/>
            </a:ext>
          </a:extLst>
        </xdr:cNvPr>
        <xdr:cNvGrpSpPr>
          <a:grpSpLocks/>
        </xdr:cNvGrpSpPr>
      </xdr:nvGrpSpPr>
      <xdr:grpSpPr bwMode="auto">
        <a:xfrm>
          <a:off x="3638550" y="5000625"/>
          <a:ext cx="933450" cy="1009650"/>
          <a:chOff x="336" y="565"/>
          <a:chExt cx="105" cy="106"/>
        </a:xfrm>
      </xdr:grpSpPr>
      <xdr:grpSp>
        <xdr:nvGrpSpPr>
          <xdr:cNvPr id="6524" name="Group 21">
            <a:extLst>
              <a:ext uri="{FF2B5EF4-FFF2-40B4-BE49-F238E27FC236}">
                <a16:creationId xmlns:a16="http://schemas.microsoft.com/office/drawing/2014/main" id="{36174127-A06C-4B5A-9C67-D9251411C48F}"/>
              </a:ext>
            </a:extLst>
          </xdr:cNvPr>
          <xdr:cNvGrpSpPr>
            <a:grpSpLocks/>
          </xdr:cNvGrpSpPr>
        </xdr:nvGrpSpPr>
        <xdr:grpSpPr bwMode="auto">
          <a:xfrm rot="5400000">
            <a:off x="300" y="615"/>
            <a:ext cx="77" cy="6"/>
            <a:chOff x="123" y="549"/>
            <a:chExt cx="77" cy="6"/>
          </a:xfrm>
        </xdr:grpSpPr>
        <xdr:sp macro="" textlink="">
          <xdr:nvSpPr>
            <xdr:cNvPr id="6547" name="Line 22">
              <a:extLst>
                <a:ext uri="{FF2B5EF4-FFF2-40B4-BE49-F238E27FC236}">
                  <a16:creationId xmlns:a16="http://schemas.microsoft.com/office/drawing/2014/main" id="{529FA63F-E214-4CDE-8DC5-FF59682805A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548" name="Freeform 23">
              <a:extLst>
                <a:ext uri="{FF2B5EF4-FFF2-40B4-BE49-F238E27FC236}">
                  <a16:creationId xmlns:a16="http://schemas.microsoft.com/office/drawing/2014/main" id="{471CB46C-EEF9-4545-8B35-6206BF658523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549" name="Freeform 24">
              <a:extLst>
                <a:ext uri="{FF2B5EF4-FFF2-40B4-BE49-F238E27FC236}">
                  <a16:creationId xmlns:a16="http://schemas.microsoft.com/office/drawing/2014/main" id="{854EE05B-6BD7-4CD4-843D-6906D3B88660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2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6525" name="Group 25">
            <a:extLst>
              <a:ext uri="{FF2B5EF4-FFF2-40B4-BE49-F238E27FC236}">
                <a16:creationId xmlns:a16="http://schemas.microsoft.com/office/drawing/2014/main" id="{77D5BEF7-7E51-48DD-BCC6-21749E9012AB}"/>
              </a:ext>
            </a:extLst>
          </xdr:cNvPr>
          <xdr:cNvGrpSpPr>
            <a:grpSpLocks/>
          </xdr:cNvGrpSpPr>
        </xdr:nvGrpSpPr>
        <xdr:grpSpPr bwMode="auto">
          <a:xfrm rot="-5400000">
            <a:off x="319" y="602"/>
            <a:ext cx="105" cy="32"/>
            <a:chOff x="110" y="567"/>
            <a:chExt cx="105" cy="32"/>
          </a:xfrm>
        </xdr:grpSpPr>
        <xdr:sp macro="" textlink="">
          <xdr:nvSpPr>
            <xdr:cNvPr id="6539" name="Line 26">
              <a:extLst>
                <a:ext uri="{FF2B5EF4-FFF2-40B4-BE49-F238E27FC236}">
                  <a16:creationId xmlns:a16="http://schemas.microsoft.com/office/drawing/2014/main" id="{70F650B5-D65D-4477-8716-3D5395AC76B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540" name="Freeform 27">
              <a:extLst>
                <a:ext uri="{FF2B5EF4-FFF2-40B4-BE49-F238E27FC236}">
                  <a16:creationId xmlns:a16="http://schemas.microsoft.com/office/drawing/2014/main" id="{5033FCFB-2CB0-4100-A0A2-33B9B875795A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541" name="Freeform 28">
              <a:extLst>
                <a:ext uri="{FF2B5EF4-FFF2-40B4-BE49-F238E27FC236}">
                  <a16:creationId xmlns:a16="http://schemas.microsoft.com/office/drawing/2014/main" id="{324C0735-1E08-48C5-86A2-AD1D95BE0B54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0 w 203"/>
                <a:gd name="T1" fmla="*/ 0 h 199"/>
                <a:gd name="T2" fmla="*/ 0 w 203"/>
                <a:gd name="T3" fmla="*/ 0 h 199"/>
                <a:gd name="T4" fmla="*/ 0 w 203"/>
                <a:gd name="T5" fmla="*/ 0 h 199"/>
                <a:gd name="T6" fmla="*/ 0 w 203"/>
                <a:gd name="T7" fmla="*/ 0 h 199"/>
                <a:gd name="T8" fmla="*/ 0 w 203"/>
                <a:gd name="T9" fmla="*/ 0 h 199"/>
                <a:gd name="T10" fmla="*/ 0 w 203"/>
                <a:gd name="T11" fmla="*/ 0 h 199"/>
                <a:gd name="T12" fmla="*/ 0 w 203"/>
                <a:gd name="T13" fmla="*/ 0 h 199"/>
                <a:gd name="T14" fmla="*/ 0 w 203"/>
                <a:gd name="T15" fmla="*/ 0 h 199"/>
                <a:gd name="T16" fmla="*/ 0 w 203"/>
                <a:gd name="T17" fmla="*/ 0 h 199"/>
                <a:gd name="T18" fmla="*/ 0 w 203"/>
                <a:gd name="T19" fmla="*/ 0 h 199"/>
                <a:gd name="T20" fmla="*/ 0 w 203"/>
                <a:gd name="T21" fmla="*/ 0 h 199"/>
                <a:gd name="T22" fmla="*/ 0 w 203"/>
                <a:gd name="T23" fmla="*/ 0 h 199"/>
                <a:gd name="T24" fmla="*/ 0 w 203"/>
                <a:gd name="T25" fmla="*/ 0 h 199"/>
                <a:gd name="T26" fmla="*/ 0 w 203"/>
                <a:gd name="T27" fmla="*/ 0 h 199"/>
                <a:gd name="T28" fmla="*/ 0 w 203"/>
                <a:gd name="T29" fmla="*/ 0 h 199"/>
                <a:gd name="T30" fmla="*/ 0 w 203"/>
                <a:gd name="T31" fmla="*/ 0 h 199"/>
                <a:gd name="T32" fmla="*/ 0 w 203"/>
                <a:gd name="T33" fmla="*/ 0 h 199"/>
                <a:gd name="T34" fmla="*/ 0 w 203"/>
                <a:gd name="T35" fmla="*/ 0 h 199"/>
                <a:gd name="T36" fmla="*/ 0 w 203"/>
                <a:gd name="T37" fmla="*/ 0 h 199"/>
                <a:gd name="T38" fmla="*/ 0 w 203"/>
                <a:gd name="T39" fmla="*/ 0 h 199"/>
                <a:gd name="T40" fmla="*/ 0 w 203"/>
                <a:gd name="T41" fmla="*/ 0 h 199"/>
                <a:gd name="T42" fmla="*/ 0 w 203"/>
                <a:gd name="T43" fmla="*/ 0 h 199"/>
                <a:gd name="T44" fmla="*/ 0 w 203"/>
                <a:gd name="T45" fmla="*/ 0 h 199"/>
                <a:gd name="T46" fmla="*/ 0 w 203"/>
                <a:gd name="T47" fmla="*/ 0 h 199"/>
                <a:gd name="T48" fmla="*/ 0 w 203"/>
                <a:gd name="T49" fmla="*/ 0 h 199"/>
                <a:gd name="T50" fmla="*/ 0 w 203"/>
                <a:gd name="T51" fmla="*/ 0 h 199"/>
                <a:gd name="T52" fmla="*/ 0 w 203"/>
                <a:gd name="T53" fmla="*/ 0 h 199"/>
                <a:gd name="T54" fmla="*/ 0 w 203"/>
                <a:gd name="T55" fmla="*/ 0 h 199"/>
                <a:gd name="T56" fmla="*/ 0 w 203"/>
                <a:gd name="T57" fmla="*/ 0 h 199"/>
                <a:gd name="T58" fmla="*/ 0 w 203"/>
                <a:gd name="T59" fmla="*/ 0 h 199"/>
                <a:gd name="T60" fmla="*/ 0 w 203"/>
                <a:gd name="T61" fmla="*/ 0 h 199"/>
                <a:gd name="T62" fmla="*/ 0 w 203"/>
                <a:gd name="T63" fmla="*/ 0 h 199"/>
                <a:gd name="T64" fmla="*/ 0 w 203"/>
                <a:gd name="T65" fmla="*/ 0 h 199"/>
                <a:gd name="T66" fmla="*/ 0 w 203"/>
                <a:gd name="T67" fmla="*/ 0 h 199"/>
                <a:gd name="T68" fmla="*/ 0 w 203"/>
                <a:gd name="T69" fmla="*/ 0 h 199"/>
                <a:gd name="T70" fmla="*/ 0 w 203"/>
                <a:gd name="T71" fmla="*/ 0 h 199"/>
                <a:gd name="T72" fmla="*/ 0 w 203"/>
                <a:gd name="T73" fmla="*/ 0 h 199"/>
                <a:gd name="T74" fmla="*/ 0 w 203"/>
                <a:gd name="T75" fmla="*/ 0 h 199"/>
                <a:gd name="T76" fmla="*/ 0 w 203"/>
                <a:gd name="T77" fmla="*/ 0 h 199"/>
                <a:gd name="T78" fmla="*/ 0 w 203"/>
                <a:gd name="T79" fmla="*/ 0 h 199"/>
                <a:gd name="T80" fmla="*/ 0 w 203"/>
                <a:gd name="T81" fmla="*/ 0 h 199"/>
                <a:gd name="T82" fmla="*/ 0 w 203"/>
                <a:gd name="T83" fmla="*/ 0 h 199"/>
                <a:gd name="T84" fmla="*/ 0 w 203"/>
                <a:gd name="T85" fmla="*/ 0 h 199"/>
                <a:gd name="T86" fmla="*/ 0 w 203"/>
                <a:gd name="T87" fmla="*/ 0 h 199"/>
                <a:gd name="T88" fmla="*/ 0 w 203"/>
                <a:gd name="T89" fmla="*/ 0 h 199"/>
                <a:gd name="T90" fmla="*/ 0 w 203"/>
                <a:gd name="T91" fmla="*/ 0 h 199"/>
                <a:gd name="T92" fmla="*/ 0 w 203"/>
                <a:gd name="T93" fmla="*/ 0 h 199"/>
                <a:gd name="T94" fmla="*/ 0 w 203"/>
                <a:gd name="T95" fmla="*/ 0 h 199"/>
                <a:gd name="T96" fmla="*/ 0 w 203"/>
                <a:gd name="T97" fmla="*/ 0 h 199"/>
                <a:gd name="T98" fmla="*/ 0 w 203"/>
                <a:gd name="T99" fmla="*/ 0 h 199"/>
                <a:gd name="T100" fmla="*/ 0 w 203"/>
                <a:gd name="T101" fmla="*/ 0 h 199"/>
                <a:gd name="T102" fmla="*/ 0 w 203"/>
                <a:gd name="T103" fmla="*/ 0 h 199"/>
                <a:gd name="T104" fmla="*/ 0 w 203"/>
                <a:gd name="T105" fmla="*/ 0 h 199"/>
                <a:gd name="T106" fmla="*/ 0 w 203"/>
                <a:gd name="T107" fmla="*/ 0 h 199"/>
                <a:gd name="T108" fmla="*/ 0 w 203"/>
                <a:gd name="T109" fmla="*/ 0 h 199"/>
                <a:gd name="T110" fmla="*/ 0 w 203"/>
                <a:gd name="T111" fmla="*/ 0 h 199"/>
                <a:gd name="T112" fmla="*/ 0 w 203"/>
                <a:gd name="T113" fmla="*/ 0 h 199"/>
                <a:gd name="T114" fmla="*/ 0 w 203"/>
                <a:gd name="T115" fmla="*/ 0 h 199"/>
                <a:gd name="T116" fmla="*/ 0 w 203"/>
                <a:gd name="T117" fmla="*/ 0 h 199"/>
                <a:gd name="T118" fmla="*/ 0 w 203"/>
                <a:gd name="T119" fmla="*/ 0 h 199"/>
                <a:gd name="T120" fmla="*/ 0 w 203"/>
                <a:gd name="T121" fmla="*/ 0 h 199"/>
                <a:gd name="T122" fmla="*/ 0 w 20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542" name="Line 29">
              <a:extLst>
                <a:ext uri="{FF2B5EF4-FFF2-40B4-BE49-F238E27FC236}">
                  <a16:creationId xmlns:a16="http://schemas.microsoft.com/office/drawing/2014/main" id="{0580D47A-5AE6-4D2F-88C3-837D312657B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543" name="Freeform 30">
              <a:extLst>
                <a:ext uri="{FF2B5EF4-FFF2-40B4-BE49-F238E27FC236}">
                  <a16:creationId xmlns:a16="http://schemas.microsoft.com/office/drawing/2014/main" id="{5B1CB7C1-C126-4347-BB60-2D775CF27E97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0 w 207"/>
                <a:gd name="T1" fmla="*/ 0 h 176"/>
                <a:gd name="T2" fmla="*/ 0 w 207"/>
                <a:gd name="T3" fmla="*/ 0 h 176"/>
                <a:gd name="T4" fmla="*/ 0 w 207"/>
                <a:gd name="T5" fmla="*/ 0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544" name="Freeform 31">
              <a:extLst>
                <a:ext uri="{FF2B5EF4-FFF2-40B4-BE49-F238E27FC236}">
                  <a16:creationId xmlns:a16="http://schemas.microsoft.com/office/drawing/2014/main" id="{578E4814-82B4-43C2-856F-44A904C7A356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0 w 201"/>
                <a:gd name="T5" fmla="*/ 0 h 202"/>
                <a:gd name="T6" fmla="*/ 0 w 201"/>
                <a:gd name="T7" fmla="*/ 0 h 202"/>
                <a:gd name="T8" fmla="*/ 0 w 201"/>
                <a:gd name="T9" fmla="*/ 0 h 202"/>
                <a:gd name="T10" fmla="*/ 0 w 201"/>
                <a:gd name="T11" fmla="*/ 0 h 202"/>
                <a:gd name="T12" fmla="*/ 0 w 201"/>
                <a:gd name="T13" fmla="*/ 0 h 202"/>
                <a:gd name="T14" fmla="*/ 0 w 201"/>
                <a:gd name="T15" fmla="*/ 0 h 202"/>
                <a:gd name="T16" fmla="*/ 0 w 201"/>
                <a:gd name="T17" fmla="*/ 0 h 202"/>
                <a:gd name="T18" fmla="*/ 0 w 201"/>
                <a:gd name="T19" fmla="*/ 0 h 202"/>
                <a:gd name="T20" fmla="*/ 0 w 201"/>
                <a:gd name="T21" fmla="*/ 0 h 202"/>
                <a:gd name="T22" fmla="*/ 0 w 201"/>
                <a:gd name="T23" fmla="*/ 0 h 202"/>
                <a:gd name="T24" fmla="*/ 0 w 201"/>
                <a:gd name="T25" fmla="*/ 0 h 202"/>
                <a:gd name="T26" fmla="*/ 0 w 201"/>
                <a:gd name="T27" fmla="*/ 0 h 202"/>
                <a:gd name="T28" fmla="*/ 0 w 201"/>
                <a:gd name="T29" fmla="*/ 0 h 202"/>
                <a:gd name="T30" fmla="*/ 0 w 201"/>
                <a:gd name="T31" fmla="*/ 0 h 202"/>
                <a:gd name="T32" fmla="*/ 0 w 201"/>
                <a:gd name="T33" fmla="*/ 0 h 202"/>
                <a:gd name="T34" fmla="*/ 0 w 201"/>
                <a:gd name="T35" fmla="*/ 0 h 202"/>
                <a:gd name="T36" fmla="*/ 0 w 201"/>
                <a:gd name="T37" fmla="*/ 0 h 202"/>
                <a:gd name="T38" fmla="*/ 0 w 201"/>
                <a:gd name="T39" fmla="*/ 0 h 202"/>
                <a:gd name="T40" fmla="*/ 0 w 201"/>
                <a:gd name="T41" fmla="*/ 0 h 202"/>
                <a:gd name="T42" fmla="*/ 0 w 201"/>
                <a:gd name="T43" fmla="*/ 0 h 202"/>
                <a:gd name="T44" fmla="*/ 0 w 201"/>
                <a:gd name="T45" fmla="*/ 0 h 202"/>
                <a:gd name="T46" fmla="*/ 0 w 201"/>
                <a:gd name="T47" fmla="*/ 0 h 202"/>
                <a:gd name="T48" fmla="*/ 0 w 201"/>
                <a:gd name="T49" fmla="*/ 0 h 202"/>
                <a:gd name="T50" fmla="*/ 0 w 201"/>
                <a:gd name="T51" fmla="*/ 0 h 202"/>
                <a:gd name="T52" fmla="*/ 0 w 201"/>
                <a:gd name="T53" fmla="*/ 0 h 202"/>
                <a:gd name="T54" fmla="*/ 0 w 201"/>
                <a:gd name="T55" fmla="*/ 0 h 202"/>
                <a:gd name="T56" fmla="*/ 0 w 201"/>
                <a:gd name="T57" fmla="*/ 0 h 202"/>
                <a:gd name="T58" fmla="*/ 0 w 201"/>
                <a:gd name="T59" fmla="*/ 0 h 202"/>
                <a:gd name="T60" fmla="*/ 0 w 201"/>
                <a:gd name="T61" fmla="*/ 0 h 202"/>
                <a:gd name="T62" fmla="*/ 0 w 201"/>
                <a:gd name="T63" fmla="*/ 0 h 202"/>
                <a:gd name="T64" fmla="*/ 0 w 201"/>
                <a:gd name="T65" fmla="*/ 0 h 202"/>
                <a:gd name="T66" fmla="*/ 0 w 201"/>
                <a:gd name="T67" fmla="*/ 0 h 202"/>
                <a:gd name="T68" fmla="*/ 0 w 201"/>
                <a:gd name="T69" fmla="*/ 0 h 202"/>
                <a:gd name="T70" fmla="*/ 0 w 201"/>
                <a:gd name="T71" fmla="*/ 0 h 202"/>
                <a:gd name="T72" fmla="*/ 0 w 201"/>
                <a:gd name="T73" fmla="*/ 0 h 202"/>
                <a:gd name="T74" fmla="*/ 0 w 201"/>
                <a:gd name="T75" fmla="*/ 0 h 202"/>
                <a:gd name="T76" fmla="*/ 0 w 201"/>
                <a:gd name="T77" fmla="*/ 0 h 202"/>
                <a:gd name="T78" fmla="*/ 0 w 201"/>
                <a:gd name="T79" fmla="*/ 0 h 202"/>
                <a:gd name="T80" fmla="*/ 0 w 201"/>
                <a:gd name="T81" fmla="*/ 0 h 202"/>
                <a:gd name="T82" fmla="*/ 0 w 201"/>
                <a:gd name="T83" fmla="*/ 0 h 202"/>
                <a:gd name="T84" fmla="*/ 0 w 201"/>
                <a:gd name="T85" fmla="*/ 0 h 202"/>
                <a:gd name="T86" fmla="*/ 0 w 201"/>
                <a:gd name="T87" fmla="*/ 0 h 202"/>
                <a:gd name="T88" fmla="*/ 0 w 201"/>
                <a:gd name="T89" fmla="*/ 0 h 202"/>
                <a:gd name="T90" fmla="*/ 0 w 201"/>
                <a:gd name="T91" fmla="*/ 0 h 202"/>
                <a:gd name="T92" fmla="*/ 0 w 201"/>
                <a:gd name="T93" fmla="*/ 0 h 202"/>
                <a:gd name="T94" fmla="*/ 0 w 201"/>
                <a:gd name="T95" fmla="*/ 0 h 202"/>
                <a:gd name="T96" fmla="*/ 0 w 201"/>
                <a:gd name="T97" fmla="*/ 0 h 202"/>
                <a:gd name="T98" fmla="*/ 0 w 201"/>
                <a:gd name="T99" fmla="*/ 0 h 202"/>
                <a:gd name="T100" fmla="*/ 0 w 201"/>
                <a:gd name="T101" fmla="*/ 0 h 202"/>
                <a:gd name="T102" fmla="*/ 0 w 201"/>
                <a:gd name="T103" fmla="*/ 0 h 202"/>
                <a:gd name="T104" fmla="*/ 0 w 201"/>
                <a:gd name="T105" fmla="*/ 0 h 202"/>
                <a:gd name="T106" fmla="*/ 0 w 201"/>
                <a:gd name="T107" fmla="*/ 0 h 202"/>
                <a:gd name="T108" fmla="*/ 0 w 201"/>
                <a:gd name="T109" fmla="*/ 0 h 202"/>
                <a:gd name="T110" fmla="*/ 0 w 201"/>
                <a:gd name="T111" fmla="*/ 0 h 202"/>
                <a:gd name="T112" fmla="*/ 0 w 201"/>
                <a:gd name="T113" fmla="*/ 0 h 202"/>
                <a:gd name="T114" fmla="*/ 0 w 201"/>
                <a:gd name="T115" fmla="*/ 0 h 202"/>
                <a:gd name="T116" fmla="*/ 0 w 201"/>
                <a:gd name="T117" fmla="*/ 0 h 202"/>
                <a:gd name="T118" fmla="*/ 0 w 201"/>
                <a:gd name="T119" fmla="*/ 0 h 202"/>
                <a:gd name="T120" fmla="*/ 0 w 201"/>
                <a:gd name="T121" fmla="*/ 0 h 202"/>
                <a:gd name="T122" fmla="*/ 0 w 201"/>
                <a:gd name="T123" fmla="*/ 0 h 202"/>
                <a:gd name="T124" fmla="*/ 0 w 201"/>
                <a:gd name="T125" fmla="*/ 0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545" name="Line 32">
              <a:extLst>
                <a:ext uri="{FF2B5EF4-FFF2-40B4-BE49-F238E27FC236}">
                  <a16:creationId xmlns:a16="http://schemas.microsoft.com/office/drawing/2014/main" id="{5ECB3ADC-C70C-4F77-8B3B-54D58DDA40F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546" name="Freeform 33">
              <a:extLst>
                <a:ext uri="{FF2B5EF4-FFF2-40B4-BE49-F238E27FC236}">
                  <a16:creationId xmlns:a16="http://schemas.microsoft.com/office/drawing/2014/main" id="{AD9F6D9F-F7C7-4AE3-B3E1-2EF1DFC9ED69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0 w 208"/>
                <a:gd name="T1" fmla="*/ 0 h 177"/>
                <a:gd name="T2" fmla="*/ 0 w 208"/>
                <a:gd name="T3" fmla="*/ 0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6526" name="Group 34">
            <a:extLst>
              <a:ext uri="{FF2B5EF4-FFF2-40B4-BE49-F238E27FC236}">
                <a16:creationId xmlns:a16="http://schemas.microsoft.com/office/drawing/2014/main" id="{BABC1411-59AE-42CF-B261-5ACC0D7EDD11}"/>
              </a:ext>
            </a:extLst>
          </xdr:cNvPr>
          <xdr:cNvGrpSpPr>
            <a:grpSpLocks/>
          </xdr:cNvGrpSpPr>
        </xdr:nvGrpSpPr>
        <xdr:grpSpPr bwMode="auto">
          <a:xfrm rot="5400000">
            <a:off x="399" y="613"/>
            <a:ext cx="77" cy="6"/>
            <a:chOff x="123" y="549"/>
            <a:chExt cx="77" cy="6"/>
          </a:xfrm>
        </xdr:grpSpPr>
        <xdr:sp macro="" textlink="">
          <xdr:nvSpPr>
            <xdr:cNvPr id="6536" name="Line 35">
              <a:extLst>
                <a:ext uri="{FF2B5EF4-FFF2-40B4-BE49-F238E27FC236}">
                  <a16:creationId xmlns:a16="http://schemas.microsoft.com/office/drawing/2014/main" id="{A1AD4328-131A-4F5C-9A3E-AD377D26B9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537" name="Freeform 36">
              <a:extLst>
                <a:ext uri="{FF2B5EF4-FFF2-40B4-BE49-F238E27FC236}">
                  <a16:creationId xmlns:a16="http://schemas.microsoft.com/office/drawing/2014/main" id="{290733C7-68B5-4990-AD4E-2F62F37920F4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538" name="Freeform 37">
              <a:extLst>
                <a:ext uri="{FF2B5EF4-FFF2-40B4-BE49-F238E27FC236}">
                  <a16:creationId xmlns:a16="http://schemas.microsoft.com/office/drawing/2014/main" id="{742E5719-5A77-4C1F-9DFF-79171A71BCD6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2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6527" name="Group 38">
            <a:extLst>
              <a:ext uri="{FF2B5EF4-FFF2-40B4-BE49-F238E27FC236}">
                <a16:creationId xmlns:a16="http://schemas.microsoft.com/office/drawing/2014/main" id="{86A42A12-8A60-4AEF-A2AE-86574635C253}"/>
              </a:ext>
            </a:extLst>
          </xdr:cNvPr>
          <xdr:cNvGrpSpPr>
            <a:grpSpLocks/>
          </xdr:cNvGrpSpPr>
        </xdr:nvGrpSpPr>
        <xdr:grpSpPr bwMode="auto">
          <a:xfrm rot="5400000">
            <a:off x="355" y="603"/>
            <a:ext cx="105" cy="32"/>
            <a:chOff x="110" y="567"/>
            <a:chExt cx="105" cy="32"/>
          </a:xfrm>
        </xdr:grpSpPr>
        <xdr:sp macro="" textlink="">
          <xdr:nvSpPr>
            <xdr:cNvPr id="6528" name="Line 39">
              <a:extLst>
                <a:ext uri="{FF2B5EF4-FFF2-40B4-BE49-F238E27FC236}">
                  <a16:creationId xmlns:a16="http://schemas.microsoft.com/office/drawing/2014/main" id="{9EA5B6B7-3F73-491F-A7FC-3872279852E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529" name="Freeform 40">
              <a:extLst>
                <a:ext uri="{FF2B5EF4-FFF2-40B4-BE49-F238E27FC236}">
                  <a16:creationId xmlns:a16="http://schemas.microsoft.com/office/drawing/2014/main" id="{FD08256D-60D0-40C0-A5BA-2D7E56F1BF82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530" name="Freeform 41">
              <a:extLst>
                <a:ext uri="{FF2B5EF4-FFF2-40B4-BE49-F238E27FC236}">
                  <a16:creationId xmlns:a16="http://schemas.microsoft.com/office/drawing/2014/main" id="{247D56F8-42A6-4C72-830D-231A92A2C510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0 w 203"/>
                <a:gd name="T1" fmla="*/ 0 h 199"/>
                <a:gd name="T2" fmla="*/ 0 w 203"/>
                <a:gd name="T3" fmla="*/ 0 h 199"/>
                <a:gd name="T4" fmla="*/ 0 w 203"/>
                <a:gd name="T5" fmla="*/ 0 h 199"/>
                <a:gd name="T6" fmla="*/ 0 w 203"/>
                <a:gd name="T7" fmla="*/ 0 h 199"/>
                <a:gd name="T8" fmla="*/ 0 w 203"/>
                <a:gd name="T9" fmla="*/ 0 h 199"/>
                <a:gd name="T10" fmla="*/ 0 w 203"/>
                <a:gd name="T11" fmla="*/ 0 h 199"/>
                <a:gd name="T12" fmla="*/ 0 w 203"/>
                <a:gd name="T13" fmla="*/ 0 h 199"/>
                <a:gd name="T14" fmla="*/ 0 w 203"/>
                <a:gd name="T15" fmla="*/ 0 h 199"/>
                <a:gd name="T16" fmla="*/ 0 w 203"/>
                <a:gd name="T17" fmla="*/ 0 h 199"/>
                <a:gd name="T18" fmla="*/ 0 w 203"/>
                <a:gd name="T19" fmla="*/ 0 h 199"/>
                <a:gd name="T20" fmla="*/ 0 w 203"/>
                <a:gd name="T21" fmla="*/ 0 h 199"/>
                <a:gd name="T22" fmla="*/ 0 w 203"/>
                <a:gd name="T23" fmla="*/ 0 h 199"/>
                <a:gd name="T24" fmla="*/ 0 w 203"/>
                <a:gd name="T25" fmla="*/ 0 h 199"/>
                <a:gd name="T26" fmla="*/ 0 w 203"/>
                <a:gd name="T27" fmla="*/ 0 h 199"/>
                <a:gd name="T28" fmla="*/ 0 w 203"/>
                <a:gd name="T29" fmla="*/ 0 h 199"/>
                <a:gd name="T30" fmla="*/ 0 w 203"/>
                <a:gd name="T31" fmla="*/ 0 h 199"/>
                <a:gd name="T32" fmla="*/ 0 w 203"/>
                <a:gd name="T33" fmla="*/ 0 h 199"/>
                <a:gd name="T34" fmla="*/ 0 w 203"/>
                <a:gd name="T35" fmla="*/ 0 h 199"/>
                <a:gd name="T36" fmla="*/ 0 w 203"/>
                <a:gd name="T37" fmla="*/ 0 h 199"/>
                <a:gd name="T38" fmla="*/ 0 w 203"/>
                <a:gd name="T39" fmla="*/ 0 h 199"/>
                <a:gd name="T40" fmla="*/ 0 w 203"/>
                <a:gd name="T41" fmla="*/ 0 h 199"/>
                <a:gd name="T42" fmla="*/ 0 w 203"/>
                <a:gd name="T43" fmla="*/ 0 h 199"/>
                <a:gd name="T44" fmla="*/ 0 w 203"/>
                <a:gd name="T45" fmla="*/ 0 h 199"/>
                <a:gd name="T46" fmla="*/ 0 w 203"/>
                <a:gd name="T47" fmla="*/ 0 h 199"/>
                <a:gd name="T48" fmla="*/ 0 w 203"/>
                <a:gd name="T49" fmla="*/ 0 h 199"/>
                <a:gd name="T50" fmla="*/ 0 w 203"/>
                <a:gd name="T51" fmla="*/ 0 h 199"/>
                <a:gd name="T52" fmla="*/ 0 w 203"/>
                <a:gd name="T53" fmla="*/ 0 h 199"/>
                <a:gd name="T54" fmla="*/ 0 w 203"/>
                <a:gd name="T55" fmla="*/ 0 h 199"/>
                <a:gd name="T56" fmla="*/ 0 w 203"/>
                <a:gd name="T57" fmla="*/ 0 h 199"/>
                <a:gd name="T58" fmla="*/ 0 w 203"/>
                <a:gd name="T59" fmla="*/ 0 h 199"/>
                <a:gd name="T60" fmla="*/ 0 w 203"/>
                <a:gd name="T61" fmla="*/ 0 h 199"/>
                <a:gd name="T62" fmla="*/ 0 w 203"/>
                <a:gd name="T63" fmla="*/ 0 h 199"/>
                <a:gd name="T64" fmla="*/ 0 w 203"/>
                <a:gd name="T65" fmla="*/ 0 h 199"/>
                <a:gd name="T66" fmla="*/ 0 w 203"/>
                <a:gd name="T67" fmla="*/ 0 h 199"/>
                <a:gd name="T68" fmla="*/ 0 w 203"/>
                <a:gd name="T69" fmla="*/ 0 h 199"/>
                <a:gd name="T70" fmla="*/ 0 w 203"/>
                <a:gd name="T71" fmla="*/ 0 h 199"/>
                <a:gd name="T72" fmla="*/ 0 w 203"/>
                <a:gd name="T73" fmla="*/ 0 h 199"/>
                <a:gd name="T74" fmla="*/ 0 w 203"/>
                <a:gd name="T75" fmla="*/ 0 h 199"/>
                <a:gd name="T76" fmla="*/ 0 w 203"/>
                <a:gd name="T77" fmla="*/ 0 h 199"/>
                <a:gd name="T78" fmla="*/ 0 w 203"/>
                <a:gd name="T79" fmla="*/ 0 h 199"/>
                <a:gd name="T80" fmla="*/ 0 w 203"/>
                <a:gd name="T81" fmla="*/ 0 h 199"/>
                <a:gd name="T82" fmla="*/ 0 w 203"/>
                <a:gd name="T83" fmla="*/ 0 h 199"/>
                <a:gd name="T84" fmla="*/ 0 w 203"/>
                <a:gd name="T85" fmla="*/ 0 h 199"/>
                <a:gd name="T86" fmla="*/ 0 w 203"/>
                <a:gd name="T87" fmla="*/ 0 h 199"/>
                <a:gd name="T88" fmla="*/ 0 w 203"/>
                <a:gd name="T89" fmla="*/ 0 h 199"/>
                <a:gd name="T90" fmla="*/ 0 w 203"/>
                <a:gd name="T91" fmla="*/ 0 h 199"/>
                <a:gd name="T92" fmla="*/ 0 w 203"/>
                <a:gd name="T93" fmla="*/ 0 h 199"/>
                <a:gd name="T94" fmla="*/ 0 w 203"/>
                <a:gd name="T95" fmla="*/ 0 h 199"/>
                <a:gd name="T96" fmla="*/ 0 w 203"/>
                <a:gd name="T97" fmla="*/ 0 h 199"/>
                <a:gd name="T98" fmla="*/ 0 w 203"/>
                <a:gd name="T99" fmla="*/ 0 h 199"/>
                <a:gd name="T100" fmla="*/ 0 w 203"/>
                <a:gd name="T101" fmla="*/ 0 h 199"/>
                <a:gd name="T102" fmla="*/ 0 w 203"/>
                <a:gd name="T103" fmla="*/ 0 h 199"/>
                <a:gd name="T104" fmla="*/ 0 w 203"/>
                <a:gd name="T105" fmla="*/ 0 h 199"/>
                <a:gd name="T106" fmla="*/ 0 w 203"/>
                <a:gd name="T107" fmla="*/ 0 h 199"/>
                <a:gd name="T108" fmla="*/ 0 w 203"/>
                <a:gd name="T109" fmla="*/ 0 h 199"/>
                <a:gd name="T110" fmla="*/ 0 w 203"/>
                <a:gd name="T111" fmla="*/ 0 h 199"/>
                <a:gd name="T112" fmla="*/ 0 w 203"/>
                <a:gd name="T113" fmla="*/ 0 h 199"/>
                <a:gd name="T114" fmla="*/ 0 w 203"/>
                <a:gd name="T115" fmla="*/ 0 h 199"/>
                <a:gd name="T116" fmla="*/ 0 w 203"/>
                <a:gd name="T117" fmla="*/ 0 h 199"/>
                <a:gd name="T118" fmla="*/ 0 w 203"/>
                <a:gd name="T119" fmla="*/ 0 h 199"/>
                <a:gd name="T120" fmla="*/ 0 w 203"/>
                <a:gd name="T121" fmla="*/ 0 h 199"/>
                <a:gd name="T122" fmla="*/ 0 w 20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531" name="Line 42">
              <a:extLst>
                <a:ext uri="{FF2B5EF4-FFF2-40B4-BE49-F238E27FC236}">
                  <a16:creationId xmlns:a16="http://schemas.microsoft.com/office/drawing/2014/main" id="{99E83774-59B1-4889-86C8-2730EEB6BEF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532" name="Freeform 43">
              <a:extLst>
                <a:ext uri="{FF2B5EF4-FFF2-40B4-BE49-F238E27FC236}">
                  <a16:creationId xmlns:a16="http://schemas.microsoft.com/office/drawing/2014/main" id="{28AB6581-051E-402B-B62E-13EF144BA2A0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0 w 207"/>
                <a:gd name="T1" fmla="*/ 0 h 176"/>
                <a:gd name="T2" fmla="*/ 0 w 207"/>
                <a:gd name="T3" fmla="*/ 0 h 176"/>
                <a:gd name="T4" fmla="*/ 0 w 207"/>
                <a:gd name="T5" fmla="*/ 0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533" name="Freeform 44">
              <a:extLst>
                <a:ext uri="{FF2B5EF4-FFF2-40B4-BE49-F238E27FC236}">
                  <a16:creationId xmlns:a16="http://schemas.microsoft.com/office/drawing/2014/main" id="{F215A17A-FCA0-444D-90D0-F363391CED81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0 w 201"/>
                <a:gd name="T5" fmla="*/ 0 h 202"/>
                <a:gd name="T6" fmla="*/ 0 w 201"/>
                <a:gd name="T7" fmla="*/ 0 h 202"/>
                <a:gd name="T8" fmla="*/ 0 w 201"/>
                <a:gd name="T9" fmla="*/ 0 h 202"/>
                <a:gd name="T10" fmla="*/ 0 w 201"/>
                <a:gd name="T11" fmla="*/ 0 h 202"/>
                <a:gd name="T12" fmla="*/ 0 w 201"/>
                <a:gd name="T13" fmla="*/ 0 h 202"/>
                <a:gd name="T14" fmla="*/ 0 w 201"/>
                <a:gd name="T15" fmla="*/ 0 h 202"/>
                <a:gd name="T16" fmla="*/ 0 w 201"/>
                <a:gd name="T17" fmla="*/ 0 h 202"/>
                <a:gd name="T18" fmla="*/ 0 w 201"/>
                <a:gd name="T19" fmla="*/ 0 h 202"/>
                <a:gd name="T20" fmla="*/ 0 w 201"/>
                <a:gd name="T21" fmla="*/ 0 h 202"/>
                <a:gd name="T22" fmla="*/ 0 w 201"/>
                <a:gd name="T23" fmla="*/ 0 h 202"/>
                <a:gd name="T24" fmla="*/ 0 w 201"/>
                <a:gd name="T25" fmla="*/ 0 h 202"/>
                <a:gd name="T26" fmla="*/ 0 w 201"/>
                <a:gd name="T27" fmla="*/ 0 h 202"/>
                <a:gd name="T28" fmla="*/ 0 w 201"/>
                <a:gd name="T29" fmla="*/ 0 h 202"/>
                <a:gd name="T30" fmla="*/ 0 w 201"/>
                <a:gd name="T31" fmla="*/ 0 h 202"/>
                <a:gd name="T32" fmla="*/ 0 w 201"/>
                <a:gd name="T33" fmla="*/ 0 h 202"/>
                <a:gd name="T34" fmla="*/ 0 w 201"/>
                <a:gd name="T35" fmla="*/ 0 h 202"/>
                <a:gd name="T36" fmla="*/ 0 w 201"/>
                <a:gd name="T37" fmla="*/ 0 h 202"/>
                <a:gd name="T38" fmla="*/ 0 w 201"/>
                <a:gd name="T39" fmla="*/ 0 h 202"/>
                <a:gd name="T40" fmla="*/ 0 w 201"/>
                <a:gd name="T41" fmla="*/ 0 h 202"/>
                <a:gd name="T42" fmla="*/ 0 w 201"/>
                <a:gd name="T43" fmla="*/ 0 h 202"/>
                <a:gd name="T44" fmla="*/ 0 w 201"/>
                <a:gd name="T45" fmla="*/ 0 h 202"/>
                <a:gd name="T46" fmla="*/ 0 w 201"/>
                <a:gd name="T47" fmla="*/ 0 h 202"/>
                <a:gd name="T48" fmla="*/ 0 w 201"/>
                <a:gd name="T49" fmla="*/ 0 h 202"/>
                <a:gd name="T50" fmla="*/ 0 w 201"/>
                <a:gd name="T51" fmla="*/ 0 h 202"/>
                <a:gd name="T52" fmla="*/ 0 w 201"/>
                <a:gd name="T53" fmla="*/ 0 h 202"/>
                <a:gd name="T54" fmla="*/ 0 w 201"/>
                <a:gd name="T55" fmla="*/ 0 h 202"/>
                <a:gd name="T56" fmla="*/ 0 w 201"/>
                <a:gd name="T57" fmla="*/ 0 h 202"/>
                <a:gd name="T58" fmla="*/ 0 w 201"/>
                <a:gd name="T59" fmla="*/ 0 h 202"/>
                <a:gd name="T60" fmla="*/ 0 w 201"/>
                <a:gd name="T61" fmla="*/ 0 h 202"/>
                <a:gd name="T62" fmla="*/ 0 w 201"/>
                <a:gd name="T63" fmla="*/ 0 h 202"/>
                <a:gd name="T64" fmla="*/ 0 w 201"/>
                <a:gd name="T65" fmla="*/ 0 h 202"/>
                <a:gd name="T66" fmla="*/ 0 w 201"/>
                <a:gd name="T67" fmla="*/ 0 h 202"/>
                <a:gd name="T68" fmla="*/ 0 w 201"/>
                <a:gd name="T69" fmla="*/ 0 h 202"/>
                <a:gd name="T70" fmla="*/ 0 w 201"/>
                <a:gd name="T71" fmla="*/ 0 h 202"/>
                <a:gd name="T72" fmla="*/ 0 w 201"/>
                <a:gd name="T73" fmla="*/ 0 h 202"/>
                <a:gd name="T74" fmla="*/ 0 w 201"/>
                <a:gd name="T75" fmla="*/ 0 h 202"/>
                <a:gd name="T76" fmla="*/ 0 w 201"/>
                <a:gd name="T77" fmla="*/ 0 h 202"/>
                <a:gd name="T78" fmla="*/ 0 w 201"/>
                <a:gd name="T79" fmla="*/ 0 h 202"/>
                <a:gd name="T80" fmla="*/ 0 w 201"/>
                <a:gd name="T81" fmla="*/ 0 h 202"/>
                <a:gd name="T82" fmla="*/ 0 w 201"/>
                <a:gd name="T83" fmla="*/ 0 h 202"/>
                <a:gd name="T84" fmla="*/ 0 w 201"/>
                <a:gd name="T85" fmla="*/ 0 h 202"/>
                <a:gd name="T86" fmla="*/ 0 w 201"/>
                <a:gd name="T87" fmla="*/ 0 h 202"/>
                <a:gd name="T88" fmla="*/ 0 w 201"/>
                <a:gd name="T89" fmla="*/ 0 h 202"/>
                <a:gd name="T90" fmla="*/ 0 w 201"/>
                <a:gd name="T91" fmla="*/ 0 h 202"/>
                <a:gd name="T92" fmla="*/ 0 w 201"/>
                <a:gd name="T93" fmla="*/ 0 h 202"/>
                <a:gd name="T94" fmla="*/ 0 w 201"/>
                <a:gd name="T95" fmla="*/ 0 h 202"/>
                <a:gd name="T96" fmla="*/ 0 w 201"/>
                <a:gd name="T97" fmla="*/ 0 h 202"/>
                <a:gd name="T98" fmla="*/ 0 w 201"/>
                <a:gd name="T99" fmla="*/ 0 h 202"/>
                <a:gd name="T100" fmla="*/ 0 w 201"/>
                <a:gd name="T101" fmla="*/ 0 h 202"/>
                <a:gd name="T102" fmla="*/ 0 w 201"/>
                <a:gd name="T103" fmla="*/ 0 h 202"/>
                <a:gd name="T104" fmla="*/ 0 w 201"/>
                <a:gd name="T105" fmla="*/ 0 h 202"/>
                <a:gd name="T106" fmla="*/ 0 w 201"/>
                <a:gd name="T107" fmla="*/ 0 h 202"/>
                <a:gd name="T108" fmla="*/ 0 w 201"/>
                <a:gd name="T109" fmla="*/ 0 h 202"/>
                <a:gd name="T110" fmla="*/ 0 w 201"/>
                <a:gd name="T111" fmla="*/ 0 h 202"/>
                <a:gd name="T112" fmla="*/ 0 w 201"/>
                <a:gd name="T113" fmla="*/ 0 h 202"/>
                <a:gd name="T114" fmla="*/ 0 w 201"/>
                <a:gd name="T115" fmla="*/ 0 h 202"/>
                <a:gd name="T116" fmla="*/ 0 w 201"/>
                <a:gd name="T117" fmla="*/ 0 h 202"/>
                <a:gd name="T118" fmla="*/ 0 w 201"/>
                <a:gd name="T119" fmla="*/ 0 h 202"/>
                <a:gd name="T120" fmla="*/ 0 w 201"/>
                <a:gd name="T121" fmla="*/ 0 h 202"/>
                <a:gd name="T122" fmla="*/ 0 w 201"/>
                <a:gd name="T123" fmla="*/ 0 h 202"/>
                <a:gd name="T124" fmla="*/ 0 w 201"/>
                <a:gd name="T125" fmla="*/ 0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534" name="Line 45">
              <a:extLst>
                <a:ext uri="{FF2B5EF4-FFF2-40B4-BE49-F238E27FC236}">
                  <a16:creationId xmlns:a16="http://schemas.microsoft.com/office/drawing/2014/main" id="{9E60E8AE-AA05-455B-A008-E28A43BF927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535" name="Freeform 46">
              <a:extLst>
                <a:ext uri="{FF2B5EF4-FFF2-40B4-BE49-F238E27FC236}">
                  <a16:creationId xmlns:a16="http://schemas.microsoft.com/office/drawing/2014/main" id="{A28914FF-B56E-405C-B30D-77168AB941CE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0 w 208"/>
                <a:gd name="T1" fmla="*/ 0 h 177"/>
                <a:gd name="T2" fmla="*/ 0 w 208"/>
                <a:gd name="T3" fmla="*/ 0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15</xdr:col>
      <xdr:colOff>247650</xdr:colOff>
      <xdr:row>15</xdr:row>
      <xdr:rowOff>457200</xdr:rowOff>
    </xdr:from>
    <xdr:to>
      <xdr:col>17</xdr:col>
      <xdr:colOff>66675</xdr:colOff>
      <xdr:row>15</xdr:row>
      <xdr:rowOff>1095375</xdr:rowOff>
    </xdr:to>
    <xdr:grpSp>
      <xdr:nvGrpSpPr>
        <xdr:cNvPr id="6427" name="Group 47">
          <a:extLst>
            <a:ext uri="{FF2B5EF4-FFF2-40B4-BE49-F238E27FC236}">
              <a16:creationId xmlns:a16="http://schemas.microsoft.com/office/drawing/2014/main" id="{A43AB4CA-4494-4A69-A142-C4E640AB0D9E}"/>
            </a:ext>
          </a:extLst>
        </xdr:cNvPr>
        <xdr:cNvGrpSpPr>
          <a:grpSpLocks/>
        </xdr:cNvGrpSpPr>
      </xdr:nvGrpSpPr>
      <xdr:grpSpPr bwMode="auto">
        <a:xfrm>
          <a:off x="5019675" y="5191125"/>
          <a:ext cx="447675" cy="638175"/>
          <a:chOff x="481" y="585"/>
          <a:chExt cx="47" cy="67"/>
        </a:xfrm>
      </xdr:grpSpPr>
      <xdr:grpSp>
        <xdr:nvGrpSpPr>
          <xdr:cNvPr id="6514" name="Group 48">
            <a:extLst>
              <a:ext uri="{FF2B5EF4-FFF2-40B4-BE49-F238E27FC236}">
                <a16:creationId xmlns:a16="http://schemas.microsoft.com/office/drawing/2014/main" id="{7A543ED7-86D8-467E-B0BA-293C5D70337F}"/>
              </a:ext>
            </a:extLst>
          </xdr:cNvPr>
          <xdr:cNvGrpSpPr>
            <a:grpSpLocks/>
          </xdr:cNvGrpSpPr>
        </xdr:nvGrpSpPr>
        <xdr:grpSpPr bwMode="auto">
          <a:xfrm>
            <a:off x="511" y="585"/>
            <a:ext cx="17" cy="27"/>
            <a:chOff x="506" y="578"/>
            <a:chExt cx="17" cy="27"/>
          </a:xfrm>
        </xdr:grpSpPr>
        <xdr:sp macro="" textlink="">
          <xdr:nvSpPr>
            <xdr:cNvPr id="6520" name="Freeform 49">
              <a:extLst>
                <a:ext uri="{FF2B5EF4-FFF2-40B4-BE49-F238E27FC236}">
                  <a16:creationId xmlns:a16="http://schemas.microsoft.com/office/drawing/2014/main" id="{38EA8C1A-9B5D-41C7-8558-63512323501C}"/>
                </a:ext>
              </a:extLst>
            </xdr:cNvPr>
            <xdr:cNvSpPr>
              <a:spLocks/>
            </xdr:cNvSpPr>
          </xdr:nvSpPr>
          <xdr:spPr bwMode="auto">
            <a:xfrm rot="5374774">
              <a:off x="514" y="592"/>
              <a:ext cx="9" cy="9"/>
            </a:xfrm>
            <a:custGeom>
              <a:avLst/>
              <a:gdLst>
                <a:gd name="T0" fmla="*/ 0 w 193"/>
                <a:gd name="T1" fmla="*/ 0 h 199"/>
                <a:gd name="T2" fmla="*/ 0 w 193"/>
                <a:gd name="T3" fmla="*/ 0 h 199"/>
                <a:gd name="T4" fmla="*/ 0 w 193"/>
                <a:gd name="T5" fmla="*/ 0 h 199"/>
                <a:gd name="T6" fmla="*/ 0 w 193"/>
                <a:gd name="T7" fmla="*/ 0 h 199"/>
                <a:gd name="T8" fmla="*/ 0 w 193"/>
                <a:gd name="T9" fmla="*/ 0 h 199"/>
                <a:gd name="T10" fmla="*/ 0 w 193"/>
                <a:gd name="T11" fmla="*/ 0 h 199"/>
                <a:gd name="T12" fmla="*/ 0 w 193"/>
                <a:gd name="T13" fmla="*/ 0 h 199"/>
                <a:gd name="T14" fmla="*/ 0 w 193"/>
                <a:gd name="T15" fmla="*/ 0 h 199"/>
                <a:gd name="T16" fmla="*/ 0 w 193"/>
                <a:gd name="T17" fmla="*/ 0 h 199"/>
                <a:gd name="T18" fmla="*/ 0 w 193"/>
                <a:gd name="T19" fmla="*/ 0 h 199"/>
                <a:gd name="T20" fmla="*/ 0 w 193"/>
                <a:gd name="T21" fmla="*/ 0 h 199"/>
                <a:gd name="T22" fmla="*/ 0 w 193"/>
                <a:gd name="T23" fmla="*/ 0 h 199"/>
                <a:gd name="T24" fmla="*/ 0 w 193"/>
                <a:gd name="T25" fmla="*/ 0 h 199"/>
                <a:gd name="T26" fmla="*/ 0 w 193"/>
                <a:gd name="T27" fmla="*/ 0 h 199"/>
                <a:gd name="T28" fmla="*/ 0 w 193"/>
                <a:gd name="T29" fmla="*/ 0 h 199"/>
                <a:gd name="T30" fmla="*/ 0 w 193"/>
                <a:gd name="T31" fmla="*/ 0 h 199"/>
                <a:gd name="T32" fmla="*/ 0 w 193"/>
                <a:gd name="T33" fmla="*/ 0 h 199"/>
                <a:gd name="T34" fmla="*/ 0 w 193"/>
                <a:gd name="T35" fmla="*/ 0 h 199"/>
                <a:gd name="T36" fmla="*/ 0 w 193"/>
                <a:gd name="T37" fmla="*/ 0 h 199"/>
                <a:gd name="T38" fmla="*/ 0 w 193"/>
                <a:gd name="T39" fmla="*/ 0 h 199"/>
                <a:gd name="T40" fmla="*/ 0 w 193"/>
                <a:gd name="T41" fmla="*/ 0 h 199"/>
                <a:gd name="T42" fmla="*/ 0 w 193"/>
                <a:gd name="T43" fmla="*/ 0 h 199"/>
                <a:gd name="T44" fmla="*/ 0 w 193"/>
                <a:gd name="T45" fmla="*/ 0 h 199"/>
                <a:gd name="T46" fmla="*/ 0 w 193"/>
                <a:gd name="T47" fmla="*/ 0 h 199"/>
                <a:gd name="T48" fmla="*/ 0 w 193"/>
                <a:gd name="T49" fmla="*/ 0 h 199"/>
                <a:gd name="T50" fmla="*/ 0 w 193"/>
                <a:gd name="T51" fmla="*/ 0 h 199"/>
                <a:gd name="T52" fmla="*/ 0 w 193"/>
                <a:gd name="T53" fmla="*/ 0 h 199"/>
                <a:gd name="T54" fmla="*/ 0 w 193"/>
                <a:gd name="T55" fmla="*/ 0 h 199"/>
                <a:gd name="T56" fmla="*/ 0 w 193"/>
                <a:gd name="T57" fmla="*/ 0 h 199"/>
                <a:gd name="T58" fmla="*/ 0 w 193"/>
                <a:gd name="T59" fmla="*/ 0 h 199"/>
                <a:gd name="T60" fmla="*/ 0 w 193"/>
                <a:gd name="T61" fmla="*/ 0 h 199"/>
                <a:gd name="T62" fmla="*/ 0 w 193"/>
                <a:gd name="T63" fmla="*/ 0 h 199"/>
                <a:gd name="T64" fmla="*/ 0 w 193"/>
                <a:gd name="T65" fmla="*/ 0 h 199"/>
                <a:gd name="T66" fmla="*/ 0 w 193"/>
                <a:gd name="T67" fmla="*/ 0 h 199"/>
                <a:gd name="T68" fmla="*/ 0 w 193"/>
                <a:gd name="T69" fmla="*/ 0 h 199"/>
                <a:gd name="T70" fmla="*/ 0 w 193"/>
                <a:gd name="T71" fmla="*/ 0 h 199"/>
                <a:gd name="T72" fmla="*/ 0 w 193"/>
                <a:gd name="T73" fmla="*/ 0 h 199"/>
                <a:gd name="T74" fmla="*/ 0 w 193"/>
                <a:gd name="T75" fmla="*/ 0 h 199"/>
                <a:gd name="T76" fmla="*/ 0 w 193"/>
                <a:gd name="T77" fmla="*/ 0 h 199"/>
                <a:gd name="T78" fmla="*/ 0 w 193"/>
                <a:gd name="T79" fmla="*/ 0 h 199"/>
                <a:gd name="T80" fmla="*/ 0 w 193"/>
                <a:gd name="T81" fmla="*/ 0 h 199"/>
                <a:gd name="T82" fmla="*/ 0 w 193"/>
                <a:gd name="T83" fmla="*/ 0 h 199"/>
                <a:gd name="T84" fmla="*/ 0 w 193"/>
                <a:gd name="T85" fmla="*/ 0 h 199"/>
                <a:gd name="T86" fmla="*/ 0 w 193"/>
                <a:gd name="T87" fmla="*/ 0 h 199"/>
                <a:gd name="T88" fmla="*/ 0 w 193"/>
                <a:gd name="T89" fmla="*/ 0 h 199"/>
                <a:gd name="T90" fmla="*/ 0 w 193"/>
                <a:gd name="T91" fmla="*/ 0 h 199"/>
                <a:gd name="T92" fmla="*/ 0 w 193"/>
                <a:gd name="T93" fmla="*/ 0 h 199"/>
                <a:gd name="T94" fmla="*/ 0 w 193"/>
                <a:gd name="T95" fmla="*/ 0 h 199"/>
                <a:gd name="T96" fmla="*/ 0 w 193"/>
                <a:gd name="T97" fmla="*/ 0 h 199"/>
                <a:gd name="T98" fmla="*/ 0 w 193"/>
                <a:gd name="T99" fmla="*/ 0 h 199"/>
                <a:gd name="T100" fmla="*/ 0 w 193"/>
                <a:gd name="T101" fmla="*/ 0 h 199"/>
                <a:gd name="T102" fmla="*/ 0 w 193"/>
                <a:gd name="T103" fmla="*/ 0 h 199"/>
                <a:gd name="T104" fmla="*/ 0 w 193"/>
                <a:gd name="T105" fmla="*/ 0 h 199"/>
                <a:gd name="T106" fmla="*/ 0 w 193"/>
                <a:gd name="T107" fmla="*/ 0 h 199"/>
                <a:gd name="T108" fmla="*/ 0 w 193"/>
                <a:gd name="T109" fmla="*/ 0 h 199"/>
                <a:gd name="T110" fmla="*/ 0 w 193"/>
                <a:gd name="T111" fmla="*/ 0 h 199"/>
                <a:gd name="T112" fmla="*/ 0 w 193"/>
                <a:gd name="T113" fmla="*/ 0 h 199"/>
                <a:gd name="T114" fmla="*/ 0 w 193"/>
                <a:gd name="T115" fmla="*/ 0 h 199"/>
                <a:gd name="T116" fmla="*/ 0 w 193"/>
                <a:gd name="T117" fmla="*/ 0 h 199"/>
                <a:gd name="T118" fmla="*/ 0 w 193"/>
                <a:gd name="T119" fmla="*/ 0 h 199"/>
                <a:gd name="T120" fmla="*/ 0 w 193"/>
                <a:gd name="T121" fmla="*/ 0 h 199"/>
                <a:gd name="T122" fmla="*/ 0 w 19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521" name="Line 50">
              <a:extLst>
                <a:ext uri="{FF2B5EF4-FFF2-40B4-BE49-F238E27FC236}">
                  <a16:creationId xmlns:a16="http://schemas.microsoft.com/office/drawing/2014/main" id="{04B7E605-61DD-45E7-B44A-D66EC09C2ED3}"/>
                </a:ext>
              </a:extLst>
            </xdr:cNvPr>
            <xdr:cNvSpPr>
              <a:spLocks noChangeShapeType="1"/>
            </xdr:cNvSpPr>
          </xdr:nvSpPr>
          <xdr:spPr bwMode="auto">
            <a:xfrm rot="5374774">
              <a:off x="511" y="597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522" name="Freeform 51">
              <a:extLst>
                <a:ext uri="{FF2B5EF4-FFF2-40B4-BE49-F238E27FC236}">
                  <a16:creationId xmlns:a16="http://schemas.microsoft.com/office/drawing/2014/main" id="{6BEBFB16-B913-4D20-9567-C23C38A28B52}"/>
                </a:ext>
              </a:extLst>
            </xdr:cNvPr>
            <xdr:cNvSpPr>
              <a:spLocks/>
            </xdr:cNvSpPr>
          </xdr:nvSpPr>
          <xdr:spPr bwMode="auto">
            <a:xfrm rot="5374774">
              <a:off x="505" y="598"/>
              <a:ext cx="8" cy="6"/>
            </a:xfrm>
            <a:custGeom>
              <a:avLst/>
              <a:gdLst>
                <a:gd name="T0" fmla="*/ 0 w 201"/>
                <a:gd name="T1" fmla="*/ 0 h 174"/>
                <a:gd name="T2" fmla="*/ 0 w 201"/>
                <a:gd name="T3" fmla="*/ 0 h 174"/>
                <a:gd name="T4" fmla="*/ 0 w 201"/>
                <a:gd name="T5" fmla="*/ 0 h 17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523" name="Line 52">
              <a:extLst>
                <a:ext uri="{FF2B5EF4-FFF2-40B4-BE49-F238E27FC236}">
                  <a16:creationId xmlns:a16="http://schemas.microsoft.com/office/drawing/2014/main" id="{EED6AB3C-BFBD-463E-A014-30590A48579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23" y="578"/>
              <a:ext cx="0" cy="1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6515" name="Group 53">
            <a:extLst>
              <a:ext uri="{FF2B5EF4-FFF2-40B4-BE49-F238E27FC236}">
                <a16:creationId xmlns:a16="http://schemas.microsoft.com/office/drawing/2014/main" id="{7547772C-5BE9-4950-BD22-D09AF0632B12}"/>
              </a:ext>
            </a:extLst>
          </xdr:cNvPr>
          <xdr:cNvGrpSpPr>
            <a:grpSpLocks/>
          </xdr:cNvGrpSpPr>
        </xdr:nvGrpSpPr>
        <xdr:grpSpPr bwMode="auto">
          <a:xfrm>
            <a:off x="481" y="625"/>
            <a:ext cx="17" cy="27"/>
            <a:chOff x="471" y="616"/>
            <a:chExt cx="17" cy="27"/>
          </a:xfrm>
        </xdr:grpSpPr>
        <xdr:sp macro="" textlink="">
          <xdr:nvSpPr>
            <xdr:cNvPr id="6516" name="Freeform 54">
              <a:extLst>
                <a:ext uri="{FF2B5EF4-FFF2-40B4-BE49-F238E27FC236}">
                  <a16:creationId xmlns:a16="http://schemas.microsoft.com/office/drawing/2014/main" id="{AE85F963-7647-4E49-B812-83859A313601}"/>
                </a:ext>
              </a:extLst>
            </xdr:cNvPr>
            <xdr:cNvSpPr>
              <a:spLocks/>
            </xdr:cNvSpPr>
          </xdr:nvSpPr>
          <xdr:spPr bwMode="auto">
            <a:xfrm rot="-5425225">
              <a:off x="471" y="620"/>
              <a:ext cx="8" cy="8"/>
            </a:xfrm>
            <a:custGeom>
              <a:avLst/>
              <a:gdLst>
                <a:gd name="T0" fmla="*/ 0 w 193"/>
                <a:gd name="T1" fmla="*/ 0 h 199"/>
                <a:gd name="T2" fmla="*/ 0 w 193"/>
                <a:gd name="T3" fmla="*/ 0 h 199"/>
                <a:gd name="T4" fmla="*/ 0 w 193"/>
                <a:gd name="T5" fmla="*/ 0 h 199"/>
                <a:gd name="T6" fmla="*/ 0 w 193"/>
                <a:gd name="T7" fmla="*/ 0 h 199"/>
                <a:gd name="T8" fmla="*/ 0 w 193"/>
                <a:gd name="T9" fmla="*/ 0 h 199"/>
                <a:gd name="T10" fmla="*/ 0 w 193"/>
                <a:gd name="T11" fmla="*/ 0 h 199"/>
                <a:gd name="T12" fmla="*/ 0 w 193"/>
                <a:gd name="T13" fmla="*/ 0 h 199"/>
                <a:gd name="T14" fmla="*/ 0 w 193"/>
                <a:gd name="T15" fmla="*/ 0 h 199"/>
                <a:gd name="T16" fmla="*/ 0 w 193"/>
                <a:gd name="T17" fmla="*/ 0 h 199"/>
                <a:gd name="T18" fmla="*/ 0 w 193"/>
                <a:gd name="T19" fmla="*/ 0 h 199"/>
                <a:gd name="T20" fmla="*/ 0 w 193"/>
                <a:gd name="T21" fmla="*/ 0 h 199"/>
                <a:gd name="T22" fmla="*/ 0 w 193"/>
                <a:gd name="T23" fmla="*/ 0 h 199"/>
                <a:gd name="T24" fmla="*/ 0 w 193"/>
                <a:gd name="T25" fmla="*/ 0 h 199"/>
                <a:gd name="T26" fmla="*/ 0 w 193"/>
                <a:gd name="T27" fmla="*/ 0 h 199"/>
                <a:gd name="T28" fmla="*/ 0 w 193"/>
                <a:gd name="T29" fmla="*/ 0 h 199"/>
                <a:gd name="T30" fmla="*/ 0 w 193"/>
                <a:gd name="T31" fmla="*/ 0 h 199"/>
                <a:gd name="T32" fmla="*/ 0 w 193"/>
                <a:gd name="T33" fmla="*/ 0 h 199"/>
                <a:gd name="T34" fmla="*/ 0 w 193"/>
                <a:gd name="T35" fmla="*/ 0 h 199"/>
                <a:gd name="T36" fmla="*/ 0 w 193"/>
                <a:gd name="T37" fmla="*/ 0 h 199"/>
                <a:gd name="T38" fmla="*/ 0 w 193"/>
                <a:gd name="T39" fmla="*/ 0 h 199"/>
                <a:gd name="T40" fmla="*/ 0 w 193"/>
                <a:gd name="T41" fmla="*/ 0 h 199"/>
                <a:gd name="T42" fmla="*/ 0 w 193"/>
                <a:gd name="T43" fmla="*/ 0 h 199"/>
                <a:gd name="T44" fmla="*/ 0 w 193"/>
                <a:gd name="T45" fmla="*/ 0 h 199"/>
                <a:gd name="T46" fmla="*/ 0 w 193"/>
                <a:gd name="T47" fmla="*/ 0 h 199"/>
                <a:gd name="T48" fmla="*/ 0 w 193"/>
                <a:gd name="T49" fmla="*/ 0 h 199"/>
                <a:gd name="T50" fmla="*/ 0 w 193"/>
                <a:gd name="T51" fmla="*/ 0 h 199"/>
                <a:gd name="T52" fmla="*/ 0 w 193"/>
                <a:gd name="T53" fmla="*/ 0 h 199"/>
                <a:gd name="T54" fmla="*/ 0 w 193"/>
                <a:gd name="T55" fmla="*/ 0 h 199"/>
                <a:gd name="T56" fmla="*/ 0 w 193"/>
                <a:gd name="T57" fmla="*/ 0 h 199"/>
                <a:gd name="T58" fmla="*/ 0 w 193"/>
                <a:gd name="T59" fmla="*/ 0 h 199"/>
                <a:gd name="T60" fmla="*/ 0 w 193"/>
                <a:gd name="T61" fmla="*/ 0 h 199"/>
                <a:gd name="T62" fmla="*/ 0 w 193"/>
                <a:gd name="T63" fmla="*/ 0 h 199"/>
                <a:gd name="T64" fmla="*/ 0 w 193"/>
                <a:gd name="T65" fmla="*/ 0 h 199"/>
                <a:gd name="T66" fmla="*/ 0 w 193"/>
                <a:gd name="T67" fmla="*/ 0 h 199"/>
                <a:gd name="T68" fmla="*/ 0 w 193"/>
                <a:gd name="T69" fmla="*/ 0 h 199"/>
                <a:gd name="T70" fmla="*/ 0 w 193"/>
                <a:gd name="T71" fmla="*/ 0 h 199"/>
                <a:gd name="T72" fmla="*/ 0 w 193"/>
                <a:gd name="T73" fmla="*/ 0 h 199"/>
                <a:gd name="T74" fmla="*/ 0 w 193"/>
                <a:gd name="T75" fmla="*/ 0 h 199"/>
                <a:gd name="T76" fmla="*/ 0 w 193"/>
                <a:gd name="T77" fmla="*/ 0 h 199"/>
                <a:gd name="T78" fmla="*/ 0 w 193"/>
                <a:gd name="T79" fmla="*/ 0 h 199"/>
                <a:gd name="T80" fmla="*/ 0 w 193"/>
                <a:gd name="T81" fmla="*/ 0 h 199"/>
                <a:gd name="T82" fmla="*/ 0 w 193"/>
                <a:gd name="T83" fmla="*/ 0 h 199"/>
                <a:gd name="T84" fmla="*/ 0 w 193"/>
                <a:gd name="T85" fmla="*/ 0 h 199"/>
                <a:gd name="T86" fmla="*/ 0 w 193"/>
                <a:gd name="T87" fmla="*/ 0 h 199"/>
                <a:gd name="T88" fmla="*/ 0 w 193"/>
                <a:gd name="T89" fmla="*/ 0 h 199"/>
                <a:gd name="T90" fmla="*/ 0 w 193"/>
                <a:gd name="T91" fmla="*/ 0 h 199"/>
                <a:gd name="T92" fmla="*/ 0 w 193"/>
                <a:gd name="T93" fmla="*/ 0 h 199"/>
                <a:gd name="T94" fmla="*/ 0 w 193"/>
                <a:gd name="T95" fmla="*/ 0 h 199"/>
                <a:gd name="T96" fmla="*/ 0 w 193"/>
                <a:gd name="T97" fmla="*/ 0 h 199"/>
                <a:gd name="T98" fmla="*/ 0 w 193"/>
                <a:gd name="T99" fmla="*/ 0 h 199"/>
                <a:gd name="T100" fmla="*/ 0 w 193"/>
                <a:gd name="T101" fmla="*/ 0 h 199"/>
                <a:gd name="T102" fmla="*/ 0 w 193"/>
                <a:gd name="T103" fmla="*/ 0 h 199"/>
                <a:gd name="T104" fmla="*/ 0 w 193"/>
                <a:gd name="T105" fmla="*/ 0 h 199"/>
                <a:gd name="T106" fmla="*/ 0 w 193"/>
                <a:gd name="T107" fmla="*/ 0 h 199"/>
                <a:gd name="T108" fmla="*/ 0 w 193"/>
                <a:gd name="T109" fmla="*/ 0 h 199"/>
                <a:gd name="T110" fmla="*/ 0 w 193"/>
                <a:gd name="T111" fmla="*/ 0 h 199"/>
                <a:gd name="T112" fmla="*/ 0 w 193"/>
                <a:gd name="T113" fmla="*/ 0 h 199"/>
                <a:gd name="T114" fmla="*/ 0 w 193"/>
                <a:gd name="T115" fmla="*/ 0 h 199"/>
                <a:gd name="T116" fmla="*/ 0 w 193"/>
                <a:gd name="T117" fmla="*/ 0 h 199"/>
                <a:gd name="T118" fmla="*/ 0 w 193"/>
                <a:gd name="T119" fmla="*/ 0 h 199"/>
                <a:gd name="T120" fmla="*/ 0 w 193"/>
                <a:gd name="T121" fmla="*/ 0 h 199"/>
                <a:gd name="T122" fmla="*/ 0 w 19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517" name="Line 55">
              <a:extLst>
                <a:ext uri="{FF2B5EF4-FFF2-40B4-BE49-F238E27FC236}">
                  <a16:creationId xmlns:a16="http://schemas.microsoft.com/office/drawing/2014/main" id="{DE8395FC-6E60-42F5-9399-ECD0F5DDFE3A}"/>
                </a:ext>
              </a:extLst>
            </xdr:cNvPr>
            <xdr:cNvSpPr>
              <a:spLocks noChangeShapeType="1"/>
            </xdr:cNvSpPr>
          </xdr:nvSpPr>
          <xdr:spPr bwMode="auto">
            <a:xfrm rot="16174775" flipV="1">
              <a:off x="483" y="616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518" name="Freeform 56">
              <a:extLst>
                <a:ext uri="{FF2B5EF4-FFF2-40B4-BE49-F238E27FC236}">
                  <a16:creationId xmlns:a16="http://schemas.microsoft.com/office/drawing/2014/main" id="{D6B21E67-C120-49C6-B0DF-8A090B29FD3D}"/>
                </a:ext>
              </a:extLst>
            </xdr:cNvPr>
            <xdr:cNvSpPr>
              <a:spLocks/>
            </xdr:cNvSpPr>
          </xdr:nvSpPr>
          <xdr:spPr bwMode="auto">
            <a:xfrm rot="-5425225">
              <a:off x="481" y="617"/>
              <a:ext cx="8" cy="6"/>
            </a:xfrm>
            <a:custGeom>
              <a:avLst/>
              <a:gdLst>
                <a:gd name="T0" fmla="*/ 0 w 201"/>
                <a:gd name="T1" fmla="*/ 0 h 174"/>
                <a:gd name="T2" fmla="*/ 0 w 201"/>
                <a:gd name="T3" fmla="*/ 0 h 174"/>
                <a:gd name="T4" fmla="*/ 0 w 201"/>
                <a:gd name="T5" fmla="*/ 0 h 17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519" name="Line 57">
              <a:extLst>
                <a:ext uri="{FF2B5EF4-FFF2-40B4-BE49-F238E27FC236}">
                  <a16:creationId xmlns:a16="http://schemas.microsoft.com/office/drawing/2014/main" id="{8385CD5E-D963-499C-8AA1-7A7DF7479466}"/>
                </a:ext>
              </a:extLst>
            </xdr:cNvPr>
            <xdr:cNvSpPr>
              <a:spLocks noChangeShapeType="1"/>
            </xdr:cNvSpPr>
          </xdr:nvSpPr>
          <xdr:spPr bwMode="auto">
            <a:xfrm rot="10800000">
              <a:off x="471" y="628"/>
              <a:ext cx="0" cy="1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14</xdr:col>
      <xdr:colOff>9525</xdr:colOff>
      <xdr:row>20</xdr:row>
      <xdr:rowOff>47625</xdr:rowOff>
    </xdr:from>
    <xdr:to>
      <xdr:col>14</xdr:col>
      <xdr:colOff>276225</xdr:colOff>
      <xdr:row>20</xdr:row>
      <xdr:rowOff>190500</xdr:rowOff>
    </xdr:to>
    <xdr:sp macro="" textlink="">
      <xdr:nvSpPr>
        <xdr:cNvPr id="6428" name="Freeform 58">
          <a:extLst>
            <a:ext uri="{FF2B5EF4-FFF2-40B4-BE49-F238E27FC236}">
              <a16:creationId xmlns:a16="http://schemas.microsoft.com/office/drawing/2014/main" id="{053796F4-02B5-4B37-A5B0-6819A012AD45}"/>
            </a:ext>
          </a:extLst>
        </xdr:cNvPr>
        <xdr:cNvSpPr>
          <a:spLocks/>
        </xdr:cNvSpPr>
      </xdr:nvSpPr>
      <xdr:spPr bwMode="auto">
        <a:xfrm>
          <a:off x="4467225" y="7277100"/>
          <a:ext cx="266700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47625</xdr:colOff>
      <xdr:row>19</xdr:row>
      <xdr:rowOff>38100</xdr:rowOff>
    </xdr:from>
    <xdr:to>
      <xdr:col>12</xdr:col>
      <xdr:colOff>266700</xdr:colOff>
      <xdr:row>19</xdr:row>
      <xdr:rowOff>190500</xdr:rowOff>
    </xdr:to>
    <xdr:grpSp>
      <xdr:nvGrpSpPr>
        <xdr:cNvPr id="6429" name="Group 59">
          <a:extLst>
            <a:ext uri="{FF2B5EF4-FFF2-40B4-BE49-F238E27FC236}">
              <a16:creationId xmlns:a16="http://schemas.microsoft.com/office/drawing/2014/main" id="{654E0760-E15A-4131-BBB9-E41C5155BE2B}"/>
            </a:ext>
          </a:extLst>
        </xdr:cNvPr>
        <xdr:cNvGrpSpPr>
          <a:grpSpLocks/>
        </xdr:cNvGrpSpPr>
      </xdr:nvGrpSpPr>
      <xdr:grpSpPr bwMode="auto">
        <a:xfrm>
          <a:off x="3876675" y="7038975"/>
          <a:ext cx="219075" cy="152400"/>
          <a:chOff x="132" y="708"/>
          <a:chExt cx="20" cy="14"/>
        </a:xfrm>
      </xdr:grpSpPr>
      <xdr:sp macro="" textlink="">
        <xdr:nvSpPr>
          <xdr:cNvPr id="6510" name="Line 60">
            <a:extLst>
              <a:ext uri="{FF2B5EF4-FFF2-40B4-BE49-F238E27FC236}">
                <a16:creationId xmlns:a16="http://schemas.microsoft.com/office/drawing/2014/main" id="{3A38DF8E-C81B-4F4F-BC97-9FACD631E719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11" name="Line 61">
            <a:extLst>
              <a:ext uri="{FF2B5EF4-FFF2-40B4-BE49-F238E27FC236}">
                <a16:creationId xmlns:a16="http://schemas.microsoft.com/office/drawing/2014/main" id="{0463D642-1C69-42BE-9E87-EA51BC68216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12" name="Line 62">
            <a:extLst>
              <a:ext uri="{FF2B5EF4-FFF2-40B4-BE49-F238E27FC236}">
                <a16:creationId xmlns:a16="http://schemas.microsoft.com/office/drawing/2014/main" id="{26A758A4-20ED-4B43-9FB1-7DFCE9184C1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13" name="Line 63">
            <a:extLst>
              <a:ext uri="{FF2B5EF4-FFF2-40B4-BE49-F238E27FC236}">
                <a16:creationId xmlns:a16="http://schemas.microsoft.com/office/drawing/2014/main" id="{29FEF25E-75D7-4E8B-AE12-4D3E3C534915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18</xdr:col>
      <xdr:colOff>0</xdr:colOff>
      <xdr:row>19</xdr:row>
      <xdr:rowOff>142875</xdr:rowOff>
    </xdr:to>
    <xdr:grpSp>
      <xdr:nvGrpSpPr>
        <xdr:cNvPr id="6430" name="Group 64">
          <a:extLst>
            <a:ext uri="{FF2B5EF4-FFF2-40B4-BE49-F238E27FC236}">
              <a16:creationId xmlns:a16="http://schemas.microsoft.com/office/drawing/2014/main" id="{043D0A86-0696-4BC6-9572-2015DFACCD61}"/>
            </a:ext>
          </a:extLst>
        </xdr:cNvPr>
        <xdr:cNvGrpSpPr>
          <a:grpSpLocks/>
        </xdr:cNvGrpSpPr>
      </xdr:nvGrpSpPr>
      <xdr:grpSpPr bwMode="auto">
        <a:xfrm>
          <a:off x="4143375" y="7096125"/>
          <a:ext cx="1571625" cy="47625"/>
          <a:chOff x="158" y="715"/>
          <a:chExt cx="33" cy="5"/>
        </a:xfrm>
      </xdr:grpSpPr>
      <xdr:sp macro="" textlink="">
        <xdr:nvSpPr>
          <xdr:cNvPr id="6508" name="Line 65">
            <a:extLst>
              <a:ext uri="{FF2B5EF4-FFF2-40B4-BE49-F238E27FC236}">
                <a16:creationId xmlns:a16="http://schemas.microsoft.com/office/drawing/2014/main" id="{FD67B053-A741-4FA5-A960-6C4F9AE4145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09" name="Line 66">
            <a:extLst>
              <a:ext uri="{FF2B5EF4-FFF2-40B4-BE49-F238E27FC236}">
                <a16:creationId xmlns:a16="http://schemas.microsoft.com/office/drawing/2014/main" id="{86BBB689-F5FB-4D8A-A6CF-F5A457D4F11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20</xdr:row>
      <xdr:rowOff>104775</xdr:rowOff>
    </xdr:from>
    <xdr:to>
      <xdr:col>18</xdr:col>
      <xdr:colOff>0</xdr:colOff>
      <xdr:row>20</xdr:row>
      <xdr:rowOff>152400</xdr:rowOff>
    </xdr:to>
    <xdr:grpSp>
      <xdr:nvGrpSpPr>
        <xdr:cNvPr id="6431" name="Group 67">
          <a:extLst>
            <a:ext uri="{FF2B5EF4-FFF2-40B4-BE49-F238E27FC236}">
              <a16:creationId xmlns:a16="http://schemas.microsoft.com/office/drawing/2014/main" id="{B9A305C2-7AA8-462D-BB09-B2E2FA095CDE}"/>
            </a:ext>
          </a:extLst>
        </xdr:cNvPr>
        <xdr:cNvGrpSpPr>
          <a:grpSpLocks/>
        </xdr:cNvGrpSpPr>
      </xdr:nvGrpSpPr>
      <xdr:grpSpPr bwMode="auto">
        <a:xfrm>
          <a:off x="5400675" y="7334250"/>
          <a:ext cx="314325" cy="47625"/>
          <a:chOff x="158" y="715"/>
          <a:chExt cx="33" cy="5"/>
        </a:xfrm>
      </xdr:grpSpPr>
      <xdr:sp macro="" textlink="">
        <xdr:nvSpPr>
          <xdr:cNvPr id="6506" name="Line 68">
            <a:extLst>
              <a:ext uri="{FF2B5EF4-FFF2-40B4-BE49-F238E27FC236}">
                <a16:creationId xmlns:a16="http://schemas.microsoft.com/office/drawing/2014/main" id="{17C99A0F-AA61-4D88-999D-410F0F4384A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07" name="Line 69">
            <a:extLst>
              <a:ext uri="{FF2B5EF4-FFF2-40B4-BE49-F238E27FC236}">
                <a16:creationId xmlns:a16="http://schemas.microsoft.com/office/drawing/2014/main" id="{DD79A3F0-AD2A-4C85-ACB8-236CBF357A9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9525</xdr:colOff>
      <xdr:row>20</xdr:row>
      <xdr:rowOff>47625</xdr:rowOff>
    </xdr:from>
    <xdr:to>
      <xdr:col>17</xdr:col>
      <xdr:colOff>0</xdr:colOff>
      <xdr:row>20</xdr:row>
      <xdr:rowOff>190500</xdr:rowOff>
    </xdr:to>
    <xdr:sp macro="" textlink="">
      <xdr:nvSpPr>
        <xdr:cNvPr id="6432" name="Freeform 70">
          <a:extLst>
            <a:ext uri="{FF2B5EF4-FFF2-40B4-BE49-F238E27FC236}">
              <a16:creationId xmlns:a16="http://schemas.microsoft.com/office/drawing/2014/main" id="{4BF00522-329E-4382-A3DD-787627C5DD98}"/>
            </a:ext>
          </a:extLst>
        </xdr:cNvPr>
        <xdr:cNvSpPr>
          <a:spLocks/>
        </xdr:cNvSpPr>
      </xdr:nvSpPr>
      <xdr:spPr bwMode="auto">
        <a:xfrm>
          <a:off x="5095875" y="7277100"/>
          <a:ext cx="304800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20</xdr:row>
      <xdr:rowOff>104775</xdr:rowOff>
    </xdr:from>
    <xdr:to>
      <xdr:col>16</xdr:col>
      <xdr:colOff>0</xdr:colOff>
      <xdr:row>20</xdr:row>
      <xdr:rowOff>152400</xdr:rowOff>
    </xdr:to>
    <xdr:grpSp>
      <xdr:nvGrpSpPr>
        <xdr:cNvPr id="6433" name="Group 71">
          <a:extLst>
            <a:ext uri="{FF2B5EF4-FFF2-40B4-BE49-F238E27FC236}">
              <a16:creationId xmlns:a16="http://schemas.microsoft.com/office/drawing/2014/main" id="{47AEAC80-8140-4689-8277-86FBA4E3FA17}"/>
            </a:ext>
          </a:extLst>
        </xdr:cNvPr>
        <xdr:cNvGrpSpPr>
          <a:grpSpLocks/>
        </xdr:cNvGrpSpPr>
      </xdr:nvGrpSpPr>
      <xdr:grpSpPr bwMode="auto">
        <a:xfrm>
          <a:off x="4772025" y="7334250"/>
          <a:ext cx="314325" cy="47625"/>
          <a:chOff x="158" y="715"/>
          <a:chExt cx="33" cy="5"/>
        </a:xfrm>
      </xdr:grpSpPr>
      <xdr:sp macro="" textlink="">
        <xdr:nvSpPr>
          <xdr:cNvPr id="6504" name="Line 72">
            <a:extLst>
              <a:ext uri="{FF2B5EF4-FFF2-40B4-BE49-F238E27FC236}">
                <a16:creationId xmlns:a16="http://schemas.microsoft.com/office/drawing/2014/main" id="{BC8C4D04-7936-4DFF-9614-0410CCA560E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05" name="Line 73">
            <a:extLst>
              <a:ext uri="{FF2B5EF4-FFF2-40B4-BE49-F238E27FC236}">
                <a16:creationId xmlns:a16="http://schemas.microsoft.com/office/drawing/2014/main" id="{7A544A40-9328-44F5-9D85-5162C9B88C6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95250</xdr:rowOff>
    </xdr:from>
    <xdr:to>
      <xdr:col>11</xdr:col>
      <xdr:colOff>0</xdr:colOff>
      <xdr:row>19</xdr:row>
      <xdr:rowOff>142875</xdr:rowOff>
    </xdr:to>
    <xdr:grpSp>
      <xdr:nvGrpSpPr>
        <xdr:cNvPr id="6434" name="Group 74">
          <a:extLst>
            <a:ext uri="{FF2B5EF4-FFF2-40B4-BE49-F238E27FC236}">
              <a16:creationId xmlns:a16="http://schemas.microsoft.com/office/drawing/2014/main" id="{1F350617-330D-4D2A-9346-01427CF349D1}"/>
            </a:ext>
          </a:extLst>
        </xdr:cNvPr>
        <xdr:cNvGrpSpPr>
          <a:grpSpLocks/>
        </xdr:cNvGrpSpPr>
      </xdr:nvGrpSpPr>
      <xdr:grpSpPr bwMode="auto">
        <a:xfrm>
          <a:off x="1314450" y="7096125"/>
          <a:ext cx="2200275" cy="47625"/>
          <a:chOff x="158" y="715"/>
          <a:chExt cx="33" cy="5"/>
        </a:xfrm>
      </xdr:grpSpPr>
      <xdr:sp macro="" textlink="">
        <xdr:nvSpPr>
          <xdr:cNvPr id="6502" name="Line 75">
            <a:extLst>
              <a:ext uri="{FF2B5EF4-FFF2-40B4-BE49-F238E27FC236}">
                <a16:creationId xmlns:a16="http://schemas.microsoft.com/office/drawing/2014/main" id="{1691390C-09AF-4D5E-9C50-868DF0BA311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03" name="Line 76">
            <a:extLst>
              <a:ext uri="{FF2B5EF4-FFF2-40B4-BE49-F238E27FC236}">
                <a16:creationId xmlns:a16="http://schemas.microsoft.com/office/drawing/2014/main" id="{7B241557-F0A6-4631-BE69-693BE8EB53E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114300</xdr:rowOff>
    </xdr:from>
    <xdr:to>
      <xdr:col>12</xdr:col>
      <xdr:colOff>0</xdr:colOff>
      <xdr:row>19</xdr:row>
      <xdr:rowOff>114300</xdr:rowOff>
    </xdr:to>
    <xdr:sp macro="" textlink="">
      <xdr:nvSpPr>
        <xdr:cNvPr id="6435" name="Line 77">
          <a:extLst>
            <a:ext uri="{FF2B5EF4-FFF2-40B4-BE49-F238E27FC236}">
              <a16:creationId xmlns:a16="http://schemas.microsoft.com/office/drawing/2014/main" id="{775213FA-F382-4712-859C-1D7E4A68D374}"/>
            </a:ext>
          </a:extLst>
        </xdr:cNvPr>
        <xdr:cNvSpPr>
          <a:spLocks noChangeShapeType="1"/>
        </xdr:cNvSpPr>
      </xdr:nvSpPr>
      <xdr:spPr bwMode="auto">
        <a:xfrm>
          <a:off x="3514725" y="71151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20</xdr:row>
      <xdr:rowOff>114300</xdr:rowOff>
    </xdr:from>
    <xdr:to>
      <xdr:col>14</xdr:col>
      <xdr:colOff>0</xdr:colOff>
      <xdr:row>20</xdr:row>
      <xdr:rowOff>114300</xdr:rowOff>
    </xdr:to>
    <xdr:sp macro="" textlink="">
      <xdr:nvSpPr>
        <xdr:cNvPr id="6436" name="Line 78">
          <a:extLst>
            <a:ext uri="{FF2B5EF4-FFF2-40B4-BE49-F238E27FC236}">
              <a16:creationId xmlns:a16="http://schemas.microsoft.com/office/drawing/2014/main" id="{BDA429F3-65FC-48CE-AB7E-434B4C77A752}"/>
            </a:ext>
          </a:extLst>
        </xdr:cNvPr>
        <xdr:cNvSpPr>
          <a:spLocks noChangeShapeType="1"/>
        </xdr:cNvSpPr>
      </xdr:nvSpPr>
      <xdr:spPr bwMode="auto">
        <a:xfrm>
          <a:off x="3514725" y="73437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95250</xdr:rowOff>
    </xdr:from>
    <xdr:to>
      <xdr:col>11</xdr:col>
      <xdr:colOff>0</xdr:colOff>
      <xdr:row>20</xdr:row>
      <xdr:rowOff>142875</xdr:rowOff>
    </xdr:to>
    <xdr:grpSp>
      <xdr:nvGrpSpPr>
        <xdr:cNvPr id="6437" name="Group 79">
          <a:extLst>
            <a:ext uri="{FF2B5EF4-FFF2-40B4-BE49-F238E27FC236}">
              <a16:creationId xmlns:a16="http://schemas.microsoft.com/office/drawing/2014/main" id="{97808DA1-5181-4E0A-8923-0251E32D07F6}"/>
            </a:ext>
          </a:extLst>
        </xdr:cNvPr>
        <xdr:cNvGrpSpPr>
          <a:grpSpLocks/>
        </xdr:cNvGrpSpPr>
      </xdr:nvGrpSpPr>
      <xdr:grpSpPr bwMode="auto">
        <a:xfrm>
          <a:off x="1314450" y="7324725"/>
          <a:ext cx="2200275" cy="47625"/>
          <a:chOff x="158" y="715"/>
          <a:chExt cx="33" cy="5"/>
        </a:xfrm>
      </xdr:grpSpPr>
      <xdr:sp macro="" textlink="">
        <xdr:nvSpPr>
          <xdr:cNvPr id="6500" name="Line 80">
            <a:extLst>
              <a:ext uri="{FF2B5EF4-FFF2-40B4-BE49-F238E27FC236}">
                <a16:creationId xmlns:a16="http://schemas.microsoft.com/office/drawing/2014/main" id="{B78B1897-9785-4DC8-A8C9-A4B2C6C233C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01" name="Line 81">
            <a:extLst>
              <a:ext uri="{FF2B5EF4-FFF2-40B4-BE49-F238E27FC236}">
                <a16:creationId xmlns:a16="http://schemas.microsoft.com/office/drawing/2014/main" id="{F2A2542F-567C-404C-BED9-AC29FE108EB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133350</xdr:colOff>
      <xdr:row>7</xdr:row>
      <xdr:rowOff>209550</xdr:rowOff>
    </xdr:from>
    <xdr:to>
      <xdr:col>6</xdr:col>
      <xdr:colOff>95250</xdr:colOff>
      <xdr:row>8</xdr:row>
      <xdr:rowOff>1143000</xdr:rowOff>
    </xdr:to>
    <xdr:sp macro="" textlink="">
      <xdr:nvSpPr>
        <xdr:cNvPr id="83" name="Text Box 82">
          <a:extLst>
            <a:ext uri="{FF2B5EF4-FFF2-40B4-BE49-F238E27FC236}">
              <a16:creationId xmlns:a16="http://schemas.microsoft.com/office/drawing/2014/main" id="{2E8849CE-B6E7-4143-88A9-412E14CBCB70}"/>
            </a:ext>
          </a:extLst>
        </xdr:cNvPr>
        <xdr:cNvSpPr txBox="1">
          <a:spLocks noChangeArrowheads="1"/>
        </xdr:cNvSpPr>
      </xdr:nvSpPr>
      <xdr:spPr bwMode="auto">
        <a:xfrm>
          <a:off x="1323975" y="1390650"/>
          <a:ext cx="238125" cy="1162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府中分れ</a:t>
          </a:r>
        </a:p>
      </xdr:txBody>
    </xdr:sp>
    <xdr:clientData/>
  </xdr:twoCellAnchor>
  <xdr:twoCellAnchor>
    <xdr:from>
      <xdr:col>20</xdr:col>
      <xdr:colOff>85725</xdr:colOff>
      <xdr:row>8</xdr:row>
      <xdr:rowOff>95250</xdr:rowOff>
    </xdr:from>
    <xdr:to>
      <xdr:col>21</xdr:col>
      <xdr:colOff>85725</xdr:colOff>
      <xdr:row>8</xdr:row>
      <xdr:rowOff>1162050</xdr:rowOff>
    </xdr:to>
    <xdr:sp macro="" textlink="">
      <xdr:nvSpPr>
        <xdr:cNvPr id="84" name="Text Box 83">
          <a:extLst>
            <a:ext uri="{FF2B5EF4-FFF2-40B4-BE49-F238E27FC236}">
              <a16:creationId xmlns:a16="http://schemas.microsoft.com/office/drawing/2014/main" id="{23716835-E160-4D73-9622-6EADB50D917C}"/>
            </a:ext>
          </a:extLst>
        </xdr:cNvPr>
        <xdr:cNvSpPr txBox="1">
          <a:spLocks noChangeArrowheads="1"/>
        </xdr:cNvSpPr>
      </xdr:nvSpPr>
      <xdr:spPr bwMode="auto">
        <a:xfrm>
          <a:off x="5419725" y="1504950"/>
          <a:ext cx="276225" cy="1066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岡山</a:t>
          </a:r>
        </a:p>
      </xdr:txBody>
    </xdr:sp>
    <xdr:clientData/>
  </xdr:twoCellAnchor>
  <xdr:twoCellAnchor>
    <xdr:from>
      <xdr:col>8</xdr:col>
      <xdr:colOff>209550</xdr:colOff>
      <xdr:row>15</xdr:row>
      <xdr:rowOff>609600</xdr:rowOff>
    </xdr:from>
    <xdr:to>
      <xdr:col>9</xdr:col>
      <xdr:colOff>161925</xdr:colOff>
      <xdr:row>15</xdr:row>
      <xdr:rowOff>762000</xdr:rowOff>
    </xdr:to>
    <xdr:grpSp>
      <xdr:nvGrpSpPr>
        <xdr:cNvPr id="6440" name="Group 84">
          <a:extLst>
            <a:ext uri="{FF2B5EF4-FFF2-40B4-BE49-F238E27FC236}">
              <a16:creationId xmlns:a16="http://schemas.microsoft.com/office/drawing/2014/main" id="{A507A06E-B5CA-4B3B-91F8-E9A169262FCD}"/>
            </a:ext>
          </a:extLst>
        </xdr:cNvPr>
        <xdr:cNvGrpSpPr>
          <a:grpSpLocks/>
        </xdr:cNvGrpSpPr>
      </xdr:nvGrpSpPr>
      <xdr:grpSpPr bwMode="auto">
        <a:xfrm>
          <a:off x="2781300" y="5343525"/>
          <a:ext cx="266700" cy="152400"/>
          <a:chOff x="248" y="601"/>
          <a:chExt cx="28" cy="16"/>
        </a:xfrm>
      </xdr:grpSpPr>
      <xdr:sp macro="" textlink="">
        <xdr:nvSpPr>
          <xdr:cNvPr id="6496" name="Line 85">
            <a:extLst>
              <a:ext uri="{FF2B5EF4-FFF2-40B4-BE49-F238E27FC236}">
                <a16:creationId xmlns:a16="http://schemas.microsoft.com/office/drawing/2014/main" id="{878AE8BF-9378-4D7B-AC1F-971DAFD99379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97" name="Freeform 86">
            <a:extLst>
              <a:ext uri="{FF2B5EF4-FFF2-40B4-BE49-F238E27FC236}">
                <a16:creationId xmlns:a16="http://schemas.microsoft.com/office/drawing/2014/main" id="{8A1746E8-0BCE-4CDC-A88C-AE67A5B77E32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0 w 193"/>
              <a:gd name="T7" fmla="*/ 0 h 199"/>
              <a:gd name="T8" fmla="*/ 0 w 193"/>
              <a:gd name="T9" fmla="*/ 0 h 199"/>
              <a:gd name="T10" fmla="*/ 0 w 193"/>
              <a:gd name="T11" fmla="*/ 0 h 199"/>
              <a:gd name="T12" fmla="*/ 0 w 193"/>
              <a:gd name="T13" fmla="*/ 0 h 199"/>
              <a:gd name="T14" fmla="*/ 0 w 193"/>
              <a:gd name="T15" fmla="*/ 0 h 199"/>
              <a:gd name="T16" fmla="*/ 0 w 193"/>
              <a:gd name="T17" fmla="*/ 0 h 199"/>
              <a:gd name="T18" fmla="*/ 0 w 193"/>
              <a:gd name="T19" fmla="*/ 0 h 199"/>
              <a:gd name="T20" fmla="*/ 0 w 193"/>
              <a:gd name="T21" fmla="*/ 0 h 199"/>
              <a:gd name="T22" fmla="*/ 0 w 193"/>
              <a:gd name="T23" fmla="*/ 0 h 199"/>
              <a:gd name="T24" fmla="*/ 0 w 193"/>
              <a:gd name="T25" fmla="*/ 0 h 199"/>
              <a:gd name="T26" fmla="*/ 0 w 193"/>
              <a:gd name="T27" fmla="*/ 0 h 199"/>
              <a:gd name="T28" fmla="*/ 0 w 193"/>
              <a:gd name="T29" fmla="*/ 0 h 199"/>
              <a:gd name="T30" fmla="*/ 0 w 193"/>
              <a:gd name="T31" fmla="*/ 0 h 199"/>
              <a:gd name="T32" fmla="*/ 0 w 193"/>
              <a:gd name="T33" fmla="*/ 0 h 199"/>
              <a:gd name="T34" fmla="*/ 0 w 193"/>
              <a:gd name="T35" fmla="*/ 0 h 199"/>
              <a:gd name="T36" fmla="*/ 0 w 193"/>
              <a:gd name="T37" fmla="*/ 0 h 199"/>
              <a:gd name="T38" fmla="*/ 0 w 193"/>
              <a:gd name="T39" fmla="*/ 0 h 199"/>
              <a:gd name="T40" fmla="*/ 0 w 193"/>
              <a:gd name="T41" fmla="*/ 0 h 199"/>
              <a:gd name="T42" fmla="*/ 0 w 193"/>
              <a:gd name="T43" fmla="*/ 0 h 199"/>
              <a:gd name="T44" fmla="*/ 0 w 193"/>
              <a:gd name="T45" fmla="*/ 0 h 199"/>
              <a:gd name="T46" fmla="*/ 0 w 193"/>
              <a:gd name="T47" fmla="*/ 0 h 199"/>
              <a:gd name="T48" fmla="*/ 0 w 193"/>
              <a:gd name="T49" fmla="*/ 0 h 199"/>
              <a:gd name="T50" fmla="*/ 0 w 193"/>
              <a:gd name="T51" fmla="*/ 0 h 199"/>
              <a:gd name="T52" fmla="*/ 0 w 193"/>
              <a:gd name="T53" fmla="*/ 0 h 199"/>
              <a:gd name="T54" fmla="*/ 0 w 193"/>
              <a:gd name="T55" fmla="*/ 0 h 199"/>
              <a:gd name="T56" fmla="*/ 0 w 193"/>
              <a:gd name="T57" fmla="*/ 0 h 199"/>
              <a:gd name="T58" fmla="*/ 0 w 193"/>
              <a:gd name="T59" fmla="*/ 0 h 199"/>
              <a:gd name="T60" fmla="*/ 0 w 193"/>
              <a:gd name="T61" fmla="*/ 0 h 199"/>
              <a:gd name="T62" fmla="*/ 0 w 193"/>
              <a:gd name="T63" fmla="*/ 0 h 199"/>
              <a:gd name="T64" fmla="*/ 0 w 193"/>
              <a:gd name="T65" fmla="*/ 0 h 199"/>
              <a:gd name="T66" fmla="*/ 0 w 193"/>
              <a:gd name="T67" fmla="*/ 0 h 199"/>
              <a:gd name="T68" fmla="*/ 0 w 193"/>
              <a:gd name="T69" fmla="*/ 0 h 199"/>
              <a:gd name="T70" fmla="*/ 0 w 193"/>
              <a:gd name="T71" fmla="*/ 0 h 199"/>
              <a:gd name="T72" fmla="*/ 0 w 193"/>
              <a:gd name="T73" fmla="*/ 0 h 199"/>
              <a:gd name="T74" fmla="*/ 0 w 193"/>
              <a:gd name="T75" fmla="*/ 0 h 199"/>
              <a:gd name="T76" fmla="*/ 0 w 193"/>
              <a:gd name="T77" fmla="*/ 0 h 199"/>
              <a:gd name="T78" fmla="*/ 0 w 193"/>
              <a:gd name="T79" fmla="*/ 0 h 199"/>
              <a:gd name="T80" fmla="*/ 0 w 193"/>
              <a:gd name="T81" fmla="*/ 0 h 199"/>
              <a:gd name="T82" fmla="*/ 0 w 193"/>
              <a:gd name="T83" fmla="*/ 0 h 199"/>
              <a:gd name="T84" fmla="*/ 0 w 193"/>
              <a:gd name="T85" fmla="*/ 0 h 199"/>
              <a:gd name="T86" fmla="*/ 0 w 193"/>
              <a:gd name="T87" fmla="*/ 0 h 199"/>
              <a:gd name="T88" fmla="*/ 0 w 193"/>
              <a:gd name="T89" fmla="*/ 0 h 199"/>
              <a:gd name="T90" fmla="*/ 0 w 193"/>
              <a:gd name="T91" fmla="*/ 0 h 199"/>
              <a:gd name="T92" fmla="*/ 0 w 193"/>
              <a:gd name="T93" fmla="*/ 0 h 199"/>
              <a:gd name="T94" fmla="*/ 0 w 193"/>
              <a:gd name="T95" fmla="*/ 0 h 199"/>
              <a:gd name="T96" fmla="*/ 0 w 193"/>
              <a:gd name="T97" fmla="*/ 0 h 199"/>
              <a:gd name="T98" fmla="*/ 0 w 193"/>
              <a:gd name="T99" fmla="*/ 0 h 199"/>
              <a:gd name="T100" fmla="*/ 0 w 193"/>
              <a:gd name="T101" fmla="*/ 0 h 199"/>
              <a:gd name="T102" fmla="*/ 0 w 193"/>
              <a:gd name="T103" fmla="*/ 0 h 199"/>
              <a:gd name="T104" fmla="*/ 0 w 193"/>
              <a:gd name="T105" fmla="*/ 0 h 199"/>
              <a:gd name="T106" fmla="*/ 0 w 193"/>
              <a:gd name="T107" fmla="*/ 0 h 199"/>
              <a:gd name="T108" fmla="*/ 0 w 193"/>
              <a:gd name="T109" fmla="*/ 0 h 199"/>
              <a:gd name="T110" fmla="*/ 0 w 193"/>
              <a:gd name="T111" fmla="*/ 0 h 199"/>
              <a:gd name="T112" fmla="*/ 0 w 193"/>
              <a:gd name="T113" fmla="*/ 0 h 199"/>
              <a:gd name="T114" fmla="*/ 0 w 193"/>
              <a:gd name="T115" fmla="*/ 0 h 199"/>
              <a:gd name="T116" fmla="*/ 0 w 193"/>
              <a:gd name="T117" fmla="*/ 0 h 199"/>
              <a:gd name="T118" fmla="*/ 0 w 193"/>
              <a:gd name="T119" fmla="*/ 0 h 199"/>
              <a:gd name="T120" fmla="*/ 0 w 193"/>
              <a:gd name="T121" fmla="*/ 0 h 199"/>
              <a:gd name="T122" fmla="*/ 0 w 19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498" name="Line 87">
            <a:extLst>
              <a:ext uri="{FF2B5EF4-FFF2-40B4-BE49-F238E27FC236}">
                <a16:creationId xmlns:a16="http://schemas.microsoft.com/office/drawing/2014/main" id="{E38928D6-959A-44A6-BFDC-F543170D3B42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99" name="Freeform 88">
            <a:extLst>
              <a:ext uri="{FF2B5EF4-FFF2-40B4-BE49-F238E27FC236}">
                <a16:creationId xmlns:a16="http://schemas.microsoft.com/office/drawing/2014/main" id="{ECC65353-1455-4C43-90BE-C9B7ED06A5CC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0 w 201"/>
              <a:gd name="T1" fmla="*/ 0 h 174"/>
              <a:gd name="T2" fmla="*/ 0 w 201"/>
              <a:gd name="T3" fmla="*/ 0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228600</xdr:colOff>
      <xdr:row>15</xdr:row>
      <xdr:rowOff>885825</xdr:rowOff>
    </xdr:from>
    <xdr:to>
      <xdr:col>10</xdr:col>
      <xdr:colOff>180975</xdr:colOff>
      <xdr:row>15</xdr:row>
      <xdr:rowOff>1038225</xdr:rowOff>
    </xdr:to>
    <xdr:grpSp>
      <xdr:nvGrpSpPr>
        <xdr:cNvPr id="6441" name="Group 89">
          <a:extLst>
            <a:ext uri="{FF2B5EF4-FFF2-40B4-BE49-F238E27FC236}">
              <a16:creationId xmlns:a16="http://schemas.microsoft.com/office/drawing/2014/main" id="{A32932EE-D9F1-499D-AF0D-79C91E118ABF}"/>
            </a:ext>
          </a:extLst>
        </xdr:cNvPr>
        <xdr:cNvGrpSpPr>
          <a:grpSpLocks/>
        </xdr:cNvGrpSpPr>
      </xdr:nvGrpSpPr>
      <xdr:grpSpPr bwMode="auto">
        <a:xfrm rot="10800000">
          <a:off x="3114675" y="5619750"/>
          <a:ext cx="266700" cy="152400"/>
          <a:chOff x="248" y="601"/>
          <a:chExt cx="28" cy="16"/>
        </a:xfrm>
      </xdr:grpSpPr>
      <xdr:sp macro="" textlink="">
        <xdr:nvSpPr>
          <xdr:cNvPr id="6492" name="Line 90">
            <a:extLst>
              <a:ext uri="{FF2B5EF4-FFF2-40B4-BE49-F238E27FC236}">
                <a16:creationId xmlns:a16="http://schemas.microsoft.com/office/drawing/2014/main" id="{6895C1DC-3A4C-4A65-8292-0AA28D6067C9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93" name="Freeform 91">
            <a:extLst>
              <a:ext uri="{FF2B5EF4-FFF2-40B4-BE49-F238E27FC236}">
                <a16:creationId xmlns:a16="http://schemas.microsoft.com/office/drawing/2014/main" id="{27A84DCC-8434-430A-B569-9FF47D82792B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0 w 193"/>
              <a:gd name="T7" fmla="*/ 0 h 199"/>
              <a:gd name="T8" fmla="*/ 0 w 193"/>
              <a:gd name="T9" fmla="*/ 0 h 199"/>
              <a:gd name="T10" fmla="*/ 0 w 193"/>
              <a:gd name="T11" fmla="*/ 0 h 199"/>
              <a:gd name="T12" fmla="*/ 0 w 193"/>
              <a:gd name="T13" fmla="*/ 0 h 199"/>
              <a:gd name="T14" fmla="*/ 0 w 193"/>
              <a:gd name="T15" fmla="*/ 0 h 199"/>
              <a:gd name="T16" fmla="*/ 0 w 193"/>
              <a:gd name="T17" fmla="*/ 0 h 199"/>
              <a:gd name="T18" fmla="*/ 0 w 193"/>
              <a:gd name="T19" fmla="*/ 0 h 199"/>
              <a:gd name="T20" fmla="*/ 0 w 193"/>
              <a:gd name="T21" fmla="*/ 0 h 199"/>
              <a:gd name="T22" fmla="*/ 0 w 193"/>
              <a:gd name="T23" fmla="*/ 0 h 199"/>
              <a:gd name="T24" fmla="*/ 0 w 193"/>
              <a:gd name="T25" fmla="*/ 0 h 199"/>
              <a:gd name="T26" fmla="*/ 0 w 193"/>
              <a:gd name="T27" fmla="*/ 0 h 199"/>
              <a:gd name="T28" fmla="*/ 0 w 193"/>
              <a:gd name="T29" fmla="*/ 0 h 199"/>
              <a:gd name="T30" fmla="*/ 0 w 193"/>
              <a:gd name="T31" fmla="*/ 0 h 199"/>
              <a:gd name="T32" fmla="*/ 0 w 193"/>
              <a:gd name="T33" fmla="*/ 0 h 199"/>
              <a:gd name="T34" fmla="*/ 0 w 193"/>
              <a:gd name="T35" fmla="*/ 0 h 199"/>
              <a:gd name="T36" fmla="*/ 0 w 193"/>
              <a:gd name="T37" fmla="*/ 0 h 199"/>
              <a:gd name="T38" fmla="*/ 0 w 193"/>
              <a:gd name="T39" fmla="*/ 0 h 199"/>
              <a:gd name="T40" fmla="*/ 0 w 193"/>
              <a:gd name="T41" fmla="*/ 0 h 199"/>
              <a:gd name="T42" fmla="*/ 0 w 193"/>
              <a:gd name="T43" fmla="*/ 0 h 199"/>
              <a:gd name="T44" fmla="*/ 0 w 193"/>
              <a:gd name="T45" fmla="*/ 0 h 199"/>
              <a:gd name="T46" fmla="*/ 0 w 193"/>
              <a:gd name="T47" fmla="*/ 0 h 199"/>
              <a:gd name="T48" fmla="*/ 0 w 193"/>
              <a:gd name="T49" fmla="*/ 0 h 199"/>
              <a:gd name="T50" fmla="*/ 0 w 193"/>
              <a:gd name="T51" fmla="*/ 0 h 199"/>
              <a:gd name="T52" fmla="*/ 0 w 193"/>
              <a:gd name="T53" fmla="*/ 0 h 199"/>
              <a:gd name="T54" fmla="*/ 0 w 193"/>
              <a:gd name="T55" fmla="*/ 0 h 199"/>
              <a:gd name="T56" fmla="*/ 0 w 193"/>
              <a:gd name="T57" fmla="*/ 0 h 199"/>
              <a:gd name="T58" fmla="*/ 0 w 193"/>
              <a:gd name="T59" fmla="*/ 0 h 199"/>
              <a:gd name="T60" fmla="*/ 0 w 193"/>
              <a:gd name="T61" fmla="*/ 0 h 199"/>
              <a:gd name="T62" fmla="*/ 0 w 193"/>
              <a:gd name="T63" fmla="*/ 0 h 199"/>
              <a:gd name="T64" fmla="*/ 0 w 193"/>
              <a:gd name="T65" fmla="*/ 0 h 199"/>
              <a:gd name="T66" fmla="*/ 0 w 193"/>
              <a:gd name="T67" fmla="*/ 0 h 199"/>
              <a:gd name="T68" fmla="*/ 0 w 193"/>
              <a:gd name="T69" fmla="*/ 0 h 199"/>
              <a:gd name="T70" fmla="*/ 0 w 193"/>
              <a:gd name="T71" fmla="*/ 0 h 199"/>
              <a:gd name="T72" fmla="*/ 0 w 193"/>
              <a:gd name="T73" fmla="*/ 0 h 199"/>
              <a:gd name="T74" fmla="*/ 0 w 193"/>
              <a:gd name="T75" fmla="*/ 0 h 199"/>
              <a:gd name="T76" fmla="*/ 0 w 193"/>
              <a:gd name="T77" fmla="*/ 0 h 199"/>
              <a:gd name="T78" fmla="*/ 0 w 193"/>
              <a:gd name="T79" fmla="*/ 0 h 199"/>
              <a:gd name="T80" fmla="*/ 0 w 193"/>
              <a:gd name="T81" fmla="*/ 0 h 199"/>
              <a:gd name="T82" fmla="*/ 0 w 193"/>
              <a:gd name="T83" fmla="*/ 0 h 199"/>
              <a:gd name="T84" fmla="*/ 0 w 193"/>
              <a:gd name="T85" fmla="*/ 0 h 199"/>
              <a:gd name="T86" fmla="*/ 0 w 193"/>
              <a:gd name="T87" fmla="*/ 0 h 199"/>
              <a:gd name="T88" fmla="*/ 0 w 193"/>
              <a:gd name="T89" fmla="*/ 0 h 199"/>
              <a:gd name="T90" fmla="*/ 0 w 193"/>
              <a:gd name="T91" fmla="*/ 0 h 199"/>
              <a:gd name="T92" fmla="*/ 0 w 193"/>
              <a:gd name="T93" fmla="*/ 0 h 199"/>
              <a:gd name="T94" fmla="*/ 0 w 193"/>
              <a:gd name="T95" fmla="*/ 0 h 199"/>
              <a:gd name="T96" fmla="*/ 0 w 193"/>
              <a:gd name="T97" fmla="*/ 0 h 199"/>
              <a:gd name="T98" fmla="*/ 0 w 193"/>
              <a:gd name="T99" fmla="*/ 0 h 199"/>
              <a:gd name="T100" fmla="*/ 0 w 193"/>
              <a:gd name="T101" fmla="*/ 0 h 199"/>
              <a:gd name="T102" fmla="*/ 0 w 193"/>
              <a:gd name="T103" fmla="*/ 0 h 199"/>
              <a:gd name="T104" fmla="*/ 0 w 193"/>
              <a:gd name="T105" fmla="*/ 0 h 199"/>
              <a:gd name="T106" fmla="*/ 0 w 193"/>
              <a:gd name="T107" fmla="*/ 0 h 199"/>
              <a:gd name="T108" fmla="*/ 0 w 193"/>
              <a:gd name="T109" fmla="*/ 0 h 199"/>
              <a:gd name="T110" fmla="*/ 0 w 193"/>
              <a:gd name="T111" fmla="*/ 0 h 199"/>
              <a:gd name="T112" fmla="*/ 0 w 193"/>
              <a:gd name="T113" fmla="*/ 0 h 199"/>
              <a:gd name="T114" fmla="*/ 0 w 193"/>
              <a:gd name="T115" fmla="*/ 0 h 199"/>
              <a:gd name="T116" fmla="*/ 0 w 193"/>
              <a:gd name="T117" fmla="*/ 0 h 199"/>
              <a:gd name="T118" fmla="*/ 0 w 193"/>
              <a:gd name="T119" fmla="*/ 0 h 199"/>
              <a:gd name="T120" fmla="*/ 0 w 193"/>
              <a:gd name="T121" fmla="*/ 0 h 199"/>
              <a:gd name="T122" fmla="*/ 0 w 19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494" name="Line 92">
            <a:extLst>
              <a:ext uri="{FF2B5EF4-FFF2-40B4-BE49-F238E27FC236}">
                <a16:creationId xmlns:a16="http://schemas.microsoft.com/office/drawing/2014/main" id="{FB2C434C-800D-4B7D-A73E-F644E82F8910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95" name="Freeform 93">
            <a:extLst>
              <a:ext uri="{FF2B5EF4-FFF2-40B4-BE49-F238E27FC236}">
                <a16:creationId xmlns:a16="http://schemas.microsoft.com/office/drawing/2014/main" id="{9DD06BC5-812E-46EC-95CF-6CDE1EC65D7D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0 w 201"/>
              <a:gd name="T1" fmla="*/ 0 h 174"/>
              <a:gd name="T2" fmla="*/ 0 w 201"/>
              <a:gd name="T3" fmla="*/ 0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19050</xdr:colOff>
      <xdr:row>18</xdr:row>
      <xdr:rowOff>38100</xdr:rowOff>
    </xdr:from>
    <xdr:to>
      <xdr:col>9</xdr:col>
      <xdr:colOff>0</xdr:colOff>
      <xdr:row>18</xdr:row>
      <xdr:rowOff>209550</xdr:rowOff>
    </xdr:to>
    <xdr:grpSp>
      <xdr:nvGrpSpPr>
        <xdr:cNvPr id="6442" name="Group 94">
          <a:extLst>
            <a:ext uri="{FF2B5EF4-FFF2-40B4-BE49-F238E27FC236}">
              <a16:creationId xmlns:a16="http://schemas.microsoft.com/office/drawing/2014/main" id="{E919BA31-1A87-4DFD-9114-639DFFCCF254}"/>
            </a:ext>
          </a:extLst>
        </xdr:cNvPr>
        <xdr:cNvGrpSpPr>
          <a:grpSpLocks/>
        </xdr:cNvGrpSpPr>
      </xdr:nvGrpSpPr>
      <xdr:grpSpPr bwMode="auto">
        <a:xfrm>
          <a:off x="2590800" y="6810375"/>
          <a:ext cx="295275" cy="171450"/>
          <a:chOff x="226" y="755"/>
          <a:chExt cx="29" cy="18"/>
        </a:xfrm>
      </xdr:grpSpPr>
      <xdr:sp macro="" textlink="">
        <xdr:nvSpPr>
          <xdr:cNvPr id="6489" name="Oval 95">
            <a:extLst>
              <a:ext uri="{FF2B5EF4-FFF2-40B4-BE49-F238E27FC236}">
                <a16:creationId xmlns:a16="http://schemas.microsoft.com/office/drawing/2014/main" id="{B266D3A9-2398-4B17-8EAE-7D637A09C406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490" name="Line 96">
            <a:extLst>
              <a:ext uri="{FF2B5EF4-FFF2-40B4-BE49-F238E27FC236}">
                <a16:creationId xmlns:a16="http://schemas.microsoft.com/office/drawing/2014/main" id="{E55B2973-ED28-4F8D-891D-7C11AAA39B6A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91" name="Freeform 97">
            <a:extLst>
              <a:ext uri="{FF2B5EF4-FFF2-40B4-BE49-F238E27FC236}">
                <a16:creationId xmlns:a16="http://schemas.microsoft.com/office/drawing/2014/main" id="{C1DFEDB5-60AE-49AF-820D-EB369D70FD94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0 h 208"/>
              <a:gd name="T2" fmla="*/ 0 w 268"/>
              <a:gd name="T3" fmla="*/ 0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19050</xdr:colOff>
      <xdr:row>21</xdr:row>
      <xdr:rowOff>38100</xdr:rowOff>
    </xdr:from>
    <xdr:to>
      <xdr:col>16</xdr:col>
      <xdr:colOff>0</xdr:colOff>
      <xdr:row>21</xdr:row>
      <xdr:rowOff>209550</xdr:rowOff>
    </xdr:to>
    <xdr:grpSp>
      <xdr:nvGrpSpPr>
        <xdr:cNvPr id="6443" name="Group 98">
          <a:extLst>
            <a:ext uri="{FF2B5EF4-FFF2-40B4-BE49-F238E27FC236}">
              <a16:creationId xmlns:a16="http://schemas.microsoft.com/office/drawing/2014/main" id="{CD18C5C0-63D6-4D86-A218-81FA0DAF927D}"/>
            </a:ext>
          </a:extLst>
        </xdr:cNvPr>
        <xdr:cNvGrpSpPr>
          <a:grpSpLocks/>
        </xdr:cNvGrpSpPr>
      </xdr:nvGrpSpPr>
      <xdr:grpSpPr bwMode="auto">
        <a:xfrm>
          <a:off x="4791075" y="7496175"/>
          <a:ext cx="295275" cy="171450"/>
          <a:chOff x="226" y="755"/>
          <a:chExt cx="29" cy="18"/>
        </a:xfrm>
      </xdr:grpSpPr>
      <xdr:sp macro="" textlink="">
        <xdr:nvSpPr>
          <xdr:cNvPr id="6486" name="Oval 99">
            <a:extLst>
              <a:ext uri="{FF2B5EF4-FFF2-40B4-BE49-F238E27FC236}">
                <a16:creationId xmlns:a16="http://schemas.microsoft.com/office/drawing/2014/main" id="{FDC8E2E5-0AFC-4175-8FF1-F0E0BC05CE40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487" name="Line 100">
            <a:extLst>
              <a:ext uri="{FF2B5EF4-FFF2-40B4-BE49-F238E27FC236}">
                <a16:creationId xmlns:a16="http://schemas.microsoft.com/office/drawing/2014/main" id="{1183C643-E70B-4EC9-BBC8-412CFEA71BBB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88" name="Freeform 101">
            <a:extLst>
              <a:ext uri="{FF2B5EF4-FFF2-40B4-BE49-F238E27FC236}">
                <a16:creationId xmlns:a16="http://schemas.microsoft.com/office/drawing/2014/main" id="{3EB9544D-01F5-4B30-A00B-4E66610D46DA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0 h 208"/>
              <a:gd name="T2" fmla="*/ 0 w 268"/>
              <a:gd name="T3" fmla="*/ 0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6</xdr:col>
      <xdr:colOff>219075</xdr:colOff>
      <xdr:row>4</xdr:row>
      <xdr:rowOff>66675</xdr:rowOff>
    </xdr:from>
    <xdr:to>
      <xdr:col>18</xdr:col>
      <xdr:colOff>133350</xdr:colOff>
      <xdr:row>10</xdr:row>
      <xdr:rowOff>47625</xdr:rowOff>
    </xdr:to>
    <xdr:pic>
      <xdr:nvPicPr>
        <xdr:cNvPr id="6444" name="Picture 102">
          <a:extLst>
            <a:ext uri="{FF2B5EF4-FFF2-40B4-BE49-F238E27FC236}">
              <a16:creationId xmlns:a16="http://schemas.microsoft.com/office/drawing/2014/main" id="{0FD5EE30-017B-4713-804F-33A97A5CA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638175"/>
          <a:ext cx="3686175" cy="3000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38100</xdr:colOff>
      <xdr:row>8</xdr:row>
      <xdr:rowOff>933450</xdr:rowOff>
    </xdr:from>
    <xdr:ext cx="844265" cy="1836844"/>
    <xdr:sp macro="" textlink="">
      <xdr:nvSpPr>
        <xdr:cNvPr id="104" name="Text Box 103">
          <a:extLst>
            <a:ext uri="{FF2B5EF4-FFF2-40B4-BE49-F238E27FC236}">
              <a16:creationId xmlns:a16="http://schemas.microsoft.com/office/drawing/2014/main" id="{9DDE089D-185F-43B0-AEC1-32EF71941BD2}"/>
            </a:ext>
          </a:extLst>
        </xdr:cNvPr>
        <xdr:cNvSpPr txBox="1">
          <a:spLocks noChangeArrowheads="1"/>
        </xdr:cNvSpPr>
      </xdr:nvSpPr>
      <xdr:spPr bwMode="auto">
        <a:xfrm>
          <a:off x="38100" y="2419350"/>
          <a:ext cx="844265" cy="183684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付加機能</a:t>
          </a: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oneCellAnchor>
    <xdr:from>
      <xdr:col>11</xdr:col>
      <xdr:colOff>38100</xdr:colOff>
      <xdr:row>15</xdr:row>
      <xdr:rowOff>1171575</xdr:rowOff>
    </xdr:from>
    <xdr:ext cx="288541" cy="150041"/>
    <xdr:sp macro="" textlink="">
      <xdr:nvSpPr>
        <xdr:cNvPr id="105" name="Text Box 104">
          <a:extLst>
            <a:ext uri="{FF2B5EF4-FFF2-40B4-BE49-F238E27FC236}">
              <a16:creationId xmlns:a16="http://schemas.microsoft.com/office/drawing/2014/main" id="{4ECAB871-6429-421A-99E1-6C092D4A08A3}"/>
            </a:ext>
          </a:extLst>
        </xdr:cNvPr>
        <xdr:cNvSpPr txBox="1">
          <a:spLocks noChangeArrowheads="1"/>
        </xdr:cNvSpPr>
      </xdr:nvSpPr>
      <xdr:spPr bwMode="auto">
        <a:xfrm>
          <a:off x="3552825" y="5905500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23.0m</a:t>
          </a:r>
        </a:p>
      </xdr:txBody>
    </xdr:sp>
    <xdr:clientData/>
  </xdr:oneCellAnchor>
  <xdr:twoCellAnchor editAs="oneCell">
    <xdr:from>
      <xdr:col>21</xdr:col>
      <xdr:colOff>238125</xdr:colOff>
      <xdr:row>15</xdr:row>
      <xdr:rowOff>400050</xdr:rowOff>
    </xdr:from>
    <xdr:to>
      <xdr:col>23</xdr:col>
      <xdr:colOff>85725</xdr:colOff>
      <xdr:row>15</xdr:row>
      <xdr:rowOff>1095375</xdr:rowOff>
    </xdr:to>
    <xdr:pic>
      <xdr:nvPicPr>
        <xdr:cNvPr id="6447" name="Picture 106" descr="北マーク（北）">
          <a:extLst>
            <a:ext uri="{FF2B5EF4-FFF2-40B4-BE49-F238E27FC236}">
              <a16:creationId xmlns:a16="http://schemas.microsoft.com/office/drawing/2014/main" id="{F2B8D48C-15EC-4089-85D9-E78B3746E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5133975"/>
          <a:ext cx="476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257175</xdr:colOff>
      <xdr:row>15</xdr:row>
      <xdr:rowOff>238125</xdr:rowOff>
    </xdr:from>
    <xdr:ext cx="288541" cy="150041"/>
    <xdr:sp macro="" textlink="">
      <xdr:nvSpPr>
        <xdr:cNvPr id="108" name="Text Box 107">
          <a:extLst>
            <a:ext uri="{FF2B5EF4-FFF2-40B4-BE49-F238E27FC236}">
              <a16:creationId xmlns:a16="http://schemas.microsoft.com/office/drawing/2014/main" id="{3FF209C1-2A06-4CE8-89F9-7F9263756BA2}"/>
            </a:ext>
          </a:extLst>
        </xdr:cNvPr>
        <xdr:cNvSpPr txBox="1">
          <a:spLocks noChangeArrowheads="1"/>
        </xdr:cNvSpPr>
      </xdr:nvSpPr>
      <xdr:spPr bwMode="auto">
        <a:xfrm>
          <a:off x="4400550" y="4972050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11</xdr:col>
      <xdr:colOff>28575</xdr:colOff>
      <xdr:row>15</xdr:row>
      <xdr:rowOff>228600</xdr:rowOff>
    </xdr:from>
    <xdr:ext cx="288541" cy="150041"/>
    <xdr:sp macro="" textlink="">
      <xdr:nvSpPr>
        <xdr:cNvPr id="109" name="Text Box 108">
          <a:extLst>
            <a:ext uri="{FF2B5EF4-FFF2-40B4-BE49-F238E27FC236}">
              <a16:creationId xmlns:a16="http://schemas.microsoft.com/office/drawing/2014/main" id="{A54E38EE-C106-4045-9C6B-4FFDB6200383}"/>
            </a:ext>
          </a:extLst>
        </xdr:cNvPr>
        <xdr:cNvSpPr txBox="1">
          <a:spLocks noChangeArrowheads="1"/>
        </xdr:cNvSpPr>
      </xdr:nvSpPr>
      <xdr:spPr bwMode="auto">
        <a:xfrm>
          <a:off x="3543300" y="496252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16</xdr:col>
      <xdr:colOff>114300</xdr:colOff>
      <xdr:row>15</xdr:row>
      <xdr:rowOff>276225</xdr:rowOff>
    </xdr:from>
    <xdr:ext cx="458086" cy="133370"/>
    <xdr:sp macro="" textlink="">
      <xdr:nvSpPr>
        <xdr:cNvPr id="110" name="Text Box 109">
          <a:extLst>
            <a:ext uri="{FF2B5EF4-FFF2-40B4-BE49-F238E27FC236}">
              <a16:creationId xmlns:a16="http://schemas.microsoft.com/office/drawing/2014/main" id="{8E89DE69-2BFD-4054-A20F-9951FD70CF86}"/>
            </a:ext>
          </a:extLst>
        </xdr:cNvPr>
        <xdr:cNvSpPr txBox="1">
          <a:spLocks noChangeArrowheads="1"/>
        </xdr:cNvSpPr>
      </xdr:nvSpPr>
      <xdr:spPr bwMode="auto">
        <a:xfrm>
          <a:off x="5200650" y="5010150"/>
          <a:ext cx="410369" cy="13337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ギャップ</a:t>
          </a:r>
        </a:p>
      </xdr:txBody>
    </xdr:sp>
    <xdr:clientData/>
  </xdr:oneCellAnchor>
  <xdr:twoCellAnchor>
    <xdr:from>
      <xdr:col>4</xdr:col>
      <xdr:colOff>38100</xdr:colOff>
      <xdr:row>15</xdr:row>
      <xdr:rowOff>504825</xdr:rowOff>
    </xdr:from>
    <xdr:to>
      <xdr:col>7</xdr:col>
      <xdr:colOff>85725</xdr:colOff>
      <xdr:row>15</xdr:row>
      <xdr:rowOff>809625</xdr:rowOff>
    </xdr:to>
    <xdr:grpSp>
      <xdr:nvGrpSpPr>
        <xdr:cNvPr id="6451" name="Group 110">
          <a:extLst>
            <a:ext uri="{FF2B5EF4-FFF2-40B4-BE49-F238E27FC236}">
              <a16:creationId xmlns:a16="http://schemas.microsoft.com/office/drawing/2014/main" id="{5D7BD0A8-E46A-4B11-8B21-0BA8649DD1A6}"/>
            </a:ext>
          </a:extLst>
        </xdr:cNvPr>
        <xdr:cNvGrpSpPr>
          <a:grpSpLocks/>
        </xdr:cNvGrpSpPr>
      </xdr:nvGrpSpPr>
      <xdr:grpSpPr bwMode="auto">
        <a:xfrm>
          <a:off x="1352550" y="5238750"/>
          <a:ext cx="990600" cy="304800"/>
          <a:chOff x="123" y="585"/>
          <a:chExt cx="105" cy="32"/>
        </a:xfrm>
      </xdr:grpSpPr>
      <xdr:sp macro="" textlink="">
        <xdr:nvSpPr>
          <xdr:cNvPr id="6476" name="Line 111">
            <a:extLst>
              <a:ext uri="{FF2B5EF4-FFF2-40B4-BE49-F238E27FC236}">
                <a16:creationId xmlns:a16="http://schemas.microsoft.com/office/drawing/2014/main" id="{D3B4F35B-B092-44C7-9E6A-4367EC639A10}"/>
              </a:ext>
            </a:extLst>
          </xdr:cNvPr>
          <xdr:cNvSpPr>
            <a:spLocks noChangeShapeType="1"/>
          </xdr:cNvSpPr>
        </xdr:nvSpPr>
        <xdr:spPr bwMode="auto">
          <a:xfrm>
            <a:off x="123" y="60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77" name="Freeform 112">
            <a:extLst>
              <a:ext uri="{FF2B5EF4-FFF2-40B4-BE49-F238E27FC236}">
                <a16:creationId xmlns:a16="http://schemas.microsoft.com/office/drawing/2014/main" id="{C9170DBA-ED7B-4D17-ABB6-4BA8ECE409B2}"/>
              </a:ext>
            </a:extLst>
          </xdr:cNvPr>
          <xdr:cNvSpPr>
            <a:spLocks/>
          </xdr:cNvSpPr>
        </xdr:nvSpPr>
        <xdr:spPr bwMode="auto">
          <a:xfrm>
            <a:off x="221" y="598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grpSp>
        <xdr:nvGrpSpPr>
          <xdr:cNvPr id="6478" name="Group 113">
            <a:extLst>
              <a:ext uri="{FF2B5EF4-FFF2-40B4-BE49-F238E27FC236}">
                <a16:creationId xmlns:a16="http://schemas.microsoft.com/office/drawing/2014/main" id="{335FAD45-5CDC-410F-8DD1-04965F0D881E}"/>
              </a:ext>
            </a:extLst>
          </xdr:cNvPr>
          <xdr:cNvGrpSpPr>
            <a:grpSpLocks/>
          </xdr:cNvGrpSpPr>
        </xdr:nvGrpSpPr>
        <xdr:grpSpPr bwMode="auto">
          <a:xfrm>
            <a:off x="143" y="585"/>
            <a:ext cx="11" cy="16"/>
            <a:chOff x="130" y="585"/>
            <a:chExt cx="11" cy="16"/>
          </a:xfrm>
        </xdr:grpSpPr>
        <xdr:sp macro="" textlink="">
          <xdr:nvSpPr>
            <xdr:cNvPr id="6483" name="Freeform 114">
              <a:extLst>
                <a:ext uri="{FF2B5EF4-FFF2-40B4-BE49-F238E27FC236}">
                  <a16:creationId xmlns:a16="http://schemas.microsoft.com/office/drawing/2014/main" id="{4E8D6599-FE18-474B-94B9-12EDA064301A}"/>
                </a:ext>
              </a:extLst>
            </xdr:cNvPr>
            <xdr:cNvSpPr>
              <a:spLocks/>
            </xdr:cNvSpPr>
          </xdr:nvSpPr>
          <xdr:spPr bwMode="auto">
            <a:xfrm>
              <a:off x="130" y="593"/>
              <a:ext cx="7" cy="8"/>
            </a:xfrm>
            <a:custGeom>
              <a:avLst/>
              <a:gdLst>
                <a:gd name="T0" fmla="*/ 0 w 203"/>
                <a:gd name="T1" fmla="*/ 0 h 199"/>
                <a:gd name="T2" fmla="*/ 0 w 203"/>
                <a:gd name="T3" fmla="*/ 0 h 199"/>
                <a:gd name="T4" fmla="*/ 0 w 203"/>
                <a:gd name="T5" fmla="*/ 0 h 199"/>
                <a:gd name="T6" fmla="*/ 0 w 203"/>
                <a:gd name="T7" fmla="*/ 0 h 199"/>
                <a:gd name="T8" fmla="*/ 0 w 203"/>
                <a:gd name="T9" fmla="*/ 0 h 199"/>
                <a:gd name="T10" fmla="*/ 0 w 203"/>
                <a:gd name="T11" fmla="*/ 0 h 199"/>
                <a:gd name="T12" fmla="*/ 0 w 203"/>
                <a:gd name="T13" fmla="*/ 0 h 199"/>
                <a:gd name="T14" fmla="*/ 0 w 203"/>
                <a:gd name="T15" fmla="*/ 0 h 199"/>
                <a:gd name="T16" fmla="*/ 0 w 203"/>
                <a:gd name="T17" fmla="*/ 0 h 199"/>
                <a:gd name="T18" fmla="*/ 0 w 203"/>
                <a:gd name="T19" fmla="*/ 0 h 199"/>
                <a:gd name="T20" fmla="*/ 0 w 203"/>
                <a:gd name="T21" fmla="*/ 0 h 199"/>
                <a:gd name="T22" fmla="*/ 0 w 203"/>
                <a:gd name="T23" fmla="*/ 0 h 199"/>
                <a:gd name="T24" fmla="*/ 0 w 203"/>
                <a:gd name="T25" fmla="*/ 0 h 199"/>
                <a:gd name="T26" fmla="*/ 0 w 203"/>
                <a:gd name="T27" fmla="*/ 0 h 199"/>
                <a:gd name="T28" fmla="*/ 0 w 203"/>
                <a:gd name="T29" fmla="*/ 0 h 199"/>
                <a:gd name="T30" fmla="*/ 0 w 203"/>
                <a:gd name="T31" fmla="*/ 0 h 199"/>
                <a:gd name="T32" fmla="*/ 0 w 203"/>
                <a:gd name="T33" fmla="*/ 0 h 199"/>
                <a:gd name="T34" fmla="*/ 0 w 203"/>
                <a:gd name="T35" fmla="*/ 0 h 199"/>
                <a:gd name="T36" fmla="*/ 0 w 203"/>
                <a:gd name="T37" fmla="*/ 0 h 199"/>
                <a:gd name="T38" fmla="*/ 0 w 203"/>
                <a:gd name="T39" fmla="*/ 0 h 199"/>
                <a:gd name="T40" fmla="*/ 0 w 203"/>
                <a:gd name="T41" fmla="*/ 0 h 199"/>
                <a:gd name="T42" fmla="*/ 0 w 203"/>
                <a:gd name="T43" fmla="*/ 0 h 199"/>
                <a:gd name="T44" fmla="*/ 0 w 203"/>
                <a:gd name="T45" fmla="*/ 0 h 199"/>
                <a:gd name="T46" fmla="*/ 0 w 203"/>
                <a:gd name="T47" fmla="*/ 0 h 199"/>
                <a:gd name="T48" fmla="*/ 0 w 203"/>
                <a:gd name="T49" fmla="*/ 0 h 199"/>
                <a:gd name="T50" fmla="*/ 0 w 203"/>
                <a:gd name="T51" fmla="*/ 0 h 199"/>
                <a:gd name="T52" fmla="*/ 0 w 203"/>
                <a:gd name="T53" fmla="*/ 0 h 199"/>
                <a:gd name="T54" fmla="*/ 0 w 203"/>
                <a:gd name="T55" fmla="*/ 0 h 199"/>
                <a:gd name="T56" fmla="*/ 0 w 203"/>
                <a:gd name="T57" fmla="*/ 0 h 199"/>
                <a:gd name="T58" fmla="*/ 0 w 203"/>
                <a:gd name="T59" fmla="*/ 0 h 199"/>
                <a:gd name="T60" fmla="*/ 0 w 203"/>
                <a:gd name="T61" fmla="*/ 0 h 199"/>
                <a:gd name="T62" fmla="*/ 0 w 203"/>
                <a:gd name="T63" fmla="*/ 0 h 199"/>
                <a:gd name="T64" fmla="*/ 0 w 203"/>
                <a:gd name="T65" fmla="*/ 0 h 199"/>
                <a:gd name="T66" fmla="*/ 0 w 203"/>
                <a:gd name="T67" fmla="*/ 0 h 199"/>
                <a:gd name="T68" fmla="*/ 0 w 203"/>
                <a:gd name="T69" fmla="*/ 0 h 199"/>
                <a:gd name="T70" fmla="*/ 0 w 203"/>
                <a:gd name="T71" fmla="*/ 0 h 199"/>
                <a:gd name="T72" fmla="*/ 0 w 203"/>
                <a:gd name="T73" fmla="*/ 0 h 199"/>
                <a:gd name="T74" fmla="*/ 0 w 203"/>
                <a:gd name="T75" fmla="*/ 0 h 199"/>
                <a:gd name="T76" fmla="*/ 0 w 203"/>
                <a:gd name="T77" fmla="*/ 0 h 199"/>
                <a:gd name="T78" fmla="*/ 0 w 203"/>
                <a:gd name="T79" fmla="*/ 0 h 199"/>
                <a:gd name="T80" fmla="*/ 0 w 203"/>
                <a:gd name="T81" fmla="*/ 0 h 199"/>
                <a:gd name="T82" fmla="*/ 0 w 203"/>
                <a:gd name="T83" fmla="*/ 0 h 199"/>
                <a:gd name="T84" fmla="*/ 0 w 203"/>
                <a:gd name="T85" fmla="*/ 0 h 199"/>
                <a:gd name="T86" fmla="*/ 0 w 203"/>
                <a:gd name="T87" fmla="*/ 0 h 199"/>
                <a:gd name="T88" fmla="*/ 0 w 203"/>
                <a:gd name="T89" fmla="*/ 0 h 199"/>
                <a:gd name="T90" fmla="*/ 0 w 203"/>
                <a:gd name="T91" fmla="*/ 0 h 199"/>
                <a:gd name="T92" fmla="*/ 0 w 203"/>
                <a:gd name="T93" fmla="*/ 0 h 199"/>
                <a:gd name="T94" fmla="*/ 0 w 203"/>
                <a:gd name="T95" fmla="*/ 0 h 199"/>
                <a:gd name="T96" fmla="*/ 0 w 203"/>
                <a:gd name="T97" fmla="*/ 0 h 199"/>
                <a:gd name="T98" fmla="*/ 0 w 203"/>
                <a:gd name="T99" fmla="*/ 0 h 199"/>
                <a:gd name="T100" fmla="*/ 0 w 203"/>
                <a:gd name="T101" fmla="*/ 0 h 199"/>
                <a:gd name="T102" fmla="*/ 0 w 203"/>
                <a:gd name="T103" fmla="*/ 0 h 199"/>
                <a:gd name="T104" fmla="*/ 0 w 203"/>
                <a:gd name="T105" fmla="*/ 0 h 199"/>
                <a:gd name="T106" fmla="*/ 0 w 203"/>
                <a:gd name="T107" fmla="*/ 0 h 199"/>
                <a:gd name="T108" fmla="*/ 0 w 203"/>
                <a:gd name="T109" fmla="*/ 0 h 199"/>
                <a:gd name="T110" fmla="*/ 0 w 203"/>
                <a:gd name="T111" fmla="*/ 0 h 199"/>
                <a:gd name="T112" fmla="*/ 0 w 203"/>
                <a:gd name="T113" fmla="*/ 0 h 199"/>
                <a:gd name="T114" fmla="*/ 0 w 203"/>
                <a:gd name="T115" fmla="*/ 0 h 199"/>
                <a:gd name="T116" fmla="*/ 0 w 203"/>
                <a:gd name="T117" fmla="*/ 0 h 199"/>
                <a:gd name="T118" fmla="*/ 0 w 203"/>
                <a:gd name="T119" fmla="*/ 0 h 199"/>
                <a:gd name="T120" fmla="*/ 0 w 203"/>
                <a:gd name="T121" fmla="*/ 0 h 199"/>
                <a:gd name="T122" fmla="*/ 0 w 20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484" name="Line 115">
              <a:extLst>
                <a:ext uri="{FF2B5EF4-FFF2-40B4-BE49-F238E27FC236}">
                  <a16:creationId xmlns:a16="http://schemas.microsoft.com/office/drawing/2014/main" id="{1C950700-CF5F-4DCD-B532-FCF2CBE5C12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7" y="58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485" name="Freeform 116">
              <a:extLst>
                <a:ext uri="{FF2B5EF4-FFF2-40B4-BE49-F238E27FC236}">
                  <a16:creationId xmlns:a16="http://schemas.microsoft.com/office/drawing/2014/main" id="{F2F1C034-1D36-4C7B-BCDA-1746BAED0C72}"/>
                </a:ext>
              </a:extLst>
            </xdr:cNvPr>
            <xdr:cNvSpPr>
              <a:spLocks/>
            </xdr:cNvSpPr>
          </xdr:nvSpPr>
          <xdr:spPr bwMode="auto">
            <a:xfrm>
              <a:off x="133" y="585"/>
              <a:ext cx="8" cy="7"/>
            </a:xfrm>
            <a:custGeom>
              <a:avLst/>
              <a:gdLst>
                <a:gd name="T0" fmla="*/ 0 w 207"/>
                <a:gd name="T1" fmla="*/ 0 h 176"/>
                <a:gd name="T2" fmla="*/ 0 w 207"/>
                <a:gd name="T3" fmla="*/ 0 h 176"/>
                <a:gd name="T4" fmla="*/ 0 w 207"/>
                <a:gd name="T5" fmla="*/ 0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6479" name="Group 117">
            <a:extLst>
              <a:ext uri="{FF2B5EF4-FFF2-40B4-BE49-F238E27FC236}">
                <a16:creationId xmlns:a16="http://schemas.microsoft.com/office/drawing/2014/main" id="{D4CBF4E3-51EB-4234-8F52-ADB59BAD1B50}"/>
              </a:ext>
            </a:extLst>
          </xdr:cNvPr>
          <xdr:cNvGrpSpPr>
            <a:grpSpLocks/>
          </xdr:cNvGrpSpPr>
        </xdr:nvGrpSpPr>
        <xdr:grpSpPr bwMode="auto">
          <a:xfrm>
            <a:off x="158" y="601"/>
            <a:ext cx="12" cy="16"/>
            <a:chOff x="141" y="601"/>
            <a:chExt cx="12" cy="16"/>
          </a:xfrm>
        </xdr:grpSpPr>
        <xdr:sp macro="" textlink="">
          <xdr:nvSpPr>
            <xdr:cNvPr id="6480" name="Freeform 118">
              <a:extLst>
                <a:ext uri="{FF2B5EF4-FFF2-40B4-BE49-F238E27FC236}">
                  <a16:creationId xmlns:a16="http://schemas.microsoft.com/office/drawing/2014/main" id="{BD07C22A-7B34-489B-AB55-DB115D8E2E07}"/>
                </a:ext>
              </a:extLst>
            </xdr:cNvPr>
            <xdr:cNvSpPr>
              <a:spLocks/>
            </xdr:cNvSpPr>
          </xdr:nvSpPr>
          <xdr:spPr bwMode="auto">
            <a:xfrm>
              <a:off x="141" y="601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0 w 201"/>
                <a:gd name="T5" fmla="*/ 0 h 202"/>
                <a:gd name="T6" fmla="*/ 0 w 201"/>
                <a:gd name="T7" fmla="*/ 0 h 202"/>
                <a:gd name="T8" fmla="*/ 0 w 201"/>
                <a:gd name="T9" fmla="*/ 0 h 202"/>
                <a:gd name="T10" fmla="*/ 0 w 201"/>
                <a:gd name="T11" fmla="*/ 0 h 202"/>
                <a:gd name="T12" fmla="*/ 0 w 201"/>
                <a:gd name="T13" fmla="*/ 0 h 202"/>
                <a:gd name="T14" fmla="*/ 0 w 201"/>
                <a:gd name="T15" fmla="*/ 0 h 202"/>
                <a:gd name="T16" fmla="*/ 0 w 201"/>
                <a:gd name="T17" fmla="*/ 0 h 202"/>
                <a:gd name="T18" fmla="*/ 0 w 201"/>
                <a:gd name="T19" fmla="*/ 0 h 202"/>
                <a:gd name="T20" fmla="*/ 0 w 201"/>
                <a:gd name="T21" fmla="*/ 0 h 202"/>
                <a:gd name="T22" fmla="*/ 0 w 201"/>
                <a:gd name="T23" fmla="*/ 0 h 202"/>
                <a:gd name="T24" fmla="*/ 0 w 201"/>
                <a:gd name="T25" fmla="*/ 0 h 202"/>
                <a:gd name="T26" fmla="*/ 0 w 201"/>
                <a:gd name="T27" fmla="*/ 0 h 202"/>
                <a:gd name="T28" fmla="*/ 0 w 201"/>
                <a:gd name="T29" fmla="*/ 0 h 202"/>
                <a:gd name="T30" fmla="*/ 0 w 201"/>
                <a:gd name="T31" fmla="*/ 0 h 202"/>
                <a:gd name="T32" fmla="*/ 0 w 201"/>
                <a:gd name="T33" fmla="*/ 0 h 202"/>
                <a:gd name="T34" fmla="*/ 0 w 201"/>
                <a:gd name="T35" fmla="*/ 0 h 202"/>
                <a:gd name="T36" fmla="*/ 0 w 201"/>
                <a:gd name="T37" fmla="*/ 0 h 202"/>
                <a:gd name="T38" fmla="*/ 0 w 201"/>
                <a:gd name="T39" fmla="*/ 0 h 202"/>
                <a:gd name="T40" fmla="*/ 0 w 201"/>
                <a:gd name="T41" fmla="*/ 0 h 202"/>
                <a:gd name="T42" fmla="*/ 0 w 201"/>
                <a:gd name="T43" fmla="*/ 0 h 202"/>
                <a:gd name="T44" fmla="*/ 0 w 201"/>
                <a:gd name="T45" fmla="*/ 0 h 202"/>
                <a:gd name="T46" fmla="*/ 0 w 201"/>
                <a:gd name="T47" fmla="*/ 0 h 202"/>
                <a:gd name="T48" fmla="*/ 0 w 201"/>
                <a:gd name="T49" fmla="*/ 0 h 202"/>
                <a:gd name="T50" fmla="*/ 0 w 201"/>
                <a:gd name="T51" fmla="*/ 0 h 202"/>
                <a:gd name="T52" fmla="*/ 0 w 201"/>
                <a:gd name="T53" fmla="*/ 0 h 202"/>
                <a:gd name="T54" fmla="*/ 0 w 201"/>
                <a:gd name="T55" fmla="*/ 0 h 202"/>
                <a:gd name="T56" fmla="*/ 0 w 201"/>
                <a:gd name="T57" fmla="*/ 0 h 202"/>
                <a:gd name="T58" fmla="*/ 0 w 201"/>
                <a:gd name="T59" fmla="*/ 0 h 202"/>
                <a:gd name="T60" fmla="*/ 0 w 201"/>
                <a:gd name="T61" fmla="*/ 0 h 202"/>
                <a:gd name="T62" fmla="*/ 0 w 201"/>
                <a:gd name="T63" fmla="*/ 0 h 202"/>
                <a:gd name="T64" fmla="*/ 0 w 201"/>
                <a:gd name="T65" fmla="*/ 0 h 202"/>
                <a:gd name="T66" fmla="*/ 0 w 201"/>
                <a:gd name="T67" fmla="*/ 0 h 202"/>
                <a:gd name="T68" fmla="*/ 0 w 201"/>
                <a:gd name="T69" fmla="*/ 0 h 202"/>
                <a:gd name="T70" fmla="*/ 0 w 201"/>
                <a:gd name="T71" fmla="*/ 0 h 202"/>
                <a:gd name="T72" fmla="*/ 0 w 201"/>
                <a:gd name="T73" fmla="*/ 0 h 202"/>
                <a:gd name="T74" fmla="*/ 0 w 201"/>
                <a:gd name="T75" fmla="*/ 0 h 202"/>
                <a:gd name="T76" fmla="*/ 0 w 201"/>
                <a:gd name="T77" fmla="*/ 0 h 202"/>
                <a:gd name="T78" fmla="*/ 0 w 201"/>
                <a:gd name="T79" fmla="*/ 0 h 202"/>
                <a:gd name="T80" fmla="*/ 0 w 201"/>
                <a:gd name="T81" fmla="*/ 0 h 202"/>
                <a:gd name="T82" fmla="*/ 0 w 201"/>
                <a:gd name="T83" fmla="*/ 0 h 202"/>
                <a:gd name="T84" fmla="*/ 0 w 201"/>
                <a:gd name="T85" fmla="*/ 0 h 202"/>
                <a:gd name="T86" fmla="*/ 0 w 201"/>
                <a:gd name="T87" fmla="*/ 0 h 202"/>
                <a:gd name="T88" fmla="*/ 0 w 201"/>
                <a:gd name="T89" fmla="*/ 0 h 202"/>
                <a:gd name="T90" fmla="*/ 0 w 201"/>
                <a:gd name="T91" fmla="*/ 0 h 202"/>
                <a:gd name="T92" fmla="*/ 0 w 201"/>
                <a:gd name="T93" fmla="*/ 0 h 202"/>
                <a:gd name="T94" fmla="*/ 0 w 201"/>
                <a:gd name="T95" fmla="*/ 0 h 202"/>
                <a:gd name="T96" fmla="*/ 0 w 201"/>
                <a:gd name="T97" fmla="*/ 0 h 202"/>
                <a:gd name="T98" fmla="*/ 0 w 201"/>
                <a:gd name="T99" fmla="*/ 0 h 202"/>
                <a:gd name="T100" fmla="*/ 0 w 201"/>
                <a:gd name="T101" fmla="*/ 0 h 202"/>
                <a:gd name="T102" fmla="*/ 0 w 201"/>
                <a:gd name="T103" fmla="*/ 0 h 202"/>
                <a:gd name="T104" fmla="*/ 0 w 201"/>
                <a:gd name="T105" fmla="*/ 0 h 202"/>
                <a:gd name="T106" fmla="*/ 0 w 201"/>
                <a:gd name="T107" fmla="*/ 0 h 202"/>
                <a:gd name="T108" fmla="*/ 0 w 201"/>
                <a:gd name="T109" fmla="*/ 0 h 202"/>
                <a:gd name="T110" fmla="*/ 0 w 201"/>
                <a:gd name="T111" fmla="*/ 0 h 202"/>
                <a:gd name="T112" fmla="*/ 0 w 201"/>
                <a:gd name="T113" fmla="*/ 0 h 202"/>
                <a:gd name="T114" fmla="*/ 0 w 201"/>
                <a:gd name="T115" fmla="*/ 0 h 202"/>
                <a:gd name="T116" fmla="*/ 0 w 201"/>
                <a:gd name="T117" fmla="*/ 0 h 202"/>
                <a:gd name="T118" fmla="*/ 0 w 201"/>
                <a:gd name="T119" fmla="*/ 0 h 202"/>
                <a:gd name="T120" fmla="*/ 0 w 201"/>
                <a:gd name="T121" fmla="*/ 0 h 202"/>
                <a:gd name="T122" fmla="*/ 0 w 201"/>
                <a:gd name="T123" fmla="*/ 0 h 202"/>
                <a:gd name="T124" fmla="*/ 0 w 201"/>
                <a:gd name="T125" fmla="*/ 0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481" name="Line 119">
              <a:extLst>
                <a:ext uri="{FF2B5EF4-FFF2-40B4-BE49-F238E27FC236}">
                  <a16:creationId xmlns:a16="http://schemas.microsoft.com/office/drawing/2014/main" id="{06097A8F-025C-428D-AB8E-4064C87A3C6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49" y="608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482" name="Freeform 120">
              <a:extLst>
                <a:ext uri="{FF2B5EF4-FFF2-40B4-BE49-F238E27FC236}">
                  <a16:creationId xmlns:a16="http://schemas.microsoft.com/office/drawing/2014/main" id="{D8B720D3-3B0C-44BA-9710-187B96C4BD71}"/>
                </a:ext>
              </a:extLst>
            </xdr:cNvPr>
            <xdr:cNvSpPr>
              <a:spLocks/>
            </xdr:cNvSpPr>
          </xdr:nvSpPr>
          <xdr:spPr bwMode="auto">
            <a:xfrm>
              <a:off x="145" y="610"/>
              <a:ext cx="8" cy="7"/>
            </a:xfrm>
            <a:custGeom>
              <a:avLst/>
              <a:gdLst>
                <a:gd name="T0" fmla="*/ 0 w 208"/>
                <a:gd name="T1" fmla="*/ 0 h 177"/>
                <a:gd name="T2" fmla="*/ 0 w 208"/>
                <a:gd name="T3" fmla="*/ 0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4</xdr:col>
      <xdr:colOff>152400</xdr:colOff>
      <xdr:row>15</xdr:row>
      <xdr:rowOff>333375</xdr:rowOff>
    </xdr:from>
    <xdr:to>
      <xdr:col>6</xdr:col>
      <xdr:colOff>228600</xdr:colOff>
      <xdr:row>15</xdr:row>
      <xdr:rowOff>390525</xdr:rowOff>
    </xdr:to>
    <xdr:grpSp>
      <xdr:nvGrpSpPr>
        <xdr:cNvPr id="6452" name="Group 121">
          <a:extLst>
            <a:ext uri="{FF2B5EF4-FFF2-40B4-BE49-F238E27FC236}">
              <a16:creationId xmlns:a16="http://schemas.microsoft.com/office/drawing/2014/main" id="{1EE08B0F-9499-4C82-9B89-67BB176E23C2}"/>
            </a:ext>
          </a:extLst>
        </xdr:cNvPr>
        <xdr:cNvGrpSpPr>
          <a:grpSpLocks/>
        </xdr:cNvGrpSpPr>
      </xdr:nvGrpSpPr>
      <xdr:grpSpPr bwMode="auto">
        <a:xfrm>
          <a:off x="1466850" y="5067300"/>
          <a:ext cx="704850" cy="57150"/>
          <a:chOff x="123" y="549"/>
          <a:chExt cx="77" cy="6"/>
        </a:xfrm>
      </xdr:grpSpPr>
      <xdr:sp macro="" textlink="">
        <xdr:nvSpPr>
          <xdr:cNvPr id="6473" name="Line 122">
            <a:extLst>
              <a:ext uri="{FF2B5EF4-FFF2-40B4-BE49-F238E27FC236}">
                <a16:creationId xmlns:a16="http://schemas.microsoft.com/office/drawing/2014/main" id="{F2241008-2C6E-4DDA-A011-D103882356AA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74" name="Freeform 123">
            <a:extLst>
              <a:ext uri="{FF2B5EF4-FFF2-40B4-BE49-F238E27FC236}">
                <a16:creationId xmlns:a16="http://schemas.microsoft.com/office/drawing/2014/main" id="{25CBD2F8-92A8-4E84-9E86-54857CD2275E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475" name="Freeform 124">
            <a:extLst>
              <a:ext uri="{FF2B5EF4-FFF2-40B4-BE49-F238E27FC236}">
                <a16:creationId xmlns:a16="http://schemas.microsoft.com/office/drawing/2014/main" id="{5F2ADEC5-BBD6-4CA1-A936-134C125CAF69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28575</xdr:colOff>
      <xdr:row>15</xdr:row>
      <xdr:rowOff>876300</xdr:rowOff>
    </xdr:from>
    <xdr:to>
      <xdr:col>7</xdr:col>
      <xdr:colOff>76200</xdr:colOff>
      <xdr:row>15</xdr:row>
      <xdr:rowOff>1171575</xdr:rowOff>
    </xdr:to>
    <xdr:grpSp>
      <xdr:nvGrpSpPr>
        <xdr:cNvPr id="6453" name="Group 125">
          <a:extLst>
            <a:ext uri="{FF2B5EF4-FFF2-40B4-BE49-F238E27FC236}">
              <a16:creationId xmlns:a16="http://schemas.microsoft.com/office/drawing/2014/main" id="{E699B9B7-4336-4B11-97D4-132CFAD24750}"/>
            </a:ext>
          </a:extLst>
        </xdr:cNvPr>
        <xdr:cNvGrpSpPr>
          <a:grpSpLocks/>
        </xdr:cNvGrpSpPr>
      </xdr:nvGrpSpPr>
      <xdr:grpSpPr bwMode="auto">
        <a:xfrm>
          <a:off x="1343025" y="5610225"/>
          <a:ext cx="990600" cy="295275"/>
          <a:chOff x="122" y="624"/>
          <a:chExt cx="105" cy="31"/>
        </a:xfrm>
      </xdr:grpSpPr>
      <xdr:sp macro="" textlink="">
        <xdr:nvSpPr>
          <xdr:cNvPr id="6465" name="Line 126">
            <a:extLst>
              <a:ext uri="{FF2B5EF4-FFF2-40B4-BE49-F238E27FC236}">
                <a16:creationId xmlns:a16="http://schemas.microsoft.com/office/drawing/2014/main" id="{F20446A2-1B04-42FE-AC0F-0977D0A0F385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23" y="63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66" name="Freeform 127">
            <a:extLst>
              <a:ext uri="{FF2B5EF4-FFF2-40B4-BE49-F238E27FC236}">
                <a16:creationId xmlns:a16="http://schemas.microsoft.com/office/drawing/2014/main" id="{DE4724C3-1CDB-4EC0-B0BF-9076C4D40156}"/>
              </a:ext>
            </a:extLst>
          </xdr:cNvPr>
          <xdr:cNvSpPr>
            <a:spLocks/>
          </xdr:cNvSpPr>
        </xdr:nvSpPr>
        <xdr:spPr bwMode="auto">
          <a:xfrm rot="10800000">
            <a:off x="122" y="636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467" name="Freeform 128">
            <a:extLst>
              <a:ext uri="{FF2B5EF4-FFF2-40B4-BE49-F238E27FC236}">
                <a16:creationId xmlns:a16="http://schemas.microsoft.com/office/drawing/2014/main" id="{39885184-5859-4978-8B5D-1928999328CF}"/>
              </a:ext>
            </a:extLst>
          </xdr:cNvPr>
          <xdr:cNvSpPr>
            <a:spLocks/>
          </xdr:cNvSpPr>
        </xdr:nvSpPr>
        <xdr:spPr bwMode="auto">
          <a:xfrm rot="10800000">
            <a:off x="202" y="639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468" name="Line 129">
            <a:extLst>
              <a:ext uri="{FF2B5EF4-FFF2-40B4-BE49-F238E27FC236}">
                <a16:creationId xmlns:a16="http://schemas.microsoft.com/office/drawing/2014/main" id="{D9772C2C-4BE2-4356-A63C-1BF7CBA0B47A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202" y="64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69" name="Freeform 130">
            <a:extLst>
              <a:ext uri="{FF2B5EF4-FFF2-40B4-BE49-F238E27FC236}">
                <a16:creationId xmlns:a16="http://schemas.microsoft.com/office/drawing/2014/main" id="{2AD4813A-74FF-46B6-A4EF-2AA1E8D43E42}"/>
              </a:ext>
            </a:extLst>
          </xdr:cNvPr>
          <xdr:cNvSpPr>
            <a:spLocks/>
          </xdr:cNvSpPr>
        </xdr:nvSpPr>
        <xdr:spPr bwMode="auto">
          <a:xfrm rot="10800000">
            <a:off x="198" y="648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470" name="Freeform 131">
            <a:extLst>
              <a:ext uri="{FF2B5EF4-FFF2-40B4-BE49-F238E27FC236}">
                <a16:creationId xmlns:a16="http://schemas.microsoft.com/office/drawing/2014/main" id="{52DEACAC-C43D-47E9-AAD5-352E4CC5BCB5}"/>
              </a:ext>
            </a:extLst>
          </xdr:cNvPr>
          <xdr:cNvSpPr>
            <a:spLocks/>
          </xdr:cNvSpPr>
        </xdr:nvSpPr>
        <xdr:spPr bwMode="auto">
          <a:xfrm rot="10800000">
            <a:off x="186" y="632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471" name="Line 132">
            <a:extLst>
              <a:ext uri="{FF2B5EF4-FFF2-40B4-BE49-F238E27FC236}">
                <a16:creationId xmlns:a16="http://schemas.microsoft.com/office/drawing/2014/main" id="{21E2BAD8-BA3B-4E9A-A3A4-D5E71E8B1AE7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86" y="62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72" name="Freeform 133">
            <a:extLst>
              <a:ext uri="{FF2B5EF4-FFF2-40B4-BE49-F238E27FC236}">
                <a16:creationId xmlns:a16="http://schemas.microsoft.com/office/drawing/2014/main" id="{9CE80374-43A5-4797-92F1-39D0B9A6081C}"/>
              </a:ext>
            </a:extLst>
          </xdr:cNvPr>
          <xdr:cNvSpPr>
            <a:spLocks/>
          </xdr:cNvSpPr>
        </xdr:nvSpPr>
        <xdr:spPr bwMode="auto">
          <a:xfrm rot="10800000">
            <a:off x="182" y="62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15</xdr:row>
      <xdr:rowOff>1257300</xdr:rowOff>
    </xdr:from>
    <xdr:to>
      <xdr:col>6</xdr:col>
      <xdr:colOff>228600</xdr:colOff>
      <xdr:row>15</xdr:row>
      <xdr:rowOff>1314450</xdr:rowOff>
    </xdr:to>
    <xdr:grpSp>
      <xdr:nvGrpSpPr>
        <xdr:cNvPr id="6454" name="Group 134">
          <a:extLst>
            <a:ext uri="{FF2B5EF4-FFF2-40B4-BE49-F238E27FC236}">
              <a16:creationId xmlns:a16="http://schemas.microsoft.com/office/drawing/2014/main" id="{2D211FB3-22CE-4234-BC8F-9CE3A56ACC78}"/>
            </a:ext>
          </a:extLst>
        </xdr:cNvPr>
        <xdr:cNvGrpSpPr>
          <a:grpSpLocks/>
        </xdr:cNvGrpSpPr>
      </xdr:nvGrpSpPr>
      <xdr:grpSpPr bwMode="auto">
        <a:xfrm>
          <a:off x="1466850" y="5991225"/>
          <a:ext cx="704850" cy="57150"/>
          <a:chOff x="123" y="549"/>
          <a:chExt cx="77" cy="6"/>
        </a:xfrm>
      </xdr:grpSpPr>
      <xdr:sp macro="" textlink="">
        <xdr:nvSpPr>
          <xdr:cNvPr id="6462" name="Line 135">
            <a:extLst>
              <a:ext uri="{FF2B5EF4-FFF2-40B4-BE49-F238E27FC236}">
                <a16:creationId xmlns:a16="http://schemas.microsoft.com/office/drawing/2014/main" id="{0D27F438-9455-406E-83D5-66A83458108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63" name="Freeform 136">
            <a:extLst>
              <a:ext uri="{FF2B5EF4-FFF2-40B4-BE49-F238E27FC236}">
                <a16:creationId xmlns:a16="http://schemas.microsoft.com/office/drawing/2014/main" id="{A115517C-74D2-41E5-AEDB-6987A889F29B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464" name="Freeform 137">
            <a:extLst>
              <a:ext uri="{FF2B5EF4-FFF2-40B4-BE49-F238E27FC236}">
                <a16:creationId xmlns:a16="http://schemas.microsoft.com/office/drawing/2014/main" id="{1ABAE942-4BA1-41D8-B6F5-A39CC47B00AD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5</xdr:col>
      <xdr:colOff>85725</xdr:colOff>
      <xdr:row>15</xdr:row>
      <xdr:rowOff>190500</xdr:rowOff>
    </xdr:from>
    <xdr:ext cx="288541" cy="150041"/>
    <xdr:sp macro="" textlink="">
      <xdr:nvSpPr>
        <xdr:cNvPr id="139" name="Text Box 138">
          <a:extLst>
            <a:ext uri="{FF2B5EF4-FFF2-40B4-BE49-F238E27FC236}">
              <a16:creationId xmlns:a16="http://schemas.microsoft.com/office/drawing/2014/main" id="{DD325905-53D4-467F-AF2A-7098093E8B59}"/>
            </a:ext>
          </a:extLst>
        </xdr:cNvPr>
        <xdr:cNvSpPr txBox="1">
          <a:spLocks noChangeArrowheads="1"/>
        </xdr:cNvSpPr>
      </xdr:nvSpPr>
      <xdr:spPr bwMode="auto">
        <a:xfrm>
          <a:off x="1714500" y="492442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21.6m</a:t>
          </a:r>
        </a:p>
      </xdr:txBody>
    </xdr:sp>
    <xdr:clientData/>
  </xdr:oneCellAnchor>
  <xdr:oneCellAnchor>
    <xdr:from>
      <xdr:col>7</xdr:col>
      <xdr:colOff>0</xdr:colOff>
      <xdr:row>15</xdr:row>
      <xdr:rowOff>1219200</xdr:rowOff>
    </xdr:from>
    <xdr:ext cx="288541" cy="150041"/>
    <xdr:sp macro="" textlink="">
      <xdr:nvSpPr>
        <xdr:cNvPr id="140" name="Text Box 139">
          <a:extLst>
            <a:ext uri="{FF2B5EF4-FFF2-40B4-BE49-F238E27FC236}">
              <a16:creationId xmlns:a16="http://schemas.microsoft.com/office/drawing/2014/main" id="{07CB20D8-A256-47CF-A26A-7BDE0393722B}"/>
            </a:ext>
          </a:extLst>
        </xdr:cNvPr>
        <xdr:cNvSpPr txBox="1">
          <a:spLocks noChangeArrowheads="1"/>
        </xdr:cNvSpPr>
      </xdr:nvSpPr>
      <xdr:spPr bwMode="auto">
        <a:xfrm>
          <a:off x="2257425" y="595312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7</xdr:col>
      <xdr:colOff>19050</xdr:colOff>
      <xdr:row>15</xdr:row>
      <xdr:rowOff>295275</xdr:rowOff>
    </xdr:from>
    <xdr:ext cx="288541" cy="150041"/>
    <xdr:sp macro="" textlink="">
      <xdr:nvSpPr>
        <xdr:cNvPr id="141" name="Text Box 140">
          <a:extLst>
            <a:ext uri="{FF2B5EF4-FFF2-40B4-BE49-F238E27FC236}">
              <a16:creationId xmlns:a16="http://schemas.microsoft.com/office/drawing/2014/main" id="{AFC6B177-004D-4CAE-96A3-C1C0331DADEF}"/>
            </a:ext>
          </a:extLst>
        </xdr:cNvPr>
        <xdr:cNvSpPr txBox="1">
          <a:spLocks noChangeArrowheads="1"/>
        </xdr:cNvSpPr>
      </xdr:nvSpPr>
      <xdr:spPr bwMode="auto">
        <a:xfrm>
          <a:off x="2276475" y="5029200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5</xdr:col>
      <xdr:colOff>95250</xdr:colOff>
      <xdr:row>15</xdr:row>
      <xdr:rowOff>485775</xdr:rowOff>
    </xdr:from>
    <xdr:ext cx="804322" cy="133370"/>
    <xdr:sp macro="" textlink="">
      <xdr:nvSpPr>
        <xdr:cNvPr id="142" name="Text Box 141">
          <a:extLst>
            <a:ext uri="{FF2B5EF4-FFF2-40B4-BE49-F238E27FC236}">
              <a16:creationId xmlns:a16="http://schemas.microsoft.com/office/drawing/2014/main" id="{F43E59CD-8E4A-4A6A-A44A-ABD0E9EB08D4}"/>
            </a:ext>
          </a:extLst>
        </xdr:cNvPr>
        <xdr:cNvSpPr txBox="1">
          <a:spLocks noChangeArrowheads="1"/>
        </xdr:cNvSpPr>
      </xdr:nvSpPr>
      <xdr:spPr bwMode="auto">
        <a:xfrm>
          <a:off x="1724025" y="5219700"/>
          <a:ext cx="718145" cy="13337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高度化ジレンマ</a:t>
          </a:r>
        </a:p>
      </xdr:txBody>
    </xdr:sp>
    <xdr:clientData/>
  </xdr:oneCellAnchor>
  <xdr:oneCellAnchor>
    <xdr:from>
      <xdr:col>15</xdr:col>
      <xdr:colOff>114300</xdr:colOff>
      <xdr:row>15</xdr:row>
      <xdr:rowOff>1162050</xdr:rowOff>
    </xdr:from>
    <xdr:ext cx="458086" cy="133370"/>
    <xdr:sp macro="" textlink="">
      <xdr:nvSpPr>
        <xdr:cNvPr id="144" name="Text Box 143">
          <a:extLst>
            <a:ext uri="{FF2B5EF4-FFF2-40B4-BE49-F238E27FC236}">
              <a16:creationId xmlns:a16="http://schemas.microsoft.com/office/drawing/2014/main" id="{C017C5CB-1934-4F4B-B3B6-46DF235A858E}"/>
            </a:ext>
          </a:extLst>
        </xdr:cNvPr>
        <xdr:cNvSpPr txBox="1">
          <a:spLocks noChangeArrowheads="1"/>
        </xdr:cNvSpPr>
      </xdr:nvSpPr>
      <xdr:spPr bwMode="auto">
        <a:xfrm>
          <a:off x="4886325" y="5895975"/>
          <a:ext cx="410369" cy="13337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ギャップ</a:t>
          </a:r>
        </a:p>
      </xdr:txBody>
    </xdr:sp>
    <xdr:clientData/>
  </xdr:oneCellAnchor>
  <xdr:oneCellAnchor>
    <xdr:from>
      <xdr:col>0</xdr:col>
      <xdr:colOff>38106</xdr:colOff>
      <xdr:row>8</xdr:row>
      <xdr:rowOff>1128083</xdr:rowOff>
    </xdr:from>
    <xdr:ext cx="2393931" cy="749214"/>
    <xdr:sp macro="" textlink="">
      <xdr:nvSpPr>
        <xdr:cNvPr id="145" name="Text Box 144">
          <a:extLst>
            <a:ext uri="{FF2B5EF4-FFF2-40B4-BE49-F238E27FC236}">
              <a16:creationId xmlns:a16="http://schemas.microsoft.com/office/drawing/2014/main" id="{343D8397-B1E3-466E-BC32-CC67F8544D3E}"/>
            </a:ext>
          </a:extLst>
        </xdr:cNvPr>
        <xdr:cNvSpPr txBox="1">
          <a:spLocks noChangeArrowheads="1"/>
        </xdr:cNvSpPr>
      </xdr:nvSpPr>
      <xdr:spPr bwMode="auto">
        <a:xfrm>
          <a:off x="38106" y="2613983"/>
          <a:ext cx="2393931" cy="749214"/>
        </a:xfrm>
        <a:prstGeom prst="rect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horzOverflow="clip" wrap="none" lIns="72000" tIns="36000" rIns="72000" bIns="36000" spcCol="144000" anchor="ctr" anchorCtr="0" upright="1">
          <a:spAutoFit/>
        </a:bodyPr>
        <a:lstStyle/>
        <a:p>
          <a:pPr algn="l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高度化ジレンマ感応</a:t>
          </a:r>
        </a:p>
        <a:p>
          <a:pPr algn="l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ノミナル値　１ＰＲ＝５秒　１Ｙ＝３秒</a:t>
          </a:r>
        </a:p>
        <a:p>
          <a:pPr algn="l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Ｔｓ＝４秒（保証時間＝１秒）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Ｔｅ＝７秒　単位青＝０．１秒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クリアランス変動許容時間-０秒～＋２秒</a:t>
          </a:r>
        </a:p>
      </xdr:txBody>
    </xdr:sp>
    <xdr:clientData/>
  </xdr:oneCellAnchor>
  <xdr:oneCellAnchor>
    <xdr:from>
      <xdr:col>0</xdr:col>
      <xdr:colOff>38104</xdr:colOff>
      <xdr:row>9</xdr:row>
      <xdr:rowOff>30052</xdr:rowOff>
    </xdr:from>
    <xdr:ext cx="1874604" cy="482269"/>
    <xdr:sp macro="" textlink="">
      <xdr:nvSpPr>
        <xdr:cNvPr id="146" name="Text Box 145">
          <a:extLst>
            <a:ext uri="{FF2B5EF4-FFF2-40B4-BE49-F238E27FC236}">
              <a16:creationId xmlns:a16="http://schemas.microsoft.com/office/drawing/2014/main" id="{4ABB6459-0DD1-4CCC-96E8-65F7529DCB25}"/>
            </a:ext>
          </a:extLst>
        </xdr:cNvPr>
        <xdr:cNvSpPr txBox="1">
          <a:spLocks noChangeArrowheads="1"/>
        </xdr:cNvSpPr>
      </xdr:nvSpPr>
      <xdr:spPr bwMode="auto">
        <a:xfrm>
          <a:off x="38104" y="3392377"/>
          <a:ext cx="1684289" cy="472813"/>
        </a:xfrm>
        <a:prstGeom prst="rect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horzOverflow="clip" wrap="none" lIns="72000" tIns="36000" rIns="72000" bIns="36000" spcCol="144000" anchor="ctr" anchorCtr="0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ギャップ感応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Ｔｓ＝７秒（保証時間＝５秒）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Ｔｅ＝５秒　単位青＝４秒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13</xdr:row>
      <xdr:rowOff>85725</xdr:rowOff>
    </xdr:from>
    <xdr:to>
      <xdr:col>2</xdr:col>
      <xdr:colOff>228600</xdr:colOff>
      <xdr:row>13</xdr:row>
      <xdr:rowOff>1524000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9B3A79B0-804A-4E53-84B5-480E09FE160C}"/>
            </a:ext>
          </a:extLst>
        </xdr:cNvPr>
        <xdr:cNvSpPr txBox="1">
          <a:spLocks noChangeArrowheads="1"/>
        </xdr:cNvSpPr>
      </xdr:nvSpPr>
      <xdr:spPr bwMode="auto">
        <a:xfrm>
          <a:off x="228600" y="47434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14</xdr:row>
      <xdr:rowOff>114300</xdr:rowOff>
    </xdr:from>
    <xdr:to>
      <xdr:col>5</xdr:col>
      <xdr:colOff>0</xdr:colOff>
      <xdr:row>14</xdr:row>
      <xdr:rowOff>114300</xdr:rowOff>
    </xdr:to>
    <xdr:sp macro="" textlink="">
      <xdr:nvSpPr>
        <xdr:cNvPr id="4669" name="Line 2">
          <a:extLst>
            <a:ext uri="{FF2B5EF4-FFF2-40B4-BE49-F238E27FC236}">
              <a16:creationId xmlns:a16="http://schemas.microsoft.com/office/drawing/2014/main" id="{581DF77F-97CF-42B5-94A6-219ADFA7607C}"/>
            </a:ext>
          </a:extLst>
        </xdr:cNvPr>
        <xdr:cNvSpPr>
          <a:spLocks noChangeShapeType="1"/>
        </xdr:cNvSpPr>
      </xdr:nvSpPr>
      <xdr:spPr bwMode="auto">
        <a:xfrm>
          <a:off x="876300" y="63531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15</xdr:row>
      <xdr:rowOff>47625</xdr:rowOff>
    </xdr:from>
    <xdr:to>
      <xdr:col>7</xdr:col>
      <xdr:colOff>276225</xdr:colOff>
      <xdr:row>15</xdr:row>
      <xdr:rowOff>190500</xdr:rowOff>
    </xdr:to>
    <xdr:sp macro="" textlink="">
      <xdr:nvSpPr>
        <xdr:cNvPr id="4670" name="Freeform 3">
          <a:extLst>
            <a:ext uri="{FF2B5EF4-FFF2-40B4-BE49-F238E27FC236}">
              <a16:creationId xmlns:a16="http://schemas.microsoft.com/office/drawing/2014/main" id="{2E4ED041-C33A-4588-A90C-29BE03F255D8}"/>
            </a:ext>
          </a:extLst>
        </xdr:cNvPr>
        <xdr:cNvSpPr>
          <a:spLocks/>
        </xdr:cNvSpPr>
      </xdr:nvSpPr>
      <xdr:spPr bwMode="auto">
        <a:xfrm>
          <a:off x="1752600" y="6515100"/>
          <a:ext cx="266700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57150</xdr:colOff>
      <xdr:row>14</xdr:row>
      <xdr:rowOff>38100</xdr:rowOff>
    </xdr:from>
    <xdr:to>
      <xdr:col>5</xdr:col>
      <xdr:colOff>276225</xdr:colOff>
      <xdr:row>14</xdr:row>
      <xdr:rowOff>190500</xdr:rowOff>
    </xdr:to>
    <xdr:grpSp>
      <xdr:nvGrpSpPr>
        <xdr:cNvPr id="4671" name="Group 4">
          <a:extLst>
            <a:ext uri="{FF2B5EF4-FFF2-40B4-BE49-F238E27FC236}">
              <a16:creationId xmlns:a16="http://schemas.microsoft.com/office/drawing/2014/main" id="{181021B9-192D-4415-AC8C-E20231CEA2A6}"/>
            </a:ext>
          </a:extLst>
        </xdr:cNvPr>
        <xdr:cNvGrpSpPr>
          <a:grpSpLocks/>
        </xdr:cNvGrpSpPr>
      </xdr:nvGrpSpPr>
      <xdr:grpSpPr bwMode="auto">
        <a:xfrm>
          <a:off x="1247775" y="6276975"/>
          <a:ext cx="219075" cy="152400"/>
          <a:chOff x="132" y="708"/>
          <a:chExt cx="20" cy="14"/>
        </a:xfrm>
      </xdr:grpSpPr>
      <xdr:sp macro="" textlink="">
        <xdr:nvSpPr>
          <xdr:cNvPr id="4809" name="Line 5">
            <a:extLst>
              <a:ext uri="{FF2B5EF4-FFF2-40B4-BE49-F238E27FC236}">
                <a16:creationId xmlns:a16="http://schemas.microsoft.com/office/drawing/2014/main" id="{4FD40972-188E-47A9-A504-584472231AA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10" name="Line 6">
            <a:extLst>
              <a:ext uri="{FF2B5EF4-FFF2-40B4-BE49-F238E27FC236}">
                <a16:creationId xmlns:a16="http://schemas.microsoft.com/office/drawing/2014/main" id="{D8F08621-D0FE-483F-B592-48CDEFC3DFE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11" name="Line 7">
            <a:extLst>
              <a:ext uri="{FF2B5EF4-FFF2-40B4-BE49-F238E27FC236}">
                <a16:creationId xmlns:a16="http://schemas.microsoft.com/office/drawing/2014/main" id="{BA8399BD-FED7-4FFC-8A7E-30C0A082746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12" name="Line 8">
            <a:extLst>
              <a:ext uri="{FF2B5EF4-FFF2-40B4-BE49-F238E27FC236}">
                <a16:creationId xmlns:a16="http://schemas.microsoft.com/office/drawing/2014/main" id="{96AD08C9-3F16-4DD5-BB35-DAF80F331F5D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14</xdr:row>
      <xdr:rowOff>95250</xdr:rowOff>
    </xdr:from>
    <xdr:to>
      <xdr:col>18</xdr:col>
      <xdr:colOff>9525</xdr:colOff>
      <xdr:row>14</xdr:row>
      <xdr:rowOff>142875</xdr:rowOff>
    </xdr:to>
    <xdr:grpSp>
      <xdr:nvGrpSpPr>
        <xdr:cNvPr id="4672" name="Group 9">
          <a:extLst>
            <a:ext uri="{FF2B5EF4-FFF2-40B4-BE49-F238E27FC236}">
              <a16:creationId xmlns:a16="http://schemas.microsoft.com/office/drawing/2014/main" id="{A656FDC5-84D1-4954-A406-BFBC718DC919}"/>
            </a:ext>
          </a:extLst>
        </xdr:cNvPr>
        <xdr:cNvGrpSpPr>
          <a:grpSpLocks/>
        </xdr:cNvGrpSpPr>
      </xdr:nvGrpSpPr>
      <xdr:grpSpPr bwMode="auto">
        <a:xfrm>
          <a:off x="1466850" y="6334125"/>
          <a:ext cx="3324225" cy="47625"/>
          <a:chOff x="158" y="715"/>
          <a:chExt cx="33" cy="5"/>
        </a:xfrm>
      </xdr:grpSpPr>
      <xdr:sp macro="" textlink="">
        <xdr:nvSpPr>
          <xdr:cNvPr id="4807" name="Line 10">
            <a:extLst>
              <a:ext uri="{FF2B5EF4-FFF2-40B4-BE49-F238E27FC236}">
                <a16:creationId xmlns:a16="http://schemas.microsoft.com/office/drawing/2014/main" id="{A1D046DE-08D1-4DC0-BC96-15C66F2344D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08" name="Line 11">
            <a:extLst>
              <a:ext uri="{FF2B5EF4-FFF2-40B4-BE49-F238E27FC236}">
                <a16:creationId xmlns:a16="http://schemas.microsoft.com/office/drawing/2014/main" id="{64466178-B0DA-410A-855A-F0F84F9E3A9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15</xdr:row>
      <xdr:rowOff>114300</xdr:rowOff>
    </xdr:from>
    <xdr:to>
      <xdr:col>7</xdr:col>
      <xdr:colOff>0</xdr:colOff>
      <xdr:row>15</xdr:row>
      <xdr:rowOff>114300</xdr:rowOff>
    </xdr:to>
    <xdr:sp macro="" textlink="">
      <xdr:nvSpPr>
        <xdr:cNvPr id="4673" name="Line 12">
          <a:extLst>
            <a:ext uri="{FF2B5EF4-FFF2-40B4-BE49-F238E27FC236}">
              <a16:creationId xmlns:a16="http://schemas.microsoft.com/office/drawing/2014/main" id="{654E4283-F5DC-44B5-A220-7F37A5A9F499}"/>
            </a:ext>
          </a:extLst>
        </xdr:cNvPr>
        <xdr:cNvSpPr>
          <a:spLocks noChangeShapeType="1"/>
        </xdr:cNvSpPr>
      </xdr:nvSpPr>
      <xdr:spPr bwMode="auto">
        <a:xfrm>
          <a:off x="876300" y="6581775"/>
          <a:ext cx="8667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15</xdr:row>
      <xdr:rowOff>95250</xdr:rowOff>
    </xdr:from>
    <xdr:to>
      <xdr:col>17</xdr:col>
      <xdr:colOff>304800</xdr:colOff>
      <xdr:row>15</xdr:row>
      <xdr:rowOff>142875</xdr:rowOff>
    </xdr:to>
    <xdr:grpSp>
      <xdr:nvGrpSpPr>
        <xdr:cNvPr id="4674" name="Group 13">
          <a:extLst>
            <a:ext uri="{FF2B5EF4-FFF2-40B4-BE49-F238E27FC236}">
              <a16:creationId xmlns:a16="http://schemas.microsoft.com/office/drawing/2014/main" id="{B1C320D5-F73F-4071-B239-CAADA76E5755}"/>
            </a:ext>
          </a:extLst>
        </xdr:cNvPr>
        <xdr:cNvGrpSpPr>
          <a:grpSpLocks/>
        </xdr:cNvGrpSpPr>
      </xdr:nvGrpSpPr>
      <xdr:grpSpPr bwMode="auto">
        <a:xfrm>
          <a:off x="2571750" y="6562725"/>
          <a:ext cx="2209800" cy="47625"/>
          <a:chOff x="158" y="715"/>
          <a:chExt cx="33" cy="5"/>
        </a:xfrm>
      </xdr:grpSpPr>
      <xdr:sp macro="" textlink="">
        <xdr:nvSpPr>
          <xdr:cNvPr id="4805" name="Line 14">
            <a:extLst>
              <a:ext uri="{FF2B5EF4-FFF2-40B4-BE49-F238E27FC236}">
                <a16:creationId xmlns:a16="http://schemas.microsoft.com/office/drawing/2014/main" id="{FA605747-10F3-4AA0-B3B9-548DE81D728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06" name="Line 15">
            <a:extLst>
              <a:ext uri="{FF2B5EF4-FFF2-40B4-BE49-F238E27FC236}">
                <a16:creationId xmlns:a16="http://schemas.microsoft.com/office/drawing/2014/main" id="{EC1A7D82-D8F6-4A7F-AAD3-2C783E85CCB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15</xdr:row>
      <xdr:rowOff>47625</xdr:rowOff>
    </xdr:from>
    <xdr:to>
      <xdr:col>10</xdr:col>
      <xdr:colOff>0</xdr:colOff>
      <xdr:row>15</xdr:row>
      <xdr:rowOff>190500</xdr:rowOff>
    </xdr:to>
    <xdr:sp macro="" textlink="">
      <xdr:nvSpPr>
        <xdr:cNvPr id="4675" name="Freeform 16">
          <a:extLst>
            <a:ext uri="{FF2B5EF4-FFF2-40B4-BE49-F238E27FC236}">
              <a16:creationId xmlns:a16="http://schemas.microsoft.com/office/drawing/2014/main" id="{D8276B04-B1F1-4451-9E3A-B79C544D6896}"/>
            </a:ext>
          </a:extLst>
        </xdr:cNvPr>
        <xdr:cNvSpPr>
          <a:spLocks/>
        </xdr:cNvSpPr>
      </xdr:nvSpPr>
      <xdr:spPr bwMode="auto">
        <a:xfrm>
          <a:off x="2305050" y="6515100"/>
          <a:ext cx="266700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95250</xdr:rowOff>
    </xdr:from>
    <xdr:to>
      <xdr:col>9</xdr:col>
      <xdr:colOff>0</xdr:colOff>
      <xdr:row>15</xdr:row>
      <xdr:rowOff>142875</xdr:rowOff>
    </xdr:to>
    <xdr:grpSp>
      <xdr:nvGrpSpPr>
        <xdr:cNvPr id="4676" name="Group 17">
          <a:extLst>
            <a:ext uri="{FF2B5EF4-FFF2-40B4-BE49-F238E27FC236}">
              <a16:creationId xmlns:a16="http://schemas.microsoft.com/office/drawing/2014/main" id="{B7B2F024-20BE-460E-ADD6-CA0F087D6EC1}"/>
            </a:ext>
          </a:extLst>
        </xdr:cNvPr>
        <xdr:cNvGrpSpPr>
          <a:grpSpLocks/>
        </xdr:cNvGrpSpPr>
      </xdr:nvGrpSpPr>
      <xdr:grpSpPr bwMode="auto">
        <a:xfrm>
          <a:off x="2019300" y="6562725"/>
          <a:ext cx="276225" cy="47625"/>
          <a:chOff x="158" y="715"/>
          <a:chExt cx="33" cy="5"/>
        </a:xfrm>
      </xdr:grpSpPr>
      <xdr:sp macro="" textlink="">
        <xdr:nvSpPr>
          <xdr:cNvPr id="4803" name="Line 18">
            <a:extLst>
              <a:ext uri="{FF2B5EF4-FFF2-40B4-BE49-F238E27FC236}">
                <a16:creationId xmlns:a16="http://schemas.microsoft.com/office/drawing/2014/main" id="{02E79BBA-D969-4440-A8EF-94EE493A022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04" name="Line 19">
            <a:extLst>
              <a:ext uri="{FF2B5EF4-FFF2-40B4-BE49-F238E27FC236}">
                <a16:creationId xmlns:a16="http://schemas.microsoft.com/office/drawing/2014/main" id="{F1859A82-BAFF-4ECC-AC70-A46D815FF01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123825</xdr:colOff>
      <xdr:row>13</xdr:row>
      <xdr:rowOff>266700</xdr:rowOff>
    </xdr:from>
    <xdr:to>
      <xdr:col>14</xdr:col>
      <xdr:colOff>114300</xdr:colOff>
      <xdr:row>13</xdr:row>
      <xdr:rowOff>1276350</xdr:rowOff>
    </xdr:to>
    <xdr:grpSp>
      <xdr:nvGrpSpPr>
        <xdr:cNvPr id="4677" name="Group 20">
          <a:extLst>
            <a:ext uri="{FF2B5EF4-FFF2-40B4-BE49-F238E27FC236}">
              <a16:creationId xmlns:a16="http://schemas.microsoft.com/office/drawing/2014/main" id="{2F55C6F3-11B2-412C-97E4-A569C6AF24D1}"/>
            </a:ext>
          </a:extLst>
        </xdr:cNvPr>
        <xdr:cNvGrpSpPr>
          <a:grpSpLocks/>
        </xdr:cNvGrpSpPr>
      </xdr:nvGrpSpPr>
      <xdr:grpSpPr bwMode="auto">
        <a:xfrm>
          <a:off x="2971800" y="4924425"/>
          <a:ext cx="819150" cy="1009650"/>
          <a:chOff x="336" y="565"/>
          <a:chExt cx="105" cy="106"/>
        </a:xfrm>
      </xdr:grpSpPr>
      <xdr:grpSp>
        <xdr:nvGrpSpPr>
          <xdr:cNvPr id="4777" name="Group 21">
            <a:extLst>
              <a:ext uri="{FF2B5EF4-FFF2-40B4-BE49-F238E27FC236}">
                <a16:creationId xmlns:a16="http://schemas.microsoft.com/office/drawing/2014/main" id="{247FA144-4F73-4A18-BB2B-10027B6B456A}"/>
              </a:ext>
            </a:extLst>
          </xdr:cNvPr>
          <xdr:cNvGrpSpPr>
            <a:grpSpLocks/>
          </xdr:cNvGrpSpPr>
        </xdr:nvGrpSpPr>
        <xdr:grpSpPr bwMode="auto">
          <a:xfrm rot="5400000">
            <a:off x="300" y="615"/>
            <a:ext cx="77" cy="6"/>
            <a:chOff x="123" y="549"/>
            <a:chExt cx="77" cy="6"/>
          </a:xfrm>
        </xdr:grpSpPr>
        <xdr:sp macro="" textlink="">
          <xdr:nvSpPr>
            <xdr:cNvPr id="4800" name="Line 22">
              <a:extLst>
                <a:ext uri="{FF2B5EF4-FFF2-40B4-BE49-F238E27FC236}">
                  <a16:creationId xmlns:a16="http://schemas.microsoft.com/office/drawing/2014/main" id="{C29FADBB-1D72-4DF4-9124-EBAA22D76E9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801" name="Freeform 23">
              <a:extLst>
                <a:ext uri="{FF2B5EF4-FFF2-40B4-BE49-F238E27FC236}">
                  <a16:creationId xmlns:a16="http://schemas.microsoft.com/office/drawing/2014/main" id="{D3B8D837-9A68-4674-AD0D-77972462404C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802" name="Freeform 24">
              <a:extLst>
                <a:ext uri="{FF2B5EF4-FFF2-40B4-BE49-F238E27FC236}">
                  <a16:creationId xmlns:a16="http://schemas.microsoft.com/office/drawing/2014/main" id="{7737891E-1913-4AC4-806B-BBEB8B524CE4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2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4778" name="Group 25">
            <a:extLst>
              <a:ext uri="{FF2B5EF4-FFF2-40B4-BE49-F238E27FC236}">
                <a16:creationId xmlns:a16="http://schemas.microsoft.com/office/drawing/2014/main" id="{F12F284A-5E09-4E11-B2E9-24A4422B5FC7}"/>
              </a:ext>
            </a:extLst>
          </xdr:cNvPr>
          <xdr:cNvGrpSpPr>
            <a:grpSpLocks/>
          </xdr:cNvGrpSpPr>
        </xdr:nvGrpSpPr>
        <xdr:grpSpPr bwMode="auto">
          <a:xfrm rot="-5400000">
            <a:off x="319" y="602"/>
            <a:ext cx="105" cy="32"/>
            <a:chOff x="110" y="567"/>
            <a:chExt cx="105" cy="32"/>
          </a:xfrm>
        </xdr:grpSpPr>
        <xdr:sp macro="" textlink="">
          <xdr:nvSpPr>
            <xdr:cNvPr id="4792" name="Line 26">
              <a:extLst>
                <a:ext uri="{FF2B5EF4-FFF2-40B4-BE49-F238E27FC236}">
                  <a16:creationId xmlns:a16="http://schemas.microsoft.com/office/drawing/2014/main" id="{D528000A-B17F-415A-BB94-7DBCAC075C4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93" name="Freeform 27">
              <a:extLst>
                <a:ext uri="{FF2B5EF4-FFF2-40B4-BE49-F238E27FC236}">
                  <a16:creationId xmlns:a16="http://schemas.microsoft.com/office/drawing/2014/main" id="{97355414-624E-4F0C-9A01-49EDCB21DF48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94" name="Freeform 28">
              <a:extLst>
                <a:ext uri="{FF2B5EF4-FFF2-40B4-BE49-F238E27FC236}">
                  <a16:creationId xmlns:a16="http://schemas.microsoft.com/office/drawing/2014/main" id="{43CF41BD-B257-4966-9087-15B81B6E14E3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0 w 203"/>
                <a:gd name="T1" fmla="*/ 0 h 199"/>
                <a:gd name="T2" fmla="*/ 0 w 203"/>
                <a:gd name="T3" fmla="*/ 0 h 199"/>
                <a:gd name="T4" fmla="*/ 0 w 203"/>
                <a:gd name="T5" fmla="*/ 0 h 199"/>
                <a:gd name="T6" fmla="*/ 0 w 203"/>
                <a:gd name="T7" fmla="*/ 0 h 199"/>
                <a:gd name="T8" fmla="*/ 0 w 203"/>
                <a:gd name="T9" fmla="*/ 0 h 199"/>
                <a:gd name="T10" fmla="*/ 0 w 203"/>
                <a:gd name="T11" fmla="*/ 0 h 199"/>
                <a:gd name="T12" fmla="*/ 0 w 203"/>
                <a:gd name="T13" fmla="*/ 0 h 199"/>
                <a:gd name="T14" fmla="*/ 0 w 203"/>
                <a:gd name="T15" fmla="*/ 0 h 199"/>
                <a:gd name="T16" fmla="*/ 0 w 203"/>
                <a:gd name="T17" fmla="*/ 0 h 199"/>
                <a:gd name="T18" fmla="*/ 0 w 203"/>
                <a:gd name="T19" fmla="*/ 0 h 199"/>
                <a:gd name="T20" fmla="*/ 0 w 203"/>
                <a:gd name="T21" fmla="*/ 0 h 199"/>
                <a:gd name="T22" fmla="*/ 0 w 203"/>
                <a:gd name="T23" fmla="*/ 0 h 199"/>
                <a:gd name="T24" fmla="*/ 0 w 203"/>
                <a:gd name="T25" fmla="*/ 0 h 199"/>
                <a:gd name="T26" fmla="*/ 0 w 203"/>
                <a:gd name="T27" fmla="*/ 0 h 199"/>
                <a:gd name="T28" fmla="*/ 0 w 203"/>
                <a:gd name="T29" fmla="*/ 0 h 199"/>
                <a:gd name="T30" fmla="*/ 0 w 203"/>
                <a:gd name="T31" fmla="*/ 0 h 199"/>
                <a:gd name="T32" fmla="*/ 0 w 203"/>
                <a:gd name="T33" fmla="*/ 0 h 199"/>
                <a:gd name="T34" fmla="*/ 0 w 203"/>
                <a:gd name="T35" fmla="*/ 0 h 199"/>
                <a:gd name="T36" fmla="*/ 0 w 203"/>
                <a:gd name="T37" fmla="*/ 0 h 199"/>
                <a:gd name="T38" fmla="*/ 0 w 203"/>
                <a:gd name="T39" fmla="*/ 0 h 199"/>
                <a:gd name="T40" fmla="*/ 0 w 203"/>
                <a:gd name="T41" fmla="*/ 0 h 199"/>
                <a:gd name="T42" fmla="*/ 0 w 203"/>
                <a:gd name="T43" fmla="*/ 0 h 199"/>
                <a:gd name="T44" fmla="*/ 0 w 203"/>
                <a:gd name="T45" fmla="*/ 0 h 199"/>
                <a:gd name="T46" fmla="*/ 0 w 203"/>
                <a:gd name="T47" fmla="*/ 0 h 199"/>
                <a:gd name="T48" fmla="*/ 0 w 203"/>
                <a:gd name="T49" fmla="*/ 0 h 199"/>
                <a:gd name="T50" fmla="*/ 0 w 203"/>
                <a:gd name="T51" fmla="*/ 0 h 199"/>
                <a:gd name="T52" fmla="*/ 0 w 203"/>
                <a:gd name="T53" fmla="*/ 0 h 199"/>
                <a:gd name="T54" fmla="*/ 0 w 203"/>
                <a:gd name="T55" fmla="*/ 0 h 199"/>
                <a:gd name="T56" fmla="*/ 0 w 203"/>
                <a:gd name="T57" fmla="*/ 0 h 199"/>
                <a:gd name="T58" fmla="*/ 0 w 203"/>
                <a:gd name="T59" fmla="*/ 0 h 199"/>
                <a:gd name="T60" fmla="*/ 0 w 203"/>
                <a:gd name="T61" fmla="*/ 0 h 199"/>
                <a:gd name="T62" fmla="*/ 0 w 203"/>
                <a:gd name="T63" fmla="*/ 0 h 199"/>
                <a:gd name="T64" fmla="*/ 0 w 203"/>
                <a:gd name="T65" fmla="*/ 0 h 199"/>
                <a:gd name="T66" fmla="*/ 0 w 203"/>
                <a:gd name="T67" fmla="*/ 0 h 199"/>
                <a:gd name="T68" fmla="*/ 0 w 203"/>
                <a:gd name="T69" fmla="*/ 0 h 199"/>
                <a:gd name="T70" fmla="*/ 0 w 203"/>
                <a:gd name="T71" fmla="*/ 0 h 199"/>
                <a:gd name="T72" fmla="*/ 0 w 203"/>
                <a:gd name="T73" fmla="*/ 0 h 199"/>
                <a:gd name="T74" fmla="*/ 0 w 203"/>
                <a:gd name="T75" fmla="*/ 0 h 199"/>
                <a:gd name="T76" fmla="*/ 0 w 203"/>
                <a:gd name="T77" fmla="*/ 0 h 199"/>
                <a:gd name="T78" fmla="*/ 0 w 203"/>
                <a:gd name="T79" fmla="*/ 0 h 199"/>
                <a:gd name="T80" fmla="*/ 0 w 203"/>
                <a:gd name="T81" fmla="*/ 0 h 199"/>
                <a:gd name="T82" fmla="*/ 0 w 203"/>
                <a:gd name="T83" fmla="*/ 0 h 199"/>
                <a:gd name="T84" fmla="*/ 0 w 203"/>
                <a:gd name="T85" fmla="*/ 0 h 199"/>
                <a:gd name="T86" fmla="*/ 0 w 203"/>
                <a:gd name="T87" fmla="*/ 0 h 199"/>
                <a:gd name="T88" fmla="*/ 0 w 203"/>
                <a:gd name="T89" fmla="*/ 0 h 199"/>
                <a:gd name="T90" fmla="*/ 0 w 203"/>
                <a:gd name="T91" fmla="*/ 0 h 199"/>
                <a:gd name="T92" fmla="*/ 0 w 203"/>
                <a:gd name="T93" fmla="*/ 0 h 199"/>
                <a:gd name="T94" fmla="*/ 0 w 203"/>
                <a:gd name="T95" fmla="*/ 0 h 199"/>
                <a:gd name="T96" fmla="*/ 0 w 203"/>
                <a:gd name="T97" fmla="*/ 0 h 199"/>
                <a:gd name="T98" fmla="*/ 0 w 203"/>
                <a:gd name="T99" fmla="*/ 0 h 199"/>
                <a:gd name="T100" fmla="*/ 0 w 203"/>
                <a:gd name="T101" fmla="*/ 0 h 199"/>
                <a:gd name="T102" fmla="*/ 0 w 203"/>
                <a:gd name="T103" fmla="*/ 0 h 199"/>
                <a:gd name="T104" fmla="*/ 0 w 203"/>
                <a:gd name="T105" fmla="*/ 0 h 199"/>
                <a:gd name="T106" fmla="*/ 0 w 203"/>
                <a:gd name="T107" fmla="*/ 0 h 199"/>
                <a:gd name="T108" fmla="*/ 0 w 203"/>
                <a:gd name="T109" fmla="*/ 0 h 199"/>
                <a:gd name="T110" fmla="*/ 0 w 203"/>
                <a:gd name="T111" fmla="*/ 0 h 199"/>
                <a:gd name="T112" fmla="*/ 0 w 203"/>
                <a:gd name="T113" fmla="*/ 0 h 199"/>
                <a:gd name="T114" fmla="*/ 0 w 203"/>
                <a:gd name="T115" fmla="*/ 0 h 199"/>
                <a:gd name="T116" fmla="*/ 0 w 203"/>
                <a:gd name="T117" fmla="*/ 0 h 199"/>
                <a:gd name="T118" fmla="*/ 0 w 203"/>
                <a:gd name="T119" fmla="*/ 0 h 199"/>
                <a:gd name="T120" fmla="*/ 0 w 203"/>
                <a:gd name="T121" fmla="*/ 0 h 199"/>
                <a:gd name="T122" fmla="*/ 0 w 20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95" name="Line 29">
              <a:extLst>
                <a:ext uri="{FF2B5EF4-FFF2-40B4-BE49-F238E27FC236}">
                  <a16:creationId xmlns:a16="http://schemas.microsoft.com/office/drawing/2014/main" id="{A31B8050-31AC-4893-886C-EA5DAF1DFEB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96" name="Freeform 30">
              <a:extLst>
                <a:ext uri="{FF2B5EF4-FFF2-40B4-BE49-F238E27FC236}">
                  <a16:creationId xmlns:a16="http://schemas.microsoft.com/office/drawing/2014/main" id="{7BECB78D-75EC-4324-B3D0-CB9F5D59F2AE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0 w 207"/>
                <a:gd name="T1" fmla="*/ 0 h 176"/>
                <a:gd name="T2" fmla="*/ 0 w 207"/>
                <a:gd name="T3" fmla="*/ 0 h 176"/>
                <a:gd name="T4" fmla="*/ 0 w 207"/>
                <a:gd name="T5" fmla="*/ 0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97" name="Freeform 31">
              <a:extLst>
                <a:ext uri="{FF2B5EF4-FFF2-40B4-BE49-F238E27FC236}">
                  <a16:creationId xmlns:a16="http://schemas.microsoft.com/office/drawing/2014/main" id="{EBA4DBA6-3F0E-45CE-B239-AB7C5C827D95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0 w 201"/>
                <a:gd name="T5" fmla="*/ 0 h 202"/>
                <a:gd name="T6" fmla="*/ 0 w 201"/>
                <a:gd name="T7" fmla="*/ 0 h 202"/>
                <a:gd name="T8" fmla="*/ 0 w 201"/>
                <a:gd name="T9" fmla="*/ 0 h 202"/>
                <a:gd name="T10" fmla="*/ 0 w 201"/>
                <a:gd name="T11" fmla="*/ 0 h 202"/>
                <a:gd name="T12" fmla="*/ 0 w 201"/>
                <a:gd name="T13" fmla="*/ 0 h 202"/>
                <a:gd name="T14" fmla="*/ 0 w 201"/>
                <a:gd name="T15" fmla="*/ 0 h 202"/>
                <a:gd name="T16" fmla="*/ 0 w 201"/>
                <a:gd name="T17" fmla="*/ 0 h 202"/>
                <a:gd name="T18" fmla="*/ 0 w 201"/>
                <a:gd name="T19" fmla="*/ 0 h 202"/>
                <a:gd name="T20" fmla="*/ 0 w 201"/>
                <a:gd name="T21" fmla="*/ 0 h 202"/>
                <a:gd name="T22" fmla="*/ 0 w 201"/>
                <a:gd name="T23" fmla="*/ 0 h 202"/>
                <a:gd name="T24" fmla="*/ 0 w 201"/>
                <a:gd name="T25" fmla="*/ 0 h 202"/>
                <a:gd name="T26" fmla="*/ 0 w 201"/>
                <a:gd name="T27" fmla="*/ 0 h 202"/>
                <a:gd name="T28" fmla="*/ 0 w 201"/>
                <a:gd name="T29" fmla="*/ 0 h 202"/>
                <a:gd name="T30" fmla="*/ 0 w 201"/>
                <a:gd name="T31" fmla="*/ 0 h 202"/>
                <a:gd name="T32" fmla="*/ 0 w 201"/>
                <a:gd name="T33" fmla="*/ 0 h 202"/>
                <a:gd name="T34" fmla="*/ 0 w 201"/>
                <a:gd name="T35" fmla="*/ 0 h 202"/>
                <a:gd name="T36" fmla="*/ 0 w 201"/>
                <a:gd name="T37" fmla="*/ 0 h 202"/>
                <a:gd name="T38" fmla="*/ 0 w 201"/>
                <a:gd name="T39" fmla="*/ 0 h 202"/>
                <a:gd name="T40" fmla="*/ 0 w 201"/>
                <a:gd name="T41" fmla="*/ 0 h 202"/>
                <a:gd name="T42" fmla="*/ 0 w 201"/>
                <a:gd name="T43" fmla="*/ 0 h 202"/>
                <a:gd name="T44" fmla="*/ 0 w 201"/>
                <a:gd name="T45" fmla="*/ 0 h 202"/>
                <a:gd name="T46" fmla="*/ 0 w 201"/>
                <a:gd name="T47" fmla="*/ 0 h 202"/>
                <a:gd name="T48" fmla="*/ 0 w 201"/>
                <a:gd name="T49" fmla="*/ 0 h 202"/>
                <a:gd name="T50" fmla="*/ 0 w 201"/>
                <a:gd name="T51" fmla="*/ 0 h 202"/>
                <a:gd name="T52" fmla="*/ 0 w 201"/>
                <a:gd name="T53" fmla="*/ 0 h 202"/>
                <a:gd name="T54" fmla="*/ 0 w 201"/>
                <a:gd name="T55" fmla="*/ 0 h 202"/>
                <a:gd name="T56" fmla="*/ 0 w 201"/>
                <a:gd name="T57" fmla="*/ 0 h 202"/>
                <a:gd name="T58" fmla="*/ 0 w 201"/>
                <a:gd name="T59" fmla="*/ 0 h 202"/>
                <a:gd name="T60" fmla="*/ 0 w 201"/>
                <a:gd name="T61" fmla="*/ 0 h 202"/>
                <a:gd name="T62" fmla="*/ 0 w 201"/>
                <a:gd name="T63" fmla="*/ 0 h 202"/>
                <a:gd name="T64" fmla="*/ 0 w 201"/>
                <a:gd name="T65" fmla="*/ 0 h 202"/>
                <a:gd name="T66" fmla="*/ 0 w 201"/>
                <a:gd name="T67" fmla="*/ 0 h 202"/>
                <a:gd name="T68" fmla="*/ 0 w 201"/>
                <a:gd name="T69" fmla="*/ 0 h 202"/>
                <a:gd name="T70" fmla="*/ 0 w 201"/>
                <a:gd name="T71" fmla="*/ 0 h 202"/>
                <a:gd name="T72" fmla="*/ 0 w 201"/>
                <a:gd name="T73" fmla="*/ 0 h 202"/>
                <a:gd name="T74" fmla="*/ 0 w 201"/>
                <a:gd name="T75" fmla="*/ 0 h 202"/>
                <a:gd name="T76" fmla="*/ 0 w 201"/>
                <a:gd name="T77" fmla="*/ 0 h 202"/>
                <a:gd name="T78" fmla="*/ 0 w 201"/>
                <a:gd name="T79" fmla="*/ 0 h 202"/>
                <a:gd name="T80" fmla="*/ 0 w 201"/>
                <a:gd name="T81" fmla="*/ 0 h 202"/>
                <a:gd name="T82" fmla="*/ 0 w 201"/>
                <a:gd name="T83" fmla="*/ 0 h 202"/>
                <a:gd name="T84" fmla="*/ 0 w 201"/>
                <a:gd name="T85" fmla="*/ 0 h 202"/>
                <a:gd name="T86" fmla="*/ 0 w 201"/>
                <a:gd name="T87" fmla="*/ 0 h 202"/>
                <a:gd name="T88" fmla="*/ 0 w 201"/>
                <a:gd name="T89" fmla="*/ 0 h 202"/>
                <a:gd name="T90" fmla="*/ 0 w 201"/>
                <a:gd name="T91" fmla="*/ 0 h 202"/>
                <a:gd name="T92" fmla="*/ 0 w 201"/>
                <a:gd name="T93" fmla="*/ 0 h 202"/>
                <a:gd name="T94" fmla="*/ 0 w 201"/>
                <a:gd name="T95" fmla="*/ 0 h 202"/>
                <a:gd name="T96" fmla="*/ 0 w 201"/>
                <a:gd name="T97" fmla="*/ 0 h 202"/>
                <a:gd name="T98" fmla="*/ 0 w 201"/>
                <a:gd name="T99" fmla="*/ 0 h 202"/>
                <a:gd name="T100" fmla="*/ 0 w 201"/>
                <a:gd name="T101" fmla="*/ 0 h 202"/>
                <a:gd name="T102" fmla="*/ 0 w 201"/>
                <a:gd name="T103" fmla="*/ 0 h 202"/>
                <a:gd name="T104" fmla="*/ 0 w 201"/>
                <a:gd name="T105" fmla="*/ 0 h 202"/>
                <a:gd name="T106" fmla="*/ 0 w 201"/>
                <a:gd name="T107" fmla="*/ 0 h 202"/>
                <a:gd name="T108" fmla="*/ 0 w 201"/>
                <a:gd name="T109" fmla="*/ 0 h 202"/>
                <a:gd name="T110" fmla="*/ 0 w 201"/>
                <a:gd name="T111" fmla="*/ 0 h 202"/>
                <a:gd name="T112" fmla="*/ 0 w 201"/>
                <a:gd name="T113" fmla="*/ 0 h 202"/>
                <a:gd name="T114" fmla="*/ 0 w 201"/>
                <a:gd name="T115" fmla="*/ 0 h 202"/>
                <a:gd name="T116" fmla="*/ 0 w 201"/>
                <a:gd name="T117" fmla="*/ 0 h 202"/>
                <a:gd name="T118" fmla="*/ 0 w 201"/>
                <a:gd name="T119" fmla="*/ 0 h 202"/>
                <a:gd name="T120" fmla="*/ 0 w 201"/>
                <a:gd name="T121" fmla="*/ 0 h 202"/>
                <a:gd name="T122" fmla="*/ 0 w 201"/>
                <a:gd name="T123" fmla="*/ 0 h 202"/>
                <a:gd name="T124" fmla="*/ 0 w 201"/>
                <a:gd name="T125" fmla="*/ 0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98" name="Line 32">
              <a:extLst>
                <a:ext uri="{FF2B5EF4-FFF2-40B4-BE49-F238E27FC236}">
                  <a16:creationId xmlns:a16="http://schemas.microsoft.com/office/drawing/2014/main" id="{F16C9AE3-1582-4B4D-AD41-ADC3B2994BF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99" name="Freeform 33">
              <a:extLst>
                <a:ext uri="{FF2B5EF4-FFF2-40B4-BE49-F238E27FC236}">
                  <a16:creationId xmlns:a16="http://schemas.microsoft.com/office/drawing/2014/main" id="{DBDCCF60-0BF2-4151-8B5E-A8E7CC270B2A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0 w 208"/>
                <a:gd name="T1" fmla="*/ 0 h 177"/>
                <a:gd name="T2" fmla="*/ 0 w 208"/>
                <a:gd name="T3" fmla="*/ 0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4779" name="Group 34">
            <a:extLst>
              <a:ext uri="{FF2B5EF4-FFF2-40B4-BE49-F238E27FC236}">
                <a16:creationId xmlns:a16="http://schemas.microsoft.com/office/drawing/2014/main" id="{DF8FED1A-E6C4-4777-8117-4BA25E87264A}"/>
              </a:ext>
            </a:extLst>
          </xdr:cNvPr>
          <xdr:cNvGrpSpPr>
            <a:grpSpLocks/>
          </xdr:cNvGrpSpPr>
        </xdr:nvGrpSpPr>
        <xdr:grpSpPr bwMode="auto">
          <a:xfrm rot="5400000">
            <a:off x="399" y="613"/>
            <a:ext cx="77" cy="6"/>
            <a:chOff x="123" y="549"/>
            <a:chExt cx="77" cy="6"/>
          </a:xfrm>
        </xdr:grpSpPr>
        <xdr:sp macro="" textlink="">
          <xdr:nvSpPr>
            <xdr:cNvPr id="4789" name="Line 35">
              <a:extLst>
                <a:ext uri="{FF2B5EF4-FFF2-40B4-BE49-F238E27FC236}">
                  <a16:creationId xmlns:a16="http://schemas.microsoft.com/office/drawing/2014/main" id="{23AB8CA4-205C-47E2-A3CE-4057D34CEA3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90" name="Freeform 36">
              <a:extLst>
                <a:ext uri="{FF2B5EF4-FFF2-40B4-BE49-F238E27FC236}">
                  <a16:creationId xmlns:a16="http://schemas.microsoft.com/office/drawing/2014/main" id="{26B7F8CD-8F0A-4D9E-BA9B-560E66AE3BE3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91" name="Freeform 37">
              <a:extLst>
                <a:ext uri="{FF2B5EF4-FFF2-40B4-BE49-F238E27FC236}">
                  <a16:creationId xmlns:a16="http://schemas.microsoft.com/office/drawing/2014/main" id="{5214C81B-EB21-4981-818C-6E940A600B67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2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4780" name="Group 38">
            <a:extLst>
              <a:ext uri="{FF2B5EF4-FFF2-40B4-BE49-F238E27FC236}">
                <a16:creationId xmlns:a16="http://schemas.microsoft.com/office/drawing/2014/main" id="{0D6B3491-F791-4703-8D4E-EDB6E2567DCC}"/>
              </a:ext>
            </a:extLst>
          </xdr:cNvPr>
          <xdr:cNvGrpSpPr>
            <a:grpSpLocks/>
          </xdr:cNvGrpSpPr>
        </xdr:nvGrpSpPr>
        <xdr:grpSpPr bwMode="auto">
          <a:xfrm rot="5400000">
            <a:off x="355" y="603"/>
            <a:ext cx="105" cy="32"/>
            <a:chOff x="110" y="567"/>
            <a:chExt cx="105" cy="32"/>
          </a:xfrm>
        </xdr:grpSpPr>
        <xdr:sp macro="" textlink="">
          <xdr:nvSpPr>
            <xdr:cNvPr id="4781" name="Line 39">
              <a:extLst>
                <a:ext uri="{FF2B5EF4-FFF2-40B4-BE49-F238E27FC236}">
                  <a16:creationId xmlns:a16="http://schemas.microsoft.com/office/drawing/2014/main" id="{7D5FFEF1-B02E-4AFB-B0F7-6AF36472363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82" name="Freeform 40">
              <a:extLst>
                <a:ext uri="{FF2B5EF4-FFF2-40B4-BE49-F238E27FC236}">
                  <a16:creationId xmlns:a16="http://schemas.microsoft.com/office/drawing/2014/main" id="{04F858A0-F30F-4D65-BFA4-89E66B2DD81F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83" name="Freeform 41">
              <a:extLst>
                <a:ext uri="{FF2B5EF4-FFF2-40B4-BE49-F238E27FC236}">
                  <a16:creationId xmlns:a16="http://schemas.microsoft.com/office/drawing/2014/main" id="{AE674E98-C6D9-48A2-A0CD-FCE9A896D2E6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0 w 203"/>
                <a:gd name="T1" fmla="*/ 0 h 199"/>
                <a:gd name="T2" fmla="*/ 0 w 203"/>
                <a:gd name="T3" fmla="*/ 0 h 199"/>
                <a:gd name="T4" fmla="*/ 0 w 203"/>
                <a:gd name="T5" fmla="*/ 0 h 199"/>
                <a:gd name="T6" fmla="*/ 0 w 203"/>
                <a:gd name="T7" fmla="*/ 0 h 199"/>
                <a:gd name="T8" fmla="*/ 0 w 203"/>
                <a:gd name="T9" fmla="*/ 0 h 199"/>
                <a:gd name="T10" fmla="*/ 0 w 203"/>
                <a:gd name="T11" fmla="*/ 0 h 199"/>
                <a:gd name="T12" fmla="*/ 0 w 203"/>
                <a:gd name="T13" fmla="*/ 0 h 199"/>
                <a:gd name="T14" fmla="*/ 0 w 203"/>
                <a:gd name="T15" fmla="*/ 0 h 199"/>
                <a:gd name="T16" fmla="*/ 0 w 203"/>
                <a:gd name="T17" fmla="*/ 0 h 199"/>
                <a:gd name="T18" fmla="*/ 0 w 203"/>
                <a:gd name="T19" fmla="*/ 0 h 199"/>
                <a:gd name="T20" fmla="*/ 0 w 203"/>
                <a:gd name="T21" fmla="*/ 0 h 199"/>
                <a:gd name="T22" fmla="*/ 0 w 203"/>
                <a:gd name="T23" fmla="*/ 0 h 199"/>
                <a:gd name="T24" fmla="*/ 0 w 203"/>
                <a:gd name="T25" fmla="*/ 0 h 199"/>
                <a:gd name="T26" fmla="*/ 0 w 203"/>
                <a:gd name="T27" fmla="*/ 0 h 199"/>
                <a:gd name="T28" fmla="*/ 0 w 203"/>
                <a:gd name="T29" fmla="*/ 0 h 199"/>
                <a:gd name="T30" fmla="*/ 0 w 203"/>
                <a:gd name="T31" fmla="*/ 0 h 199"/>
                <a:gd name="T32" fmla="*/ 0 w 203"/>
                <a:gd name="T33" fmla="*/ 0 h 199"/>
                <a:gd name="T34" fmla="*/ 0 w 203"/>
                <a:gd name="T35" fmla="*/ 0 h 199"/>
                <a:gd name="T36" fmla="*/ 0 w 203"/>
                <a:gd name="T37" fmla="*/ 0 h 199"/>
                <a:gd name="T38" fmla="*/ 0 w 203"/>
                <a:gd name="T39" fmla="*/ 0 h 199"/>
                <a:gd name="T40" fmla="*/ 0 w 203"/>
                <a:gd name="T41" fmla="*/ 0 h 199"/>
                <a:gd name="T42" fmla="*/ 0 w 203"/>
                <a:gd name="T43" fmla="*/ 0 h 199"/>
                <a:gd name="T44" fmla="*/ 0 w 203"/>
                <a:gd name="T45" fmla="*/ 0 h 199"/>
                <a:gd name="T46" fmla="*/ 0 w 203"/>
                <a:gd name="T47" fmla="*/ 0 h 199"/>
                <a:gd name="T48" fmla="*/ 0 w 203"/>
                <a:gd name="T49" fmla="*/ 0 h 199"/>
                <a:gd name="T50" fmla="*/ 0 w 203"/>
                <a:gd name="T51" fmla="*/ 0 h 199"/>
                <a:gd name="T52" fmla="*/ 0 w 203"/>
                <a:gd name="T53" fmla="*/ 0 h 199"/>
                <a:gd name="T54" fmla="*/ 0 w 203"/>
                <a:gd name="T55" fmla="*/ 0 h 199"/>
                <a:gd name="T56" fmla="*/ 0 w 203"/>
                <a:gd name="T57" fmla="*/ 0 h 199"/>
                <a:gd name="T58" fmla="*/ 0 w 203"/>
                <a:gd name="T59" fmla="*/ 0 h 199"/>
                <a:gd name="T60" fmla="*/ 0 w 203"/>
                <a:gd name="T61" fmla="*/ 0 h 199"/>
                <a:gd name="T62" fmla="*/ 0 w 203"/>
                <a:gd name="T63" fmla="*/ 0 h 199"/>
                <a:gd name="T64" fmla="*/ 0 w 203"/>
                <a:gd name="T65" fmla="*/ 0 h 199"/>
                <a:gd name="T66" fmla="*/ 0 w 203"/>
                <a:gd name="T67" fmla="*/ 0 h 199"/>
                <a:gd name="T68" fmla="*/ 0 w 203"/>
                <a:gd name="T69" fmla="*/ 0 h 199"/>
                <a:gd name="T70" fmla="*/ 0 w 203"/>
                <a:gd name="T71" fmla="*/ 0 h 199"/>
                <a:gd name="T72" fmla="*/ 0 w 203"/>
                <a:gd name="T73" fmla="*/ 0 h 199"/>
                <a:gd name="T74" fmla="*/ 0 w 203"/>
                <a:gd name="T75" fmla="*/ 0 h 199"/>
                <a:gd name="T76" fmla="*/ 0 w 203"/>
                <a:gd name="T77" fmla="*/ 0 h 199"/>
                <a:gd name="T78" fmla="*/ 0 w 203"/>
                <a:gd name="T79" fmla="*/ 0 h 199"/>
                <a:gd name="T80" fmla="*/ 0 w 203"/>
                <a:gd name="T81" fmla="*/ 0 h 199"/>
                <a:gd name="T82" fmla="*/ 0 w 203"/>
                <a:gd name="T83" fmla="*/ 0 h 199"/>
                <a:gd name="T84" fmla="*/ 0 w 203"/>
                <a:gd name="T85" fmla="*/ 0 h 199"/>
                <a:gd name="T86" fmla="*/ 0 w 203"/>
                <a:gd name="T87" fmla="*/ 0 h 199"/>
                <a:gd name="T88" fmla="*/ 0 w 203"/>
                <a:gd name="T89" fmla="*/ 0 h 199"/>
                <a:gd name="T90" fmla="*/ 0 w 203"/>
                <a:gd name="T91" fmla="*/ 0 h 199"/>
                <a:gd name="T92" fmla="*/ 0 w 203"/>
                <a:gd name="T93" fmla="*/ 0 h 199"/>
                <a:gd name="T94" fmla="*/ 0 w 203"/>
                <a:gd name="T95" fmla="*/ 0 h 199"/>
                <a:gd name="T96" fmla="*/ 0 w 203"/>
                <a:gd name="T97" fmla="*/ 0 h 199"/>
                <a:gd name="T98" fmla="*/ 0 w 203"/>
                <a:gd name="T99" fmla="*/ 0 h 199"/>
                <a:gd name="T100" fmla="*/ 0 w 203"/>
                <a:gd name="T101" fmla="*/ 0 h 199"/>
                <a:gd name="T102" fmla="*/ 0 w 203"/>
                <a:gd name="T103" fmla="*/ 0 h 199"/>
                <a:gd name="T104" fmla="*/ 0 w 203"/>
                <a:gd name="T105" fmla="*/ 0 h 199"/>
                <a:gd name="T106" fmla="*/ 0 w 203"/>
                <a:gd name="T107" fmla="*/ 0 h 199"/>
                <a:gd name="T108" fmla="*/ 0 w 203"/>
                <a:gd name="T109" fmla="*/ 0 h 199"/>
                <a:gd name="T110" fmla="*/ 0 w 203"/>
                <a:gd name="T111" fmla="*/ 0 h 199"/>
                <a:gd name="T112" fmla="*/ 0 w 203"/>
                <a:gd name="T113" fmla="*/ 0 h 199"/>
                <a:gd name="T114" fmla="*/ 0 w 203"/>
                <a:gd name="T115" fmla="*/ 0 h 199"/>
                <a:gd name="T116" fmla="*/ 0 w 203"/>
                <a:gd name="T117" fmla="*/ 0 h 199"/>
                <a:gd name="T118" fmla="*/ 0 w 203"/>
                <a:gd name="T119" fmla="*/ 0 h 199"/>
                <a:gd name="T120" fmla="*/ 0 w 203"/>
                <a:gd name="T121" fmla="*/ 0 h 199"/>
                <a:gd name="T122" fmla="*/ 0 w 20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84" name="Line 42">
              <a:extLst>
                <a:ext uri="{FF2B5EF4-FFF2-40B4-BE49-F238E27FC236}">
                  <a16:creationId xmlns:a16="http://schemas.microsoft.com/office/drawing/2014/main" id="{1D2BE508-DEDE-40A6-82B4-F56BCAA5245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85" name="Freeform 43">
              <a:extLst>
                <a:ext uri="{FF2B5EF4-FFF2-40B4-BE49-F238E27FC236}">
                  <a16:creationId xmlns:a16="http://schemas.microsoft.com/office/drawing/2014/main" id="{C7DAD40B-58B5-4A79-A114-AC8F992D3782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0 w 207"/>
                <a:gd name="T1" fmla="*/ 0 h 176"/>
                <a:gd name="T2" fmla="*/ 0 w 207"/>
                <a:gd name="T3" fmla="*/ 0 h 176"/>
                <a:gd name="T4" fmla="*/ 0 w 207"/>
                <a:gd name="T5" fmla="*/ 0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86" name="Freeform 44">
              <a:extLst>
                <a:ext uri="{FF2B5EF4-FFF2-40B4-BE49-F238E27FC236}">
                  <a16:creationId xmlns:a16="http://schemas.microsoft.com/office/drawing/2014/main" id="{0CB97C14-D5F9-47E4-B8E8-525B95B86C3C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0 w 201"/>
                <a:gd name="T5" fmla="*/ 0 h 202"/>
                <a:gd name="T6" fmla="*/ 0 w 201"/>
                <a:gd name="T7" fmla="*/ 0 h 202"/>
                <a:gd name="T8" fmla="*/ 0 w 201"/>
                <a:gd name="T9" fmla="*/ 0 h 202"/>
                <a:gd name="T10" fmla="*/ 0 w 201"/>
                <a:gd name="T11" fmla="*/ 0 h 202"/>
                <a:gd name="T12" fmla="*/ 0 w 201"/>
                <a:gd name="T13" fmla="*/ 0 h 202"/>
                <a:gd name="T14" fmla="*/ 0 w 201"/>
                <a:gd name="T15" fmla="*/ 0 h 202"/>
                <a:gd name="T16" fmla="*/ 0 w 201"/>
                <a:gd name="T17" fmla="*/ 0 h 202"/>
                <a:gd name="T18" fmla="*/ 0 w 201"/>
                <a:gd name="T19" fmla="*/ 0 h 202"/>
                <a:gd name="T20" fmla="*/ 0 w 201"/>
                <a:gd name="T21" fmla="*/ 0 h 202"/>
                <a:gd name="T22" fmla="*/ 0 w 201"/>
                <a:gd name="T23" fmla="*/ 0 h 202"/>
                <a:gd name="T24" fmla="*/ 0 w 201"/>
                <a:gd name="T25" fmla="*/ 0 h 202"/>
                <a:gd name="T26" fmla="*/ 0 w 201"/>
                <a:gd name="T27" fmla="*/ 0 h 202"/>
                <a:gd name="T28" fmla="*/ 0 w 201"/>
                <a:gd name="T29" fmla="*/ 0 h 202"/>
                <a:gd name="T30" fmla="*/ 0 w 201"/>
                <a:gd name="T31" fmla="*/ 0 h 202"/>
                <a:gd name="T32" fmla="*/ 0 w 201"/>
                <a:gd name="T33" fmla="*/ 0 h 202"/>
                <a:gd name="T34" fmla="*/ 0 w 201"/>
                <a:gd name="T35" fmla="*/ 0 h 202"/>
                <a:gd name="T36" fmla="*/ 0 w 201"/>
                <a:gd name="T37" fmla="*/ 0 h 202"/>
                <a:gd name="T38" fmla="*/ 0 w 201"/>
                <a:gd name="T39" fmla="*/ 0 h 202"/>
                <a:gd name="T40" fmla="*/ 0 w 201"/>
                <a:gd name="T41" fmla="*/ 0 h 202"/>
                <a:gd name="T42" fmla="*/ 0 w 201"/>
                <a:gd name="T43" fmla="*/ 0 h 202"/>
                <a:gd name="T44" fmla="*/ 0 w 201"/>
                <a:gd name="T45" fmla="*/ 0 h 202"/>
                <a:gd name="T46" fmla="*/ 0 w 201"/>
                <a:gd name="T47" fmla="*/ 0 h 202"/>
                <a:gd name="T48" fmla="*/ 0 w 201"/>
                <a:gd name="T49" fmla="*/ 0 h 202"/>
                <a:gd name="T50" fmla="*/ 0 w 201"/>
                <a:gd name="T51" fmla="*/ 0 h 202"/>
                <a:gd name="T52" fmla="*/ 0 w 201"/>
                <a:gd name="T53" fmla="*/ 0 h 202"/>
                <a:gd name="T54" fmla="*/ 0 w 201"/>
                <a:gd name="T55" fmla="*/ 0 h 202"/>
                <a:gd name="T56" fmla="*/ 0 w 201"/>
                <a:gd name="T57" fmla="*/ 0 h 202"/>
                <a:gd name="T58" fmla="*/ 0 w 201"/>
                <a:gd name="T59" fmla="*/ 0 h 202"/>
                <a:gd name="T60" fmla="*/ 0 w 201"/>
                <a:gd name="T61" fmla="*/ 0 h 202"/>
                <a:gd name="T62" fmla="*/ 0 w 201"/>
                <a:gd name="T63" fmla="*/ 0 h 202"/>
                <a:gd name="T64" fmla="*/ 0 w 201"/>
                <a:gd name="T65" fmla="*/ 0 h 202"/>
                <a:gd name="T66" fmla="*/ 0 w 201"/>
                <a:gd name="T67" fmla="*/ 0 h 202"/>
                <a:gd name="T68" fmla="*/ 0 w 201"/>
                <a:gd name="T69" fmla="*/ 0 h 202"/>
                <a:gd name="T70" fmla="*/ 0 w 201"/>
                <a:gd name="T71" fmla="*/ 0 h 202"/>
                <a:gd name="T72" fmla="*/ 0 w 201"/>
                <a:gd name="T73" fmla="*/ 0 h 202"/>
                <a:gd name="T74" fmla="*/ 0 w 201"/>
                <a:gd name="T75" fmla="*/ 0 h 202"/>
                <a:gd name="T76" fmla="*/ 0 w 201"/>
                <a:gd name="T77" fmla="*/ 0 h 202"/>
                <a:gd name="T78" fmla="*/ 0 w 201"/>
                <a:gd name="T79" fmla="*/ 0 h 202"/>
                <a:gd name="T80" fmla="*/ 0 w 201"/>
                <a:gd name="T81" fmla="*/ 0 h 202"/>
                <a:gd name="T82" fmla="*/ 0 w 201"/>
                <a:gd name="T83" fmla="*/ 0 h 202"/>
                <a:gd name="T84" fmla="*/ 0 w 201"/>
                <a:gd name="T85" fmla="*/ 0 h 202"/>
                <a:gd name="T86" fmla="*/ 0 w 201"/>
                <a:gd name="T87" fmla="*/ 0 h 202"/>
                <a:gd name="T88" fmla="*/ 0 w 201"/>
                <a:gd name="T89" fmla="*/ 0 h 202"/>
                <a:gd name="T90" fmla="*/ 0 w 201"/>
                <a:gd name="T91" fmla="*/ 0 h 202"/>
                <a:gd name="T92" fmla="*/ 0 w 201"/>
                <a:gd name="T93" fmla="*/ 0 h 202"/>
                <a:gd name="T94" fmla="*/ 0 w 201"/>
                <a:gd name="T95" fmla="*/ 0 h 202"/>
                <a:gd name="T96" fmla="*/ 0 w 201"/>
                <a:gd name="T97" fmla="*/ 0 h 202"/>
                <a:gd name="T98" fmla="*/ 0 w 201"/>
                <a:gd name="T99" fmla="*/ 0 h 202"/>
                <a:gd name="T100" fmla="*/ 0 w 201"/>
                <a:gd name="T101" fmla="*/ 0 h 202"/>
                <a:gd name="T102" fmla="*/ 0 w 201"/>
                <a:gd name="T103" fmla="*/ 0 h 202"/>
                <a:gd name="T104" fmla="*/ 0 w 201"/>
                <a:gd name="T105" fmla="*/ 0 h 202"/>
                <a:gd name="T106" fmla="*/ 0 w 201"/>
                <a:gd name="T107" fmla="*/ 0 h 202"/>
                <a:gd name="T108" fmla="*/ 0 w 201"/>
                <a:gd name="T109" fmla="*/ 0 h 202"/>
                <a:gd name="T110" fmla="*/ 0 w 201"/>
                <a:gd name="T111" fmla="*/ 0 h 202"/>
                <a:gd name="T112" fmla="*/ 0 w 201"/>
                <a:gd name="T113" fmla="*/ 0 h 202"/>
                <a:gd name="T114" fmla="*/ 0 w 201"/>
                <a:gd name="T115" fmla="*/ 0 h 202"/>
                <a:gd name="T116" fmla="*/ 0 w 201"/>
                <a:gd name="T117" fmla="*/ 0 h 202"/>
                <a:gd name="T118" fmla="*/ 0 w 201"/>
                <a:gd name="T119" fmla="*/ 0 h 202"/>
                <a:gd name="T120" fmla="*/ 0 w 201"/>
                <a:gd name="T121" fmla="*/ 0 h 202"/>
                <a:gd name="T122" fmla="*/ 0 w 201"/>
                <a:gd name="T123" fmla="*/ 0 h 202"/>
                <a:gd name="T124" fmla="*/ 0 w 201"/>
                <a:gd name="T125" fmla="*/ 0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87" name="Line 45">
              <a:extLst>
                <a:ext uri="{FF2B5EF4-FFF2-40B4-BE49-F238E27FC236}">
                  <a16:creationId xmlns:a16="http://schemas.microsoft.com/office/drawing/2014/main" id="{14E7425B-750B-46A4-9312-04B43B7D6EA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88" name="Freeform 46">
              <a:extLst>
                <a:ext uri="{FF2B5EF4-FFF2-40B4-BE49-F238E27FC236}">
                  <a16:creationId xmlns:a16="http://schemas.microsoft.com/office/drawing/2014/main" id="{AFFE7818-310E-4716-91DA-045E6A74FF31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0 w 208"/>
                <a:gd name="T1" fmla="*/ 0 h 177"/>
                <a:gd name="T2" fmla="*/ 0 w 208"/>
                <a:gd name="T3" fmla="*/ 0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15</xdr:col>
      <xdr:colOff>247650</xdr:colOff>
      <xdr:row>13</xdr:row>
      <xdr:rowOff>457200</xdr:rowOff>
    </xdr:from>
    <xdr:to>
      <xdr:col>17</xdr:col>
      <xdr:colOff>66675</xdr:colOff>
      <xdr:row>13</xdr:row>
      <xdr:rowOff>1095375</xdr:rowOff>
    </xdr:to>
    <xdr:grpSp>
      <xdr:nvGrpSpPr>
        <xdr:cNvPr id="4678" name="Group 47">
          <a:extLst>
            <a:ext uri="{FF2B5EF4-FFF2-40B4-BE49-F238E27FC236}">
              <a16:creationId xmlns:a16="http://schemas.microsoft.com/office/drawing/2014/main" id="{ECAB23C0-CF33-4D36-9413-2E73EBA7EF84}"/>
            </a:ext>
          </a:extLst>
        </xdr:cNvPr>
        <xdr:cNvGrpSpPr>
          <a:grpSpLocks/>
        </xdr:cNvGrpSpPr>
      </xdr:nvGrpSpPr>
      <xdr:grpSpPr bwMode="auto">
        <a:xfrm>
          <a:off x="4200525" y="5114925"/>
          <a:ext cx="371475" cy="638175"/>
          <a:chOff x="481" y="585"/>
          <a:chExt cx="47" cy="67"/>
        </a:xfrm>
      </xdr:grpSpPr>
      <xdr:grpSp>
        <xdr:nvGrpSpPr>
          <xdr:cNvPr id="4767" name="Group 48">
            <a:extLst>
              <a:ext uri="{FF2B5EF4-FFF2-40B4-BE49-F238E27FC236}">
                <a16:creationId xmlns:a16="http://schemas.microsoft.com/office/drawing/2014/main" id="{88BAA3B8-3A7B-4592-B0FE-994E73410F60}"/>
              </a:ext>
            </a:extLst>
          </xdr:cNvPr>
          <xdr:cNvGrpSpPr>
            <a:grpSpLocks/>
          </xdr:cNvGrpSpPr>
        </xdr:nvGrpSpPr>
        <xdr:grpSpPr bwMode="auto">
          <a:xfrm>
            <a:off x="511" y="585"/>
            <a:ext cx="17" cy="27"/>
            <a:chOff x="506" y="578"/>
            <a:chExt cx="17" cy="27"/>
          </a:xfrm>
        </xdr:grpSpPr>
        <xdr:sp macro="" textlink="">
          <xdr:nvSpPr>
            <xdr:cNvPr id="4773" name="Freeform 49">
              <a:extLst>
                <a:ext uri="{FF2B5EF4-FFF2-40B4-BE49-F238E27FC236}">
                  <a16:creationId xmlns:a16="http://schemas.microsoft.com/office/drawing/2014/main" id="{01335C2C-7208-4050-81E9-7812653C5A21}"/>
                </a:ext>
              </a:extLst>
            </xdr:cNvPr>
            <xdr:cNvSpPr>
              <a:spLocks/>
            </xdr:cNvSpPr>
          </xdr:nvSpPr>
          <xdr:spPr bwMode="auto">
            <a:xfrm rot="5374774">
              <a:off x="514" y="592"/>
              <a:ext cx="9" cy="9"/>
            </a:xfrm>
            <a:custGeom>
              <a:avLst/>
              <a:gdLst>
                <a:gd name="T0" fmla="*/ 0 w 193"/>
                <a:gd name="T1" fmla="*/ 0 h 199"/>
                <a:gd name="T2" fmla="*/ 0 w 193"/>
                <a:gd name="T3" fmla="*/ 0 h 199"/>
                <a:gd name="T4" fmla="*/ 0 w 193"/>
                <a:gd name="T5" fmla="*/ 0 h 199"/>
                <a:gd name="T6" fmla="*/ 0 w 193"/>
                <a:gd name="T7" fmla="*/ 0 h 199"/>
                <a:gd name="T8" fmla="*/ 0 w 193"/>
                <a:gd name="T9" fmla="*/ 0 h 199"/>
                <a:gd name="T10" fmla="*/ 0 w 193"/>
                <a:gd name="T11" fmla="*/ 0 h 199"/>
                <a:gd name="T12" fmla="*/ 0 w 193"/>
                <a:gd name="T13" fmla="*/ 0 h 199"/>
                <a:gd name="T14" fmla="*/ 0 w 193"/>
                <a:gd name="T15" fmla="*/ 0 h 199"/>
                <a:gd name="T16" fmla="*/ 0 w 193"/>
                <a:gd name="T17" fmla="*/ 0 h 199"/>
                <a:gd name="T18" fmla="*/ 0 w 193"/>
                <a:gd name="T19" fmla="*/ 0 h 199"/>
                <a:gd name="T20" fmla="*/ 0 w 193"/>
                <a:gd name="T21" fmla="*/ 0 h 199"/>
                <a:gd name="T22" fmla="*/ 0 w 193"/>
                <a:gd name="T23" fmla="*/ 0 h 199"/>
                <a:gd name="T24" fmla="*/ 0 w 193"/>
                <a:gd name="T25" fmla="*/ 0 h 199"/>
                <a:gd name="T26" fmla="*/ 0 w 193"/>
                <a:gd name="T27" fmla="*/ 0 h 199"/>
                <a:gd name="T28" fmla="*/ 0 w 193"/>
                <a:gd name="T29" fmla="*/ 0 h 199"/>
                <a:gd name="T30" fmla="*/ 0 w 193"/>
                <a:gd name="T31" fmla="*/ 0 h 199"/>
                <a:gd name="T32" fmla="*/ 0 w 193"/>
                <a:gd name="T33" fmla="*/ 0 h 199"/>
                <a:gd name="T34" fmla="*/ 0 w 193"/>
                <a:gd name="T35" fmla="*/ 0 h 199"/>
                <a:gd name="T36" fmla="*/ 0 w 193"/>
                <a:gd name="T37" fmla="*/ 0 h 199"/>
                <a:gd name="T38" fmla="*/ 0 w 193"/>
                <a:gd name="T39" fmla="*/ 0 h 199"/>
                <a:gd name="T40" fmla="*/ 0 w 193"/>
                <a:gd name="T41" fmla="*/ 0 h 199"/>
                <a:gd name="T42" fmla="*/ 0 w 193"/>
                <a:gd name="T43" fmla="*/ 0 h 199"/>
                <a:gd name="T44" fmla="*/ 0 w 193"/>
                <a:gd name="T45" fmla="*/ 0 h 199"/>
                <a:gd name="T46" fmla="*/ 0 w 193"/>
                <a:gd name="T47" fmla="*/ 0 h 199"/>
                <a:gd name="T48" fmla="*/ 0 w 193"/>
                <a:gd name="T49" fmla="*/ 0 h 199"/>
                <a:gd name="T50" fmla="*/ 0 w 193"/>
                <a:gd name="T51" fmla="*/ 0 h 199"/>
                <a:gd name="T52" fmla="*/ 0 w 193"/>
                <a:gd name="T53" fmla="*/ 0 h 199"/>
                <a:gd name="T54" fmla="*/ 0 w 193"/>
                <a:gd name="T55" fmla="*/ 0 h 199"/>
                <a:gd name="T56" fmla="*/ 0 w 193"/>
                <a:gd name="T57" fmla="*/ 0 h 199"/>
                <a:gd name="T58" fmla="*/ 0 w 193"/>
                <a:gd name="T59" fmla="*/ 0 h 199"/>
                <a:gd name="T60" fmla="*/ 0 w 193"/>
                <a:gd name="T61" fmla="*/ 0 h 199"/>
                <a:gd name="T62" fmla="*/ 0 w 193"/>
                <a:gd name="T63" fmla="*/ 0 h 199"/>
                <a:gd name="T64" fmla="*/ 0 w 193"/>
                <a:gd name="T65" fmla="*/ 0 h 199"/>
                <a:gd name="T66" fmla="*/ 0 w 193"/>
                <a:gd name="T67" fmla="*/ 0 h 199"/>
                <a:gd name="T68" fmla="*/ 0 w 193"/>
                <a:gd name="T69" fmla="*/ 0 h 199"/>
                <a:gd name="T70" fmla="*/ 0 w 193"/>
                <a:gd name="T71" fmla="*/ 0 h 199"/>
                <a:gd name="T72" fmla="*/ 0 w 193"/>
                <a:gd name="T73" fmla="*/ 0 h 199"/>
                <a:gd name="T74" fmla="*/ 0 w 193"/>
                <a:gd name="T75" fmla="*/ 0 h 199"/>
                <a:gd name="T76" fmla="*/ 0 w 193"/>
                <a:gd name="T77" fmla="*/ 0 h 199"/>
                <a:gd name="T78" fmla="*/ 0 w 193"/>
                <a:gd name="T79" fmla="*/ 0 h 199"/>
                <a:gd name="T80" fmla="*/ 0 w 193"/>
                <a:gd name="T81" fmla="*/ 0 h 199"/>
                <a:gd name="T82" fmla="*/ 0 w 193"/>
                <a:gd name="T83" fmla="*/ 0 h 199"/>
                <a:gd name="T84" fmla="*/ 0 w 193"/>
                <a:gd name="T85" fmla="*/ 0 h 199"/>
                <a:gd name="T86" fmla="*/ 0 w 193"/>
                <a:gd name="T87" fmla="*/ 0 h 199"/>
                <a:gd name="T88" fmla="*/ 0 w 193"/>
                <a:gd name="T89" fmla="*/ 0 h 199"/>
                <a:gd name="T90" fmla="*/ 0 w 193"/>
                <a:gd name="T91" fmla="*/ 0 h 199"/>
                <a:gd name="T92" fmla="*/ 0 w 193"/>
                <a:gd name="T93" fmla="*/ 0 h 199"/>
                <a:gd name="T94" fmla="*/ 0 w 193"/>
                <a:gd name="T95" fmla="*/ 0 h 199"/>
                <a:gd name="T96" fmla="*/ 0 w 193"/>
                <a:gd name="T97" fmla="*/ 0 h 199"/>
                <a:gd name="T98" fmla="*/ 0 w 193"/>
                <a:gd name="T99" fmla="*/ 0 h 199"/>
                <a:gd name="T100" fmla="*/ 0 w 193"/>
                <a:gd name="T101" fmla="*/ 0 h 199"/>
                <a:gd name="T102" fmla="*/ 0 w 193"/>
                <a:gd name="T103" fmla="*/ 0 h 199"/>
                <a:gd name="T104" fmla="*/ 0 w 193"/>
                <a:gd name="T105" fmla="*/ 0 h 199"/>
                <a:gd name="T106" fmla="*/ 0 w 193"/>
                <a:gd name="T107" fmla="*/ 0 h 199"/>
                <a:gd name="T108" fmla="*/ 0 w 193"/>
                <a:gd name="T109" fmla="*/ 0 h 199"/>
                <a:gd name="T110" fmla="*/ 0 w 193"/>
                <a:gd name="T111" fmla="*/ 0 h 199"/>
                <a:gd name="T112" fmla="*/ 0 w 193"/>
                <a:gd name="T113" fmla="*/ 0 h 199"/>
                <a:gd name="T114" fmla="*/ 0 w 193"/>
                <a:gd name="T115" fmla="*/ 0 h 199"/>
                <a:gd name="T116" fmla="*/ 0 w 193"/>
                <a:gd name="T117" fmla="*/ 0 h 199"/>
                <a:gd name="T118" fmla="*/ 0 w 193"/>
                <a:gd name="T119" fmla="*/ 0 h 199"/>
                <a:gd name="T120" fmla="*/ 0 w 193"/>
                <a:gd name="T121" fmla="*/ 0 h 199"/>
                <a:gd name="T122" fmla="*/ 0 w 19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74" name="Line 50">
              <a:extLst>
                <a:ext uri="{FF2B5EF4-FFF2-40B4-BE49-F238E27FC236}">
                  <a16:creationId xmlns:a16="http://schemas.microsoft.com/office/drawing/2014/main" id="{37AB8191-56F5-456A-864A-27E236D6BFC5}"/>
                </a:ext>
              </a:extLst>
            </xdr:cNvPr>
            <xdr:cNvSpPr>
              <a:spLocks noChangeShapeType="1"/>
            </xdr:cNvSpPr>
          </xdr:nvSpPr>
          <xdr:spPr bwMode="auto">
            <a:xfrm rot="5374774">
              <a:off x="511" y="597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75" name="Freeform 51">
              <a:extLst>
                <a:ext uri="{FF2B5EF4-FFF2-40B4-BE49-F238E27FC236}">
                  <a16:creationId xmlns:a16="http://schemas.microsoft.com/office/drawing/2014/main" id="{373444C7-B54D-4790-94B1-FB31E0C6AF22}"/>
                </a:ext>
              </a:extLst>
            </xdr:cNvPr>
            <xdr:cNvSpPr>
              <a:spLocks/>
            </xdr:cNvSpPr>
          </xdr:nvSpPr>
          <xdr:spPr bwMode="auto">
            <a:xfrm rot="5374774">
              <a:off x="505" y="598"/>
              <a:ext cx="8" cy="6"/>
            </a:xfrm>
            <a:custGeom>
              <a:avLst/>
              <a:gdLst>
                <a:gd name="T0" fmla="*/ 0 w 201"/>
                <a:gd name="T1" fmla="*/ 0 h 174"/>
                <a:gd name="T2" fmla="*/ 0 w 201"/>
                <a:gd name="T3" fmla="*/ 0 h 174"/>
                <a:gd name="T4" fmla="*/ 0 w 201"/>
                <a:gd name="T5" fmla="*/ 0 h 17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76" name="Line 52">
              <a:extLst>
                <a:ext uri="{FF2B5EF4-FFF2-40B4-BE49-F238E27FC236}">
                  <a16:creationId xmlns:a16="http://schemas.microsoft.com/office/drawing/2014/main" id="{96EB928C-6E18-4DBC-A83D-B6BC8F43F0F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23" y="578"/>
              <a:ext cx="0" cy="1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4768" name="Group 53">
            <a:extLst>
              <a:ext uri="{FF2B5EF4-FFF2-40B4-BE49-F238E27FC236}">
                <a16:creationId xmlns:a16="http://schemas.microsoft.com/office/drawing/2014/main" id="{40C770DE-39EF-4A46-A2DA-B0229EC9BBC8}"/>
              </a:ext>
            </a:extLst>
          </xdr:cNvPr>
          <xdr:cNvGrpSpPr>
            <a:grpSpLocks/>
          </xdr:cNvGrpSpPr>
        </xdr:nvGrpSpPr>
        <xdr:grpSpPr bwMode="auto">
          <a:xfrm>
            <a:off x="481" y="625"/>
            <a:ext cx="17" cy="27"/>
            <a:chOff x="471" y="616"/>
            <a:chExt cx="17" cy="27"/>
          </a:xfrm>
        </xdr:grpSpPr>
        <xdr:sp macro="" textlink="">
          <xdr:nvSpPr>
            <xdr:cNvPr id="4769" name="Freeform 54">
              <a:extLst>
                <a:ext uri="{FF2B5EF4-FFF2-40B4-BE49-F238E27FC236}">
                  <a16:creationId xmlns:a16="http://schemas.microsoft.com/office/drawing/2014/main" id="{8AF49C12-2EA2-4577-861A-E2422FFD7AFD}"/>
                </a:ext>
              </a:extLst>
            </xdr:cNvPr>
            <xdr:cNvSpPr>
              <a:spLocks/>
            </xdr:cNvSpPr>
          </xdr:nvSpPr>
          <xdr:spPr bwMode="auto">
            <a:xfrm rot="-5425225">
              <a:off x="471" y="620"/>
              <a:ext cx="8" cy="8"/>
            </a:xfrm>
            <a:custGeom>
              <a:avLst/>
              <a:gdLst>
                <a:gd name="T0" fmla="*/ 0 w 193"/>
                <a:gd name="T1" fmla="*/ 0 h 199"/>
                <a:gd name="T2" fmla="*/ 0 w 193"/>
                <a:gd name="T3" fmla="*/ 0 h 199"/>
                <a:gd name="T4" fmla="*/ 0 w 193"/>
                <a:gd name="T5" fmla="*/ 0 h 199"/>
                <a:gd name="T6" fmla="*/ 0 w 193"/>
                <a:gd name="T7" fmla="*/ 0 h 199"/>
                <a:gd name="T8" fmla="*/ 0 w 193"/>
                <a:gd name="T9" fmla="*/ 0 h 199"/>
                <a:gd name="T10" fmla="*/ 0 w 193"/>
                <a:gd name="T11" fmla="*/ 0 h 199"/>
                <a:gd name="T12" fmla="*/ 0 w 193"/>
                <a:gd name="T13" fmla="*/ 0 h 199"/>
                <a:gd name="T14" fmla="*/ 0 w 193"/>
                <a:gd name="T15" fmla="*/ 0 h 199"/>
                <a:gd name="T16" fmla="*/ 0 w 193"/>
                <a:gd name="T17" fmla="*/ 0 h 199"/>
                <a:gd name="T18" fmla="*/ 0 w 193"/>
                <a:gd name="T19" fmla="*/ 0 h 199"/>
                <a:gd name="T20" fmla="*/ 0 w 193"/>
                <a:gd name="T21" fmla="*/ 0 h 199"/>
                <a:gd name="T22" fmla="*/ 0 w 193"/>
                <a:gd name="T23" fmla="*/ 0 h 199"/>
                <a:gd name="T24" fmla="*/ 0 w 193"/>
                <a:gd name="T25" fmla="*/ 0 h 199"/>
                <a:gd name="T26" fmla="*/ 0 w 193"/>
                <a:gd name="T27" fmla="*/ 0 h 199"/>
                <a:gd name="T28" fmla="*/ 0 w 193"/>
                <a:gd name="T29" fmla="*/ 0 h 199"/>
                <a:gd name="T30" fmla="*/ 0 w 193"/>
                <a:gd name="T31" fmla="*/ 0 h 199"/>
                <a:gd name="T32" fmla="*/ 0 w 193"/>
                <a:gd name="T33" fmla="*/ 0 h 199"/>
                <a:gd name="T34" fmla="*/ 0 w 193"/>
                <a:gd name="T35" fmla="*/ 0 h 199"/>
                <a:gd name="T36" fmla="*/ 0 w 193"/>
                <a:gd name="T37" fmla="*/ 0 h 199"/>
                <a:gd name="T38" fmla="*/ 0 w 193"/>
                <a:gd name="T39" fmla="*/ 0 h 199"/>
                <a:gd name="T40" fmla="*/ 0 w 193"/>
                <a:gd name="T41" fmla="*/ 0 h 199"/>
                <a:gd name="T42" fmla="*/ 0 w 193"/>
                <a:gd name="T43" fmla="*/ 0 h 199"/>
                <a:gd name="T44" fmla="*/ 0 w 193"/>
                <a:gd name="T45" fmla="*/ 0 h 199"/>
                <a:gd name="T46" fmla="*/ 0 w 193"/>
                <a:gd name="T47" fmla="*/ 0 h 199"/>
                <a:gd name="T48" fmla="*/ 0 w 193"/>
                <a:gd name="T49" fmla="*/ 0 h 199"/>
                <a:gd name="T50" fmla="*/ 0 w 193"/>
                <a:gd name="T51" fmla="*/ 0 h 199"/>
                <a:gd name="T52" fmla="*/ 0 w 193"/>
                <a:gd name="T53" fmla="*/ 0 h 199"/>
                <a:gd name="T54" fmla="*/ 0 w 193"/>
                <a:gd name="T55" fmla="*/ 0 h 199"/>
                <a:gd name="T56" fmla="*/ 0 w 193"/>
                <a:gd name="T57" fmla="*/ 0 h 199"/>
                <a:gd name="T58" fmla="*/ 0 w 193"/>
                <a:gd name="T59" fmla="*/ 0 h 199"/>
                <a:gd name="T60" fmla="*/ 0 w 193"/>
                <a:gd name="T61" fmla="*/ 0 h 199"/>
                <a:gd name="T62" fmla="*/ 0 w 193"/>
                <a:gd name="T63" fmla="*/ 0 h 199"/>
                <a:gd name="T64" fmla="*/ 0 w 193"/>
                <a:gd name="T65" fmla="*/ 0 h 199"/>
                <a:gd name="T66" fmla="*/ 0 w 193"/>
                <a:gd name="T67" fmla="*/ 0 h 199"/>
                <a:gd name="T68" fmla="*/ 0 w 193"/>
                <a:gd name="T69" fmla="*/ 0 h 199"/>
                <a:gd name="T70" fmla="*/ 0 w 193"/>
                <a:gd name="T71" fmla="*/ 0 h 199"/>
                <a:gd name="T72" fmla="*/ 0 w 193"/>
                <a:gd name="T73" fmla="*/ 0 h 199"/>
                <a:gd name="T74" fmla="*/ 0 w 193"/>
                <a:gd name="T75" fmla="*/ 0 h 199"/>
                <a:gd name="T76" fmla="*/ 0 w 193"/>
                <a:gd name="T77" fmla="*/ 0 h 199"/>
                <a:gd name="T78" fmla="*/ 0 w 193"/>
                <a:gd name="T79" fmla="*/ 0 h 199"/>
                <a:gd name="T80" fmla="*/ 0 w 193"/>
                <a:gd name="T81" fmla="*/ 0 h 199"/>
                <a:gd name="T82" fmla="*/ 0 w 193"/>
                <a:gd name="T83" fmla="*/ 0 h 199"/>
                <a:gd name="T84" fmla="*/ 0 w 193"/>
                <a:gd name="T85" fmla="*/ 0 h 199"/>
                <a:gd name="T86" fmla="*/ 0 w 193"/>
                <a:gd name="T87" fmla="*/ 0 h 199"/>
                <a:gd name="T88" fmla="*/ 0 w 193"/>
                <a:gd name="T89" fmla="*/ 0 h 199"/>
                <a:gd name="T90" fmla="*/ 0 w 193"/>
                <a:gd name="T91" fmla="*/ 0 h 199"/>
                <a:gd name="T92" fmla="*/ 0 w 193"/>
                <a:gd name="T93" fmla="*/ 0 h 199"/>
                <a:gd name="T94" fmla="*/ 0 w 193"/>
                <a:gd name="T95" fmla="*/ 0 h 199"/>
                <a:gd name="T96" fmla="*/ 0 w 193"/>
                <a:gd name="T97" fmla="*/ 0 h 199"/>
                <a:gd name="T98" fmla="*/ 0 w 193"/>
                <a:gd name="T99" fmla="*/ 0 h 199"/>
                <a:gd name="T100" fmla="*/ 0 w 193"/>
                <a:gd name="T101" fmla="*/ 0 h 199"/>
                <a:gd name="T102" fmla="*/ 0 w 193"/>
                <a:gd name="T103" fmla="*/ 0 h 199"/>
                <a:gd name="T104" fmla="*/ 0 w 193"/>
                <a:gd name="T105" fmla="*/ 0 h 199"/>
                <a:gd name="T106" fmla="*/ 0 w 193"/>
                <a:gd name="T107" fmla="*/ 0 h 199"/>
                <a:gd name="T108" fmla="*/ 0 w 193"/>
                <a:gd name="T109" fmla="*/ 0 h 199"/>
                <a:gd name="T110" fmla="*/ 0 w 193"/>
                <a:gd name="T111" fmla="*/ 0 h 199"/>
                <a:gd name="T112" fmla="*/ 0 w 193"/>
                <a:gd name="T113" fmla="*/ 0 h 199"/>
                <a:gd name="T114" fmla="*/ 0 w 193"/>
                <a:gd name="T115" fmla="*/ 0 h 199"/>
                <a:gd name="T116" fmla="*/ 0 w 193"/>
                <a:gd name="T117" fmla="*/ 0 h 199"/>
                <a:gd name="T118" fmla="*/ 0 w 193"/>
                <a:gd name="T119" fmla="*/ 0 h 199"/>
                <a:gd name="T120" fmla="*/ 0 w 193"/>
                <a:gd name="T121" fmla="*/ 0 h 199"/>
                <a:gd name="T122" fmla="*/ 0 w 19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70" name="Line 55">
              <a:extLst>
                <a:ext uri="{FF2B5EF4-FFF2-40B4-BE49-F238E27FC236}">
                  <a16:creationId xmlns:a16="http://schemas.microsoft.com/office/drawing/2014/main" id="{E4D5CA16-1331-4461-9D04-279642AA228E}"/>
                </a:ext>
              </a:extLst>
            </xdr:cNvPr>
            <xdr:cNvSpPr>
              <a:spLocks noChangeShapeType="1"/>
            </xdr:cNvSpPr>
          </xdr:nvSpPr>
          <xdr:spPr bwMode="auto">
            <a:xfrm rot="16174775" flipV="1">
              <a:off x="483" y="616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71" name="Freeform 56">
              <a:extLst>
                <a:ext uri="{FF2B5EF4-FFF2-40B4-BE49-F238E27FC236}">
                  <a16:creationId xmlns:a16="http://schemas.microsoft.com/office/drawing/2014/main" id="{F4F50631-E322-423F-804F-1549E757C2C7}"/>
                </a:ext>
              </a:extLst>
            </xdr:cNvPr>
            <xdr:cNvSpPr>
              <a:spLocks/>
            </xdr:cNvSpPr>
          </xdr:nvSpPr>
          <xdr:spPr bwMode="auto">
            <a:xfrm rot="-5425225">
              <a:off x="481" y="617"/>
              <a:ext cx="8" cy="6"/>
            </a:xfrm>
            <a:custGeom>
              <a:avLst/>
              <a:gdLst>
                <a:gd name="T0" fmla="*/ 0 w 201"/>
                <a:gd name="T1" fmla="*/ 0 h 174"/>
                <a:gd name="T2" fmla="*/ 0 w 201"/>
                <a:gd name="T3" fmla="*/ 0 h 174"/>
                <a:gd name="T4" fmla="*/ 0 w 201"/>
                <a:gd name="T5" fmla="*/ 0 h 17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72" name="Line 57">
              <a:extLst>
                <a:ext uri="{FF2B5EF4-FFF2-40B4-BE49-F238E27FC236}">
                  <a16:creationId xmlns:a16="http://schemas.microsoft.com/office/drawing/2014/main" id="{6D9EBE55-7F4B-47CA-95B9-18A221C72C10}"/>
                </a:ext>
              </a:extLst>
            </xdr:cNvPr>
            <xdr:cNvSpPr>
              <a:spLocks noChangeShapeType="1"/>
            </xdr:cNvSpPr>
          </xdr:nvSpPr>
          <xdr:spPr bwMode="auto">
            <a:xfrm rot="10800000">
              <a:off x="471" y="628"/>
              <a:ext cx="0" cy="1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14</xdr:col>
      <xdr:colOff>9525</xdr:colOff>
      <xdr:row>18</xdr:row>
      <xdr:rowOff>47625</xdr:rowOff>
    </xdr:from>
    <xdr:to>
      <xdr:col>14</xdr:col>
      <xdr:colOff>276225</xdr:colOff>
      <xdr:row>18</xdr:row>
      <xdr:rowOff>190500</xdr:rowOff>
    </xdr:to>
    <xdr:sp macro="" textlink="">
      <xdr:nvSpPr>
        <xdr:cNvPr id="4679" name="Freeform 58">
          <a:extLst>
            <a:ext uri="{FF2B5EF4-FFF2-40B4-BE49-F238E27FC236}">
              <a16:creationId xmlns:a16="http://schemas.microsoft.com/office/drawing/2014/main" id="{26BB1E10-F894-4C74-B274-78F888587AFD}"/>
            </a:ext>
          </a:extLst>
        </xdr:cNvPr>
        <xdr:cNvSpPr>
          <a:spLocks/>
        </xdr:cNvSpPr>
      </xdr:nvSpPr>
      <xdr:spPr bwMode="auto">
        <a:xfrm>
          <a:off x="3686175" y="7200900"/>
          <a:ext cx="266700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47625</xdr:colOff>
      <xdr:row>17</xdr:row>
      <xdr:rowOff>38100</xdr:rowOff>
    </xdr:from>
    <xdr:to>
      <xdr:col>12</xdr:col>
      <xdr:colOff>266700</xdr:colOff>
      <xdr:row>17</xdr:row>
      <xdr:rowOff>190500</xdr:rowOff>
    </xdr:to>
    <xdr:grpSp>
      <xdr:nvGrpSpPr>
        <xdr:cNvPr id="4680" name="Group 59">
          <a:extLst>
            <a:ext uri="{FF2B5EF4-FFF2-40B4-BE49-F238E27FC236}">
              <a16:creationId xmlns:a16="http://schemas.microsoft.com/office/drawing/2014/main" id="{042AD05D-B243-4019-A449-13754B2E659E}"/>
            </a:ext>
          </a:extLst>
        </xdr:cNvPr>
        <xdr:cNvGrpSpPr>
          <a:grpSpLocks/>
        </xdr:cNvGrpSpPr>
      </xdr:nvGrpSpPr>
      <xdr:grpSpPr bwMode="auto">
        <a:xfrm>
          <a:off x="3171825" y="6962775"/>
          <a:ext cx="219075" cy="152400"/>
          <a:chOff x="132" y="708"/>
          <a:chExt cx="20" cy="14"/>
        </a:xfrm>
      </xdr:grpSpPr>
      <xdr:sp macro="" textlink="">
        <xdr:nvSpPr>
          <xdr:cNvPr id="4763" name="Line 60">
            <a:extLst>
              <a:ext uri="{FF2B5EF4-FFF2-40B4-BE49-F238E27FC236}">
                <a16:creationId xmlns:a16="http://schemas.microsoft.com/office/drawing/2014/main" id="{EBF9E06C-5A97-4DD9-8A4A-018471E8F4FF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64" name="Line 61">
            <a:extLst>
              <a:ext uri="{FF2B5EF4-FFF2-40B4-BE49-F238E27FC236}">
                <a16:creationId xmlns:a16="http://schemas.microsoft.com/office/drawing/2014/main" id="{D3274F8D-1E25-401B-B80D-D08E26DCB50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65" name="Line 62">
            <a:extLst>
              <a:ext uri="{FF2B5EF4-FFF2-40B4-BE49-F238E27FC236}">
                <a16:creationId xmlns:a16="http://schemas.microsoft.com/office/drawing/2014/main" id="{C7FCC77A-1A06-4BC5-930E-94616FB8B39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66" name="Line 63">
            <a:extLst>
              <a:ext uri="{FF2B5EF4-FFF2-40B4-BE49-F238E27FC236}">
                <a16:creationId xmlns:a16="http://schemas.microsoft.com/office/drawing/2014/main" id="{EBC54AB1-9995-4302-BB0E-E7C40CFBB80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17</xdr:row>
      <xdr:rowOff>95250</xdr:rowOff>
    </xdr:from>
    <xdr:to>
      <xdr:col>18</xdr:col>
      <xdr:colOff>0</xdr:colOff>
      <xdr:row>17</xdr:row>
      <xdr:rowOff>142875</xdr:rowOff>
    </xdr:to>
    <xdr:grpSp>
      <xdr:nvGrpSpPr>
        <xdr:cNvPr id="4681" name="Group 64">
          <a:extLst>
            <a:ext uri="{FF2B5EF4-FFF2-40B4-BE49-F238E27FC236}">
              <a16:creationId xmlns:a16="http://schemas.microsoft.com/office/drawing/2014/main" id="{21C2089A-AD6E-44D3-BD0F-B254FEFBD164}"/>
            </a:ext>
          </a:extLst>
        </xdr:cNvPr>
        <xdr:cNvGrpSpPr>
          <a:grpSpLocks/>
        </xdr:cNvGrpSpPr>
      </xdr:nvGrpSpPr>
      <xdr:grpSpPr bwMode="auto">
        <a:xfrm>
          <a:off x="3400425" y="7019925"/>
          <a:ext cx="1381125" cy="47625"/>
          <a:chOff x="158" y="715"/>
          <a:chExt cx="33" cy="5"/>
        </a:xfrm>
      </xdr:grpSpPr>
      <xdr:sp macro="" textlink="">
        <xdr:nvSpPr>
          <xdr:cNvPr id="4761" name="Line 65">
            <a:extLst>
              <a:ext uri="{FF2B5EF4-FFF2-40B4-BE49-F238E27FC236}">
                <a16:creationId xmlns:a16="http://schemas.microsoft.com/office/drawing/2014/main" id="{A865A75B-A0D2-458F-81D5-EE7FC505FDB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62" name="Line 66">
            <a:extLst>
              <a:ext uri="{FF2B5EF4-FFF2-40B4-BE49-F238E27FC236}">
                <a16:creationId xmlns:a16="http://schemas.microsoft.com/office/drawing/2014/main" id="{67A65E32-5D38-4D38-93D5-CBB0049915D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18</xdr:row>
      <xdr:rowOff>104775</xdr:rowOff>
    </xdr:from>
    <xdr:to>
      <xdr:col>18</xdr:col>
      <xdr:colOff>0</xdr:colOff>
      <xdr:row>18</xdr:row>
      <xdr:rowOff>152400</xdr:rowOff>
    </xdr:to>
    <xdr:grpSp>
      <xdr:nvGrpSpPr>
        <xdr:cNvPr id="4682" name="Group 67">
          <a:extLst>
            <a:ext uri="{FF2B5EF4-FFF2-40B4-BE49-F238E27FC236}">
              <a16:creationId xmlns:a16="http://schemas.microsoft.com/office/drawing/2014/main" id="{04B789A6-C6A2-47D5-8992-F4DD52872B5E}"/>
            </a:ext>
          </a:extLst>
        </xdr:cNvPr>
        <xdr:cNvGrpSpPr>
          <a:grpSpLocks/>
        </xdr:cNvGrpSpPr>
      </xdr:nvGrpSpPr>
      <xdr:grpSpPr bwMode="auto">
        <a:xfrm>
          <a:off x="4505325" y="7258050"/>
          <a:ext cx="276225" cy="47625"/>
          <a:chOff x="158" y="715"/>
          <a:chExt cx="33" cy="5"/>
        </a:xfrm>
      </xdr:grpSpPr>
      <xdr:sp macro="" textlink="">
        <xdr:nvSpPr>
          <xdr:cNvPr id="4759" name="Line 68">
            <a:extLst>
              <a:ext uri="{FF2B5EF4-FFF2-40B4-BE49-F238E27FC236}">
                <a16:creationId xmlns:a16="http://schemas.microsoft.com/office/drawing/2014/main" id="{86D7DE62-EB6F-4AB1-A111-EF86352C9FC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60" name="Line 69">
            <a:extLst>
              <a:ext uri="{FF2B5EF4-FFF2-40B4-BE49-F238E27FC236}">
                <a16:creationId xmlns:a16="http://schemas.microsoft.com/office/drawing/2014/main" id="{A4120319-B993-4C25-9E2C-ECC4D277F11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9525</xdr:colOff>
      <xdr:row>18</xdr:row>
      <xdr:rowOff>47625</xdr:rowOff>
    </xdr:from>
    <xdr:to>
      <xdr:col>17</xdr:col>
      <xdr:colOff>0</xdr:colOff>
      <xdr:row>18</xdr:row>
      <xdr:rowOff>190500</xdr:rowOff>
    </xdr:to>
    <xdr:sp macro="" textlink="">
      <xdr:nvSpPr>
        <xdr:cNvPr id="4683" name="Freeform 70">
          <a:extLst>
            <a:ext uri="{FF2B5EF4-FFF2-40B4-BE49-F238E27FC236}">
              <a16:creationId xmlns:a16="http://schemas.microsoft.com/office/drawing/2014/main" id="{45D8A82C-438B-4A06-A823-E445CCB98561}"/>
            </a:ext>
          </a:extLst>
        </xdr:cNvPr>
        <xdr:cNvSpPr>
          <a:spLocks/>
        </xdr:cNvSpPr>
      </xdr:nvSpPr>
      <xdr:spPr bwMode="auto">
        <a:xfrm>
          <a:off x="4238625" y="7200900"/>
          <a:ext cx="266700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18</xdr:row>
      <xdr:rowOff>104775</xdr:rowOff>
    </xdr:from>
    <xdr:to>
      <xdr:col>16</xdr:col>
      <xdr:colOff>0</xdr:colOff>
      <xdr:row>18</xdr:row>
      <xdr:rowOff>152400</xdr:rowOff>
    </xdr:to>
    <xdr:grpSp>
      <xdr:nvGrpSpPr>
        <xdr:cNvPr id="4684" name="Group 71">
          <a:extLst>
            <a:ext uri="{FF2B5EF4-FFF2-40B4-BE49-F238E27FC236}">
              <a16:creationId xmlns:a16="http://schemas.microsoft.com/office/drawing/2014/main" id="{B14844BD-A747-46B5-8E81-48A110785B47}"/>
            </a:ext>
          </a:extLst>
        </xdr:cNvPr>
        <xdr:cNvGrpSpPr>
          <a:grpSpLocks/>
        </xdr:cNvGrpSpPr>
      </xdr:nvGrpSpPr>
      <xdr:grpSpPr bwMode="auto">
        <a:xfrm>
          <a:off x="3952875" y="7258050"/>
          <a:ext cx="276225" cy="47625"/>
          <a:chOff x="158" y="715"/>
          <a:chExt cx="33" cy="5"/>
        </a:xfrm>
      </xdr:grpSpPr>
      <xdr:sp macro="" textlink="">
        <xdr:nvSpPr>
          <xdr:cNvPr id="4757" name="Line 72">
            <a:extLst>
              <a:ext uri="{FF2B5EF4-FFF2-40B4-BE49-F238E27FC236}">
                <a16:creationId xmlns:a16="http://schemas.microsoft.com/office/drawing/2014/main" id="{AE2AE2C7-B337-41CE-AB8B-19407196607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58" name="Line 73">
            <a:extLst>
              <a:ext uri="{FF2B5EF4-FFF2-40B4-BE49-F238E27FC236}">
                <a16:creationId xmlns:a16="http://schemas.microsoft.com/office/drawing/2014/main" id="{3BED9F46-C76F-43A9-B043-22591EC3BE5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95250</xdr:rowOff>
    </xdr:from>
    <xdr:to>
      <xdr:col>11</xdr:col>
      <xdr:colOff>0</xdr:colOff>
      <xdr:row>17</xdr:row>
      <xdr:rowOff>142875</xdr:rowOff>
    </xdr:to>
    <xdr:grpSp>
      <xdr:nvGrpSpPr>
        <xdr:cNvPr id="4685" name="Group 74">
          <a:extLst>
            <a:ext uri="{FF2B5EF4-FFF2-40B4-BE49-F238E27FC236}">
              <a16:creationId xmlns:a16="http://schemas.microsoft.com/office/drawing/2014/main" id="{2ADCC9ED-58C2-44A4-B940-44C4B69A3937}"/>
            </a:ext>
          </a:extLst>
        </xdr:cNvPr>
        <xdr:cNvGrpSpPr>
          <a:grpSpLocks/>
        </xdr:cNvGrpSpPr>
      </xdr:nvGrpSpPr>
      <xdr:grpSpPr bwMode="auto">
        <a:xfrm>
          <a:off x="876300" y="7019925"/>
          <a:ext cx="1971675" cy="47625"/>
          <a:chOff x="158" y="715"/>
          <a:chExt cx="33" cy="5"/>
        </a:xfrm>
      </xdr:grpSpPr>
      <xdr:sp macro="" textlink="">
        <xdr:nvSpPr>
          <xdr:cNvPr id="4755" name="Line 75">
            <a:extLst>
              <a:ext uri="{FF2B5EF4-FFF2-40B4-BE49-F238E27FC236}">
                <a16:creationId xmlns:a16="http://schemas.microsoft.com/office/drawing/2014/main" id="{2039328F-BED0-4E2C-88C4-AD2AEC514D8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56" name="Line 76">
            <a:extLst>
              <a:ext uri="{FF2B5EF4-FFF2-40B4-BE49-F238E27FC236}">
                <a16:creationId xmlns:a16="http://schemas.microsoft.com/office/drawing/2014/main" id="{94125CBF-5AB3-4F78-8094-852F3A50DED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17</xdr:row>
      <xdr:rowOff>114300</xdr:rowOff>
    </xdr:from>
    <xdr:to>
      <xdr:col>12</xdr:col>
      <xdr:colOff>0</xdr:colOff>
      <xdr:row>17</xdr:row>
      <xdr:rowOff>114300</xdr:rowOff>
    </xdr:to>
    <xdr:sp macro="" textlink="">
      <xdr:nvSpPr>
        <xdr:cNvPr id="4686" name="Line 77">
          <a:extLst>
            <a:ext uri="{FF2B5EF4-FFF2-40B4-BE49-F238E27FC236}">
              <a16:creationId xmlns:a16="http://schemas.microsoft.com/office/drawing/2014/main" id="{00188D72-4141-481E-8997-087A658E1F2B}"/>
            </a:ext>
          </a:extLst>
        </xdr:cNvPr>
        <xdr:cNvSpPr>
          <a:spLocks noChangeShapeType="1"/>
        </xdr:cNvSpPr>
      </xdr:nvSpPr>
      <xdr:spPr bwMode="auto">
        <a:xfrm>
          <a:off x="2847975" y="7038975"/>
          <a:ext cx="2762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18</xdr:row>
      <xdr:rowOff>114300</xdr:rowOff>
    </xdr:from>
    <xdr:to>
      <xdr:col>14</xdr:col>
      <xdr:colOff>0</xdr:colOff>
      <xdr:row>18</xdr:row>
      <xdr:rowOff>114300</xdr:rowOff>
    </xdr:to>
    <xdr:sp macro="" textlink="">
      <xdr:nvSpPr>
        <xdr:cNvPr id="4687" name="Line 78">
          <a:extLst>
            <a:ext uri="{FF2B5EF4-FFF2-40B4-BE49-F238E27FC236}">
              <a16:creationId xmlns:a16="http://schemas.microsoft.com/office/drawing/2014/main" id="{9757280E-E0C8-41C2-B61B-D932A9B72AA3}"/>
            </a:ext>
          </a:extLst>
        </xdr:cNvPr>
        <xdr:cNvSpPr>
          <a:spLocks noChangeShapeType="1"/>
        </xdr:cNvSpPr>
      </xdr:nvSpPr>
      <xdr:spPr bwMode="auto">
        <a:xfrm>
          <a:off x="2847975" y="7267575"/>
          <a:ext cx="8286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18</xdr:row>
      <xdr:rowOff>95250</xdr:rowOff>
    </xdr:from>
    <xdr:to>
      <xdr:col>11</xdr:col>
      <xdr:colOff>0</xdr:colOff>
      <xdr:row>18</xdr:row>
      <xdr:rowOff>142875</xdr:rowOff>
    </xdr:to>
    <xdr:grpSp>
      <xdr:nvGrpSpPr>
        <xdr:cNvPr id="4688" name="Group 79">
          <a:extLst>
            <a:ext uri="{FF2B5EF4-FFF2-40B4-BE49-F238E27FC236}">
              <a16:creationId xmlns:a16="http://schemas.microsoft.com/office/drawing/2014/main" id="{26F53937-8CA6-412B-91FE-2173D4F4169D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1971675" cy="47625"/>
          <a:chOff x="158" y="715"/>
          <a:chExt cx="33" cy="5"/>
        </a:xfrm>
      </xdr:grpSpPr>
      <xdr:sp macro="" textlink="">
        <xdr:nvSpPr>
          <xdr:cNvPr id="4753" name="Line 80">
            <a:extLst>
              <a:ext uri="{FF2B5EF4-FFF2-40B4-BE49-F238E27FC236}">
                <a16:creationId xmlns:a16="http://schemas.microsoft.com/office/drawing/2014/main" id="{0C1FC642-6CB8-4583-965E-B8EA5B50332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54" name="Line 81">
            <a:extLst>
              <a:ext uri="{FF2B5EF4-FFF2-40B4-BE49-F238E27FC236}">
                <a16:creationId xmlns:a16="http://schemas.microsoft.com/office/drawing/2014/main" id="{35A0274A-71DB-4340-B049-E70701E924E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133350</xdr:colOff>
      <xdr:row>5</xdr:row>
      <xdr:rowOff>209550</xdr:rowOff>
    </xdr:from>
    <xdr:to>
      <xdr:col>6</xdr:col>
      <xdr:colOff>95250</xdr:colOff>
      <xdr:row>6</xdr:row>
      <xdr:rowOff>1143000</xdr:rowOff>
    </xdr:to>
    <xdr:sp macro="" textlink="">
      <xdr:nvSpPr>
        <xdr:cNvPr id="2130" name="Text Box 82">
          <a:extLst>
            <a:ext uri="{FF2B5EF4-FFF2-40B4-BE49-F238E27FC236}">
              <a16:creationId xmlns:a16="http://schemas.microsoft.com/office/drawing/2014/main" id="{70B46CC8-A03F-49F3-8B22-2CCAFCD1A123}"/>
            </a:ext>
          </a:extLst>
        </xdr:cNvPr>
        <xdr:cNvSpPr txBox="1">
          <a:spLocks noChangeArrowheads="1"/>
        </xdr:cNvSpPr>
      </xdr:nvSpPr>
      <xdr:spPr bwMode="auto">
        <a:xfrm>
          <a:off x="1323975" y="1390650"/>
          <a:ext cx="238125" cy="1162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府中分れ</a:t>
          </a:r>
        </a:p>
      </xdr:txBody>
    </xdr:sp>
    <xdr:clientData/>
  </xdr:twoCellAnchor>
  <xdr:twoCellAnchor>
    <xdr:from>
      <xdr:col>20</xdr:col>
      <xdr:colOff>85725</xdr:colOff>
      <xdr:row>6</xdr:row>
      <xdr:rowOff>95250</xdr:rowOff>
    </xdr:from>
    <xdr:to>
      <xdr:col>21</xdr:col>
      <xdr:colOff>85725</xdr:colOff>
      <xdr:row>6</xdr:row>
      <xdr:rowOff>1162050</xdr:rowOff>
    </xdr:to>
    <xdr:sp macro="" textlink="">
      <xdr:nvSpPr>
        <xdr:cNvPr id="2131" name="Text Box 83">
          <a:extLst>
            <a:ext uri="{FF2B5EF4-FFF2-40B4-BE49-F238E27FC236}">
              <a16:creationId xmlns:a16="http://schemas.microsoft.com/office/drawing/2014/main" id="{9276E07D-0BB6-446F-9311-52A1D8E80506}"/>
            </a:ext>
          </a:extLst>
        </xdr:cNvPr>
        <xdr:cNvSpPr txBox="1">
          <a:spLocks noChangeArrowheads="1"/>
        </xdr:cNvSpPr>
      </xdr:nvSpPr>
      <xdr:spPr bwMode="auto">
        <a:xfrm>
          <a:off x="5419725" y="1504950"/>
          <a:ext cx="276225" cy="1066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岡山</a:t>
          </a:r>
        </a:p>
      </xdr:txBody>
    </xdr:sp>
    <xdr:clientData/>
  </xdr:twoCellAnchor>
  <xdr:twoCellAnchor>
    <xdr:from>
      <xdr:col>8</xdr:col>
      <xdr:colOff>209550</xdr:colOff>
      <xdr:row>13</xdr:row>
      <xdr:rowOff>609600</xdr:rowOff>
    </xdr:from>
    <xdr:to>
      <xdr:col>9</xdr:col>
      <xdr:colOff>161925</xdr:colOff>
      <xdr:row>13</xdr:row>
      <xdr:rowOff>762000</xdr:rowOff>
    </xdr:to>
    <xdr:grpSp>
      <xdr:nvGrpSpPr>
        <xdr:cNvPr id="4691" name="Group 84">
          <a:extLst>
            <a:ext uri="{FF2B5EF4-FFF2-40B4-BE49-F238E27FC236}">
              <a16:creationId xmlns:a16="http://schemas.microsoft.com/office/drawing/2014/main" id="{D64EFDAD-086A-4547-85A5-6D5E2183AD25}"/>
            </a:ext>
          </a:extLst>
        </xdr:cNvPr>
        <xdr:cNvGrpSpPr>
          <a:grpSpLocks/>
        </xdr:cNvGrpSpPr>
      </xdr:nvGrpSpPr>
      <xdr:grpSpPr bwMode="auto">
        <a:xfrm>
          <a:off x="2228850" y="5267325"/>
          <a:ext cx="228600" cy="152400"/>
          <a:chOff x="248" y="601"/>
          <a:chExt cx="28" cy="16"/>
        </a:xfrm>
      </xdr:grpSpPr>
      <xdr:sp macro="" textlink="">
        <xdr:nvSpPr>
          <xdr:cNvPr id="4749" name="Line 85">
            <a:extLst>
              <a:ext uri="{FF2B5EF4-FFF2-40B4-BE49-F238E27FC236}">
                <a16:creationId xmlns:a16="http://schemas.microsoft.com/office/drawing/2014/main" id="{88A15B94-3588-4243-9020-092931BC1A56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50" name="Freeform 86">
            <a:extLst>
              <a:ext uri="{FF2B5EF4-FFF2-40B4-BE49-F238E27FC236}">
                <a16:creationId xmlns:a16="http://schemas.microsoft.com/office/drawing/2014/main" id="{1CD704B7-4ED5-4D35-8532-78DD2521B6E8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0 w 193"/>
              <a:gd name="T7" fmla="*/ 0 h 199"/>
              <a:gd name="T8" fmla="*/ 0 w 193"/>
              <a:gd name="T9" fmla="*/ 0 h 199"/>
              <a:gd name="T10" fmla="*/ 0 w 193"/>
              <a:gd name="T11" fmla="*/ 0 h 199"/>
              <a:gd name="T12" fmla="*/ 0 w 193"/>
              <a:gd name="T13" fmla="*/ 0 h 199"/>
              <a:gd name="T14" fmla="*/ 0 w 193"/>
              <a:gd name="T15" fmla="*/ 0 h 199"/>
              <a:gd name="T16" fmla="*/ 0 w 193"/>
              <a:gd name="T17" fmla="*/ 0 h 199"/>
              <a:gd name="T18" fmla="*/ 0 w 193"/>
              <a:gd name="T19" fmla="*/ 0 h 199"/>
              <a:gd name="T20" fmla="*/ 0 w 193"/>
              <a:gd name="T21" fmla="*/ 0 h 199"/>
              <a:gd name="T22" fmla="*/ 0 w 193"/>
              <a:gd name="T23" fmla="*/ 0 h 199"/>
              <a:gd name="T24" fmla="*/ 0 w 193"/>
              <a:gd name="T25" fmla="*/ 0 h 199"/>
              <a:gd name="T26" fmla="*/ 0 w 193"/>
              <a:gd name="T27" fmla="*/ 0 h 199"/>
              <a:gd name="T28" fmla="*/ 0 w 193"/>
              <a:gd name="T29" fmla="*/ 0 h 199"/>
              <a:gd name="T30" fmla="*/ 0 w 193"/>
              <a:gd name="T31" fmla="*/ 0 h 199"/>
              <a:gd name="T32" fmla="*/ 0 w 193"/>
              <a:gd name="T33" fmla="*/ 0 h 199"/>
              <a:gd name="T34" fmla="*/ 0 w 193"/>
              <a:gd name="T35" fmla="*/ 0 h 199"/>
              <a:gd name="T36" fmla="*/ 0 w 193"/>
              <a:gd name="T37" fmla="*/ 0 h 199"/>
              <a:gd name="T38" fmla="*/ 0 w 193"/>
              <a:gd name="T39" fmla="*/ 0 h 199"/>
              <a:gd name="T40" fmla="*/ 0 w 193"/>
              <a:gd name="T41" fmla="*/ 0 h 199"/>
              <a:gd name="T42" fmla="*/ 0 w 193"/>
              <a:gd name="T43" fmla="*/ 0 h 199"/>
              <a:gd name="T44" fmla="*/ 0 w 193"/>
              <a:gd name="T45" fmla="*/ 0 h 199"/>
              <a:gd name="T46" fmla="*/ 0 w 193"/>
              <a:gd name="T47" fmla="*/ 0 h 199"/>
              <a:gd name="T48" fmla="*/ 0 w 193"/>
              <a:gd name="T49" fmla="*/ 0 h 199"/>
              <a:gd name="T50" fmla="*/ 0 w 193"/>
              <a:gd name="T51" fmla="*/ 0 h 199"/>
              <a:gd name="T52" fmla="*/ 0 w 193"/>
              <a:gd name="T53" fmla="*/ 0 h 199"/>
              <a:gd name="T54" fmla="*/ 0 w 193"/>
              <a:gd name="T55" fmla="*/ 0 h 199"/>
              <a:gd name="T56" fmla="*/ 0 w 193"/>
              <a:gd name="T57" fmla="*/ 0 h 199"/>
              <a:gd name="T58" fmla="*/ 0 w 193"/>
              <a:gd name="T59" fmla="*/ 0 h 199"/>
              <a:gd name="T60" fmla="*/ 0 w 193"/>
              <a:gd name="T61" fmla="*/ 0 h 199"/>
              <a:gd name="T62" fmla="*/ 0 w 193"/>
              <a:gd name="T63" fmla="*/ 0 h 199"/>
              <a:gd name="T64" fmla="*/ 0 w 193"/>
              <a:gd name="T65" fmla="*/ 0 h 199"/>
              <a:gd name="T66" fmla="*/ 0 w 193"/>
              <a:gd name="T67" fmla="*/ 0 h 199"/>
              <a:gd name="T68" fmla="*/ 0 w 193"/>
              <a:gd name="T69" fmla="*/ 0 h 199"/>
              <a:gd name="T70" fmla="*/ 0 w 193"/>
              <a:gd name="T71" fmla="*/ 0 h 199"/>
              <a:gd name="T72" fmla="*/ 0 w 193"/>
              <a:gd name="T73" fmla="*/ 0 h 199"/>
              <a:gd name="T74" fmla="*/ 0 w 193"/>
              <a:gd name="T75" fmla="*/ 0 h 199"/>
              <a:gd name="T76" fmla="*/ 0 w 193"/>
              <a:gd name="T77" fmla="*/ 0 h 199"/>
              <a:gd name="T78" fmla="*/ 0 w 193"/>
              <a:gd name="T79" fmla="*/ 0 h 199"/>
              <a:gd name="T80" fmla="*/ 0 w 193"/>
              <a:gd name="T81" fmla="*/ 0 h 199"/>
              <a:gd name="T82" fmla="*/ 0 w 193"/>
              <a:gd name="T83" fmla="*/ 0 h 199"/>
              <a:gd name="T84" fmla="*/ 0 w 193"/>
              <a:gd name="T85" fmla="*/ 0 h 199"/>
              <a:gd name="T86" fmla="*/ 0 w 193"/>
              <a:gd name="T87" fmla="*/ 0 h 199"/>
              <a:gd name="T88" fmla="*/ 0 w 193"/>
              <a:gd name="T89" fmla="*/ 0 h 199"/>
              <a:gd name="T90" fmla="*/ 0 w 193"/>
              <a:gd name="T91" fmla="*/ 0 h 199"/>
              <a:gd name="T92" fmla="*/ 0 w 193"/>
              <a:gd name="T93" fmla="*/ 0 h 199"/>
              <a:gd name="T94" fmla="*/ 0 w 193"/>
              <a:gd name="T95" fmla="*/ 0 h 199"/>
              <a:gd name="T96" fmla="*/ 0 w 193"/>
              <a:gd name="T97" fmla="*/ 0 h 199"/>
              <a:gd name="T98" fmla="*/ 0 w 193"/>
              <a:gd name="T99" fmla="*/ 0 h 199"/>
              <a:gd name="T100" fmla="*/ 0 w 193"/>
              <a:gd name="T101" fmla="*/ 0 h 199"/>
              <a:gd name="T102" fmla="*/ 0 w 193"/>
              <a:gd name="T103" fmla="*/ 0 h 199"/>
              <a:gd name="T104" fmla="*/ 0 w 193"/>
              <a:gd name="T105" fmla="*/ 0 h 199"/>
              <a:gd name="T106" fmla="*/ 0 w 193"/>
              <a:gd name="T107" fmla="*/ 0 h 199"/>
              <a:gd name="T108" fmla="*/ 0 w 193"/>
              <a:gd name="T109" fmla="*/ 0 h 199"/>
              <a:gd name="T110" fmla="*/ 0 w 193"/>
              <a:gd name="T111" fmla="*/ 0 h 199"/>
              <a:gd name="T112" fmla="*/ 0 w 193"/>
              <a:gd name="T113" fmla="*/ 0 h 199"/>
              <a:gd name="T114" fmla="*/ 0 w 193"/>
              <a:gd name="T115" fmla="*/ 0 h 199"/>
              <a:gd name="T116" fmla="*/ 0 w 193"/>
              <a:gd name="T117" fmla="*/ 0 h 199"/>
              <a:gd name="T118" fmla="*/ 0 w 193"/>
              <a:gd name="T119" fmla="*/ 0 h 199"/>
              <a:gd name="T120" fmla="*/ 0 w 193"/>
              <a:gd name="T121" fmla="*/ 0 h 199"/>
              <a:gd name="T122" fmla="*/ 0 w 19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751" name="Line 87">
            <a:extLst>
              <a:ext uri="{FF2B5EF4-FFF2-40B4-BE49-F238E27FC236}">
                <a16:creationId xmlns:a16="http://schemas.microsoft.com/office/drawing/2014/main" id="{A9AB22E6-1C5E-494C-9C60-E1842C26F720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52" name="Freeform 88">
            <a:extLst>
              <a:ext uri="{FF2B5EF4-FFF2-40B4-BE49-F238E27FC236}">
                <a16:creationId xmlns:a16="http://schemas.microsoft.com/office/drawing/2014/main" id="{DDDAD7B1-5EA9-4167-85E5-20C74BCDBE47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0 w 201"/>
              <a:gd name="T1" fmla="*/ 0 h 174"/>
              <a:gd name="T2" fmla="*/ 0 w 201"/>
              <a:gd name="T3" fmla="*/ 0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228600</xdr:colOff>
      <xdr:row>13</xdr:row>
      <xdr:rowOff>885825</xdr:rowOff>
    </xdr:from>
    <xdr:to>
      <xdr:col>10</xdr:col>
      <xdr:colOff>180975</xdr:colOff>
      <xdr:row>13</xdr:row>
      <xdr:rowOff>1038225</xdr:rowOff>
    </xdr:to>
    <xdr:grpSp>
      <xdr:nvGrpSpPr>
        <xdr:cNvPr id="4692" name="Group 89">
          <a:extLst>
            <a:ext uri="{FF2B5EF4-FFF2-40B4-BE49-F238E27FC236}">
              <a16:creationId xmlns:a16="http://schemas.microsoft.com/office/drawing/2014/main" id="{8641859E-47DF-43F7-BCCC-9BF03BBA3CD8}"/>
            </a:ext>
          </a:extLst>
        </xdr:cNvPr>
        <xdr:cNvGrpSpPr>
          <a:grpSpLocks/>
        </xdr:cNvGrpSpPr>
      </xdr:nvGrpSpPr>
      <xdr:grpSpPr bwMode="auto">
        <a:xfrm rot="10800000">
          <a:off x="2524125" y="5543550"/>
          <a:ext cx="228600" cy="152400"/>
          <a:chOff x="248" y="601"/>
          <a:chExt cx="28" cy="16"/>
        </a:xfrm>
      </xdr:grpSpPr>
      <xdr:sp macro="" textlink="">
        <xdr:nvSpPr>
          <xdr:cNvPr id="4745" name="Line 90">
            <a:extLst>
              <a:ext uri="{FF2B5EF4-FFF2-40B4-BE49-F238E27FC236}">
                <a16:creationId xmlns:a16="http://schemas.microsoft.com/office/drawing/2014/main" id="{693E0176-39FB-441F-95D2-FF7D803757E5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46" name="Freeform 91">
            <a:extLst>
              <a:ext uri="{FF2B5EF4-FFF2-40B4-BE49-F238E27FC236}">
                <a16:creationId xmlns:a16="http://schemas.microsoft.com/office/drawing/2014/main" id="{7118F973-4C20-4053-AE16-9C9BF7E905E0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0 w 193"/>
              <a:gd name="T7" fmla="*/ 0 h 199"/>
              <a:gd name="T8" fmla="*/ 0 w 193"/>
              <a:gd name="T9" fmla="*/ 0 h 199"/>
              <a:gd name="T10" fmla="*/ 0 w 193"/>
              <a:gd name="T11" fmla="*/ 0 h 199"/>
              <a:gd name="T12" fmla="*/ 0 w 193"/>
              <a:gd name="T13" fmla="*/ 0 h 199"/>
              <a:gd name="T14" fmla="*/ 0 w 193"/>
              <a:gd name="T15" fmla="*/ 0 h 199"/>
              <a:gd name="T16" fmla="*/ 0 w 193"/>
              <a:gd name="T17" fmla="*/ 0 h 199"/>
              <a:gd name="T18" fmla="*/ 0 w 193"/>
              <a:gd name="T19" fmla="*/ 0 h 199"/>
              <a:gd name="T20" fmla="*/ 0 w 193"/>
              <a:gd name="T21" fmla="*/ 0 h 199"/>
              <a:gd name="T22" fmla="*/ 0 w 193"/>
              <a:gd name="T23" fmla="*/ 0 h 199"/>
              <a:gd name="T24" fmla="*/ 0 w 193"/>
              <a:gd name="T25" fmla="*/ 0 h 199"/>
              <a:gd name="T26" fmla="*/ 0 w 193"/>
              <a:gd name="T27" fmla="*/ 0 h 199"/>
              <a:gd name="T28" fmla="*/ 0 w 193"/>
              <a:gd name="T29" fmla="*/ 0 h 199"/>
              <a:gd name="T30" fmla="*/ 0 w 193"/>
              <a:gd name="T31" fmla="*/ 0 h 199"/>
              <a:gd name="T32" fmla="*/ 0 w 193"/>
              <a:gd name="T33" fmla="*/ 0 h 199"/>
              <a:gd name="T34" fmla="*/ 0 w 193"/>
              <a:gd name="T35" fmla="*/ 0 h 199"/>
              <a:gd name="T36" fmla="*/ 0 w 193"/>
              <a:gd name="T37" fmla="*/ 0 h 199"/>
              <a:gd name="T38" fmla="*/ 0 w 193"/>
              <a:gd name="T39" fmla="*/ 0 h 199"/>
              <a:gd name="T40" fmla="*/ 0 w 193"/>
              <a:gd name="T41" fmla="*/ 0 h 199"/>
              <a:gd name="T42" fmla="*/ 0 w 193"/>
              <a:gd name="T43" fmla="*/ 0 h 199"/>
              <a:gd name="T44" fmla="*/ 0 w 193"/>
              <a:gd name="T45" fmla="*/ 0 h 199"/>
              <a:gd name="T46" fmla="*/ 0 w 193"/>
              <a:gd name="T47" fmla="*/ 0 h 199"/>
              <a:gd name="T48" fmla="*/ 0 w 193"/>
              <a:gd name="T49" fmla="*/ 0 h 199"/>
              <a:gd name="T50" fmla="*/ 0 w 193"/>
              <a:gd name="T51" fmla="*/ 0 h 199"/>
              <a:gd name="T52" fmla="*/ 0 w 193"/>
              <a:gd name="T53" fmla="*/ 0 h 199"/>
              <a:gd name="T54" fmla="*/ 0 w 193"/>
              <a:gd name="T55" fmla="*/ 0 h 199"/>
              <a:gd name="T56" fmla="*/ 0 w 193"/>
              <a:gd name="T57" fmla="*/ 0 h 199"/>
              <a:gd name="T58" fmla="*/ 0 w 193"/>
              <a:gd name="T59" fmla="*/ 0 h 199"/>
              <a:gd name="T60" fmla="*/ 0 w 193"/>
              <a:gd name="T61" fmla="*/ 0 h 199"/>
              <a:gd name="T62" fmla="*/ 0 w 193"/>
              <a:gd name="T63" fmla="*/ 0 h 199"/>
              <a:gd name="T64" fmla="*/ 0 w 193"/>
              <a:gd name="T65" fmla="*/ 0 h 199"/>
              <a:gd name="T66" fmla="*/ 0 w 193"/>
              <a:gd name="T67" fmla="*/ 0 h 199"/>
              <a:gd name="T68" fmla="*/ 0 w 193"/>
              <a:gd name="T69" fmla="*/ 0 h 199"/>
              <a:gd name="T70" fmla="*/ 0 w 193"/>
              <a:gd name="T71" fmla="*/ 0 h 199"/>
              <a:gd name="T72" fmla="*/ 0 w 193"/>
              <a:gd name="T73" fmla="*/ 0 h 199"/>
              <a:gd name="T74" fmla="*/ 0 w 193"/>
              <a:gd name="T75" fmla="*/ 0 h 199"/>
              <a:gd name="T76" fmla="*/ 0 w 193"/>
              <a:gd name="T77" fmla="*/ 0 h 199"/>
              <a:gd name="T78" fmla="*/ 0 w 193"/>
              <a:gd name="T79" fmla="*/ 0 h 199"/>
              <a:gd name="T80" fmla="*/ 0 w 193"/>
              <a:gd name="T81" fmla="*/ 0 h 199"/>
              <a:gd name="T82" fmla="*/ 0 w 193"/>
              <a:gd name="T83" fmla="*/ 0 h 199"/>
              <a:gd name="T84" fmla="*/ 0 w 193"/>
              <a:gd name="T85" fmla="*/ 0 h 199"/>
              <a:gd name="T86" fmla="*/ 0 w 193"/>
              <a:gd name="T87" fmla="*/ 0 h 199"/>
              <a:gd name="T88" fmla="*/ 0 w 193"/>
              <a:gd name="T89" fmla="*/ 0 h 199"/>
              <a:gd name="T90" fmla="*/ 0 w 193"/>
              <a:gd name="T91" fmla="*/ 0 h 199"/>
              <a:gd name="T92" fmla="*/ 0 w 193"/>
              <a:gd name="T93" fmla="*/ 0 h 199"/>
              <a:gd name="T94" fmla="*/ 0 w 193"/>
              <a:gd name="T95" fmla="*/ 0 h 199"/>
              <a:gd name="T96" fmla="*/ 0 w 193"/>
              <a:gd name="T97" fmla="*/ 0 h 199"/>
              <a:gd name="T98" fmla="*/ 0 w 193"/>
              <a:gd name="T99" fmla="*/ 0 h 199"/>
              <a:gd name="T100" fmla="*/ 0 w 193"/>
              <a:gd name="T101" fmla="*/ 0 h 199"/>
              <a:gd name="T102" fmla="*/ 0 w 193"/>
              <a:gd name="T103" fmla="*/ 0 h 199"/>
              <a:gd name="T104" fmla="*/ 0 w 193"/>
              <a:gd name="T105" fmla="*/ 0 h 199"/>
              <a:gd name="T106" fmla="*/ 0 w 193"/>
              <a:gd name="T107" fmla="*/ 0 h 199"/>
              <a:gd name="T108" fmla="*/ 0 w 193"/>
              <a:gd name="T109" fmla="*/ 0 h 199"/>
              <a:gd name="T110" fmla="*/ 0 w 193"/>
              <a:gd name="T111" fmla="*/ 0 h 199"/>
              <a:gd name="T112" fmla="*/ 0 w 193"/>
              <a:gd name="T113" fmla="*/ 0 h 199"/>
              <a:gd name="T114" fmla="*/ 0 w 193"/>
              <a:gd name="T115" fmla="*/ 0 h 199"/>
              <a:gd name="T116" fmla="*/ 0 w 193"/>
              <a:gd name="T117" fmla="*/ 0 h 199"/>
              <a:gd name="T118" fmla="*/ 0 w 193"/>
              <a:gd name="T119" fmla="*/ 0 h 199"/>
              <a:gd name="T120" fmla="*/ 0 w 193"/>
              <a:gd name="T121" fmla="*/ 0 h 199"/>
              <a:gd name="T122" fmla="*/ 0 w 19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747" name="Line 92">
            <a:extLst>
              <a:ext uri="{FF2B5EF4-FFF2-40B4-BE49-F238E27FC236}">
                <a16:creationId xmlns:a16="http://schemas.microsoft.com/office/drawing/2014/main" id="{2ADE3389-25F9-480C-B0F2-5EDAACF473E2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48" name="Freeform 93">
            <a:extLst>
              <a:ext uri="{FF2B5EF4-FFF2-40B4-BE49-F238E27FC236}">
                <a16:creationId xmlns:a16="http://schemas.microsoft.com/office/drawing/2014/main" id="{040BCA63-F2D7-4D78-A93A-E5E737ECE9AD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0 w 201"/>
              <a:gd name="T1" fmla="*/ 0 h 174"/>
              <a:gd name="T2" fmla="*/ 0 w 201"/>
              <a:gd name="T3" fmla="*/ 0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19050</xdr:colOff>
      <xdr:row>16</xdr:row>
      <xdr:rowOff>38100</xdr:rowOff>
    </xdr:from>
    <xdr:to>
      <xdr:col>8</xdr:col>
      <xdr:colOff>276225</xdr:colOff>
      <xdr:row>16</xdr:row>
      <xdr:rowOff>209550</xdr:rowOff>
    </xdr:to>
    <xdr:grpSp>
      <xdr:nvGrpSpPr>
        <xdr:cNvPr id="4693" name="Group 94">
          <a:extLst>
            <a:ext uri="{FF2B5EF4-FFF2-40B4-BE49-F238E27FC236}">
              <a16:creationId xmlns:a16="http://schemas.microsoft.com/office/drawing/2014/main" id="{288F5061-3996-4F09-9225-257ADC705BB9}"/>
            </a:ext>
          </a:extLst>
        </xdr:cNvPr>
        <xdr:cNvGrpSpPr>
          <a:grpSpLocks/>
        </xdr:cNvGrpSpPr>
      </xdr:nvGrpSpPr>
      <xdr:grpSpPr bwMode="auto">
        <a:xfrm>
          <a:off x="2038350" y="6734175"/>
          <a:ext cx="257175" cy="171450"/>
          <a:chOff x="226" y="755"/>
          <a:chExt cx="29" cy="18"/>
        </a:xfrm>
      </xdr:grpSpPr>
      <xdr:sp macro="" textlink="">
        <xdr:nvSpPr>
          <xdr:cNvPr id="4742" name="Oval 95">
            <a:extLst>
              <a:ext uri="{FF2B5EF4-FFF2-40B4-BE49-F238E27FC236}">
                <a16:creationId xmlns:a16="http://schemas.microsoft.com/office/drawing/2014/main" id="{59356494-E1E8-46D7-AED3-C2275AFA2283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743" name="Line 96">
            <a:extLst>
              <a:ext uri="{FF2B5EF4-FFF2-40B4-BE49-F238E27FC236}">
                <a16:creationId xmlns:a16="http://schemas.microsoft.com/office/drawing/2014/main" id="{CD10D87D-0117-4D48-8CF1-9408E2EBC35F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44" name="Freeform 97">
            <a:extLst>
              <a:ext uri="{FF2B5EF4-FFF2-40B4-BE49-F238E27FC236}">
                <a16:creationId xmlns:a16="http://schemas.microsoft.com/office/drawing/2014/main" id="{AAD2ABDE-627B-4B07-B84C-6181ACFD35EF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0 h 208"/>
              <a:gd name="T2" fmla="*/ 0 w 268"/>
              <a:gd name="T3" fmla="*/ 0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19050</xdr:colOff>
      <xdr:row>19</xdr:row>
      <xdr:rowOff>38100</xdr:rowOff>
    </xdr:from>
    <xdr:to>
      <xdr:col>15</xdr:col>
      <xdr:colOff>276225</xdr:colOff>
      <xdr:row>19</xdr:row>
      <xdr:rowOff>209550</xdr:rowOff>
    </xdr:to>
    <xdr:grpSp>
      <xdr:nvGrpSpPr>
        <xdr:cNvPr id="4694" name="Group 98">
          <a:extLst>
            <a:ext uri="{FF2B5EF4-FFF2-40B4-BE49-F238E27FC236}">
              <a16:creationId xmlns:a16="http://schemas.microsoft.com/office/drawing/2014/main" id="{DECB01D3-B700-4750-9BE3-4E11557AF4A3}"/>
            </a:ext>
          </a:extLst>
        </xdr:cNvPr>
        <xdr:cNvGrpSpPr>
          <a:grpSpLocks/>
        </xdr:cNvGrpSpPr>
      </xdr:nvGrpSpPr>
      <xdr:grpSpPr bwMode="auto">
        <a:xfrm>
          <a:off x="3971925" y="7419975"/>
          <a:ext cx="257175" cy="171450"/>
          <a:chOff x="226" y="755"/>
          <a:chExt cx="29" cy="18"/>
        </a:xfrm>
      </xdr:grpSpPr>
      <xdr:sp macro="" textlink="">
        <xdr:nvSpPr>
          <xdr:cNvPr id="4739" name="Oval 99">
            <a:extLst>
              <a:ext uri="{FF2B5EF4-FFF2-40B4-BE49-F238E27FC236}">
                <a16:creationId xmlns:a16="http://schemas.microsoft.com/office/drawing/2014/main" id="{B6C99AC8-7B8C-40FB-ADD2-2D349B310373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740" name="Line 100">
            <a:extLst>
              <a:ext uri="{FF2B5EF4-FFF2-40B4-BE49-F238E27FC236}">
                <a16:creationId xmlns:a16="http://schemas.microsoft.com/office/drawing/2014/main" id="{0CB2E424-9117-4346-BFA2-6C63A204AB88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41" name="Freeform 101">
            <a:extLst>
              <a:ext uri="{FF2B5EF4-FFF2-40B4-BE49-F238E27FC236}">
                <a16:creationId xmlns:a16="http://schemas.microsoft.com/office/drawing/2014/main" id="{32D15500-51AB-4E5A-8F6D-3508924E7214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0 h 208"/>
              <a:gd name="T2" fmla="*/ 0 w 268"/>
              <a:gd name="T3" fmla="*/ 0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6</xdr:col>
      <xdr:colOff>219075</xdr:colOff>
      <xdr:row>2</xdr:row>
      <xdr:rowOff>66675</xdr:rowOff>
    </xdr:from>
    <xdr:to>
      <xdr:col>20</xdr:col>
      <xdr:colOff>38100</xdr:colOff>
      <xdr:row>8</xdr:row>
      <xdr:rowOff>47625</xdr:rowOff>
    </xdr:to>
    <xdr:pic>
      <xdr:nvPicPr>
        <xdr:cNvPr id="4695" name="Picture 102">
          <a:extLst>
            <a:ext uri="{FF2B5EF4-FFF2-40B4-BE49-F238E27FC236}">
              <a16:creationId xmlns:a16="http://schemas.microsoft.com/office/drawing/2014/main" id="{DE28A053-A2B1-4B88-99FB-AF5A541DE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561975"/>
          <a:ext cx="3686175" cy="3000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85725</xdr:colOff>
      <xdr:row>6</xdr:row>
      <xdr:rowOff>1114425</xdr:rowOff>
    </xdr:from>
    <xdr:to>
      <xdr:col>6</xdr:col>
      <xdr:colOff>142875</xdr:colOff>
      <xdr:row>10</xdr:row>
      <xdr:rowOff>200025</xdr:rowOff>
    </xdr:to>
    <xdr:sp macro="" textlink="">
      <xdr:nvSpPr>
        <xdr:cNvPr id="2151" name="Text Box 103">
          <a:extLst>
            <a:ext uri="{FF2B5EF4-FFF2-40B4-BE49-F238E27FC236}">
              <a16:creationId xmlns:a16="http://schemas.microsoft.com/office/drawing/2014/main" id="{52BF38AA-E940-4469-B19F-515427071F30}"/>
            </a:ext>
          </a:extLst>
        </xdr:cNvPr>
        <xdr:cNvSpPr txBox="1">
          <a:spLocks noChangeArrowheads="1"/>
        </xdr:cNvSpPr>
      </xdr:nvSpPr>
      <xdr:spPr bwMode="auto">
        <a:xfrm>
          <a:off x="85725" y="2524125"/>
          <a:ext cx="1524000" cy="1647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</xdr:col>
      <xdr:colOff>0</xdr:colOff>
      <xdr:row>13</xdr:row>
      <xdr:rowOff>1171575</xdr:rowOff>
    </xdr:from>
    <xdr:to>
      <xdr:col>12</xdr:col>
      <xdr:colOff>180975</xdr:colOff>
      <xdr:row>13</xdr:row>
      <xdr:rowOff>1362075</xdr:rowOff>
    </xdr:to>
    <xdr:sp macro="" textlink="">
      <xdr:nvSpPr>
        <xdr:cNvPr id="2152" name="Text Box 104">
          <a:extLst>
            <a:ext uri="{FF2B5EF4-FFF2-40B4-BE49-F238E27FC236}">
              <a16:creationId xmlns:a16="http://schemas.microsoft.com/office/drawing/2014/main" id="{D1A11DF5-F2CC-4418-9572-07430722D5BD}"/>
            </a:ext>
          </a:extLst>
        </xdr:cNvPr>
        <xdr:cNvSpPr txBox="1">
          <a:spLocks noChangeArrowheads="1"/>
        </xdr:cNvSpPr>
      </xdr:nvSpPr>
      <xdr:spPr bwMode="auto">
        <a:xfrm>
          <a:off x="2847975" y="5829300"/>
          <a:ext cx="4572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23.0m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 editAs="oneCell">
    <xdr:from>
      <xdr:col>21</xdr:col>
      <xdr:colOff>123825</xdr:colOff>
      <xdr:row>6</xdr:row>
      <xdr:rowOff>190500</xdr:rowOff>
    </xdr:from>
    <xdr:to>
      <xdr:col>23</xdr:col>
      <xdr:colOff>47625</xdr:colOff>
      <xdr:row>6</xdr:row>
      <xdr:rowOff>885825</xdr:rowOff>
    </xdr:to>
    <xdr:pic>
      <xdr:nvPicPr>
        <xdr:cNvPr id="4698" name="Picture 105" descr="北マーク（北）">
          <a:extLst>
            <a:ext uri="{FF2B5EF4-FFF2-40B4-BE49-F238E27FC236}">
              <a16:creationId xmlns:a16="http://schemas.microsoft.com/office/drawing/2014/main" id="{882A2838-8F17-4E29-AE17-83126EA39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1600200"/>
          <a:ext cx="476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238125</xdr:colOff>
      <xdr:row>13</xdr:row>
      <xdr:rowOff>400050</xdr:rowOff>
    </xdr:from>
    <xdr:to>
      <xdr:col>23</xdr:col>
      <xdr:colOff>161925</xdr:colOff>
      <xdr:row>13</xdr:row>
      <xdr:rowOff>1095375</xdr:rowOff>
    </xdr:to>
    <xdr:pic>
      <xdr:nvPicPr>
        <xdr:cNvPr id="4699" name="Picture 106" descr="北マーク（北）">
          <a:extLst>
            <a:ext uri="{FF2B5EF4-FFF2-40B4-BE49-F238E27FC236}">
              <a16:creationId xmlns:a16="http://schemas.microsoft.com/office/drawing/2014/main" id="{21977972-9FC7-4C17-84AF-3D8857763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8350" y="5057775"/>
          <a:ext cx="476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257175</xdr:colOff>
      <xdr:row>13</xdr:row>
      <xdr:rowOff>238125</xdr:rowOff>
    </xdr:from>
    <xdr:to>
      <xdr:col>15</xdr:col>
      <xdr:colOff>19050</xdr:colOff>
      <xdr:row>13</xdr:row>
      <xdr:rowOff>400050</xdr:rowOff>
    </xdr:to>
    <xdr:sp macro="" textlink="">
      <xdr:nvSpPr>
        <xdr:cNvPr id="2155" name="Text Box 107">
          <a:extLst>
            <a:ext uri="{FF2B5EF4-FFF2-40B4-BE49-F238E27FC236}">
              <a16:creationId xmlns:a16="http://schemas.microsoft.com/office/drawing/2014/main" id="{893DBD00-6F60-4E30-BBA9-8270655C4739}"/>
            </a:ext>
          </a:extLst>
        </xdr:cNvPr>
        <xdr:cNvSpPr txBox="1">
          <a:spLocks noChangeArrowheads="1"/>
        </xdr:cNvSpPr>
      </xdr:nvSpPr>
      <xdr:spPr bwMode="auto">
        <a:xfrm>
          <a:off x="3657600" y="4895850"/>
          <a:ext cx="3143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歩灯2</a:t>
          </a:r>
        </a:p>
      </xdr:txBody>
    </xdr:sp>
    <xdr:clientData/>
  </xdr:twoCellAnchor>
  <xdr:twoCellAnchor>
    <xdr:from>
      <xdr:col>11</xdr:col>
      <xdr:colOff>28575</xdr:colOff>
      <xdr:row>13</xdr:row>
      <xdr:rowOff>228600</xdr:rowOff>
    </xdr:from>
    <xdr:to>
      <xdr:col>12</xdr:col>
      <xdr:colOff>66675</xdr:colOff>
      <xdr:row>13</xdr:row>
      <xdr:rowOff>390525</xdr:rowOff>
    </xdr:to>
    <xdr:sp macro="" textlink="">
      <xdr:nvSpPr>
        <xdr:cNvPr id="2156" name="Text Box 108">
          <a:extLst>
            <a:ext uri="{FF2B5EF4-FFF2-40B4-BE49-F238E27FC236}">
              <a16:creationId xmlns:a16="http://schemas.microsoft.com/office/drawing/2014/main" id="{EE0CD7B0-3C6C-493C-AD61-1B6E55AF306F}"/>
            </a:ext>
          </a:extLst>
        </xdr:cNvPr>
        <xdr:cNvSpPr txBox="1">
          <a:spLocks noChangeArrowheads="1"/>
        </xdr:cNvSpPr>
      </xdr:nvSpPr>
      <xdr:spPr bwMode="auto">
        <a:xfrm>
          <a:off x="2876550" y="4886325"/>
          <a:ext cx="3143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歩灯2</a:t>
          </a:r>
        </a:p>
      </xdr:txBody>
    </xdr:sp>
    <xdr:clientData/>
  </xdr:twoCellAnchor>
  <xdr:twoCellAnchor>
    <xdr:from>
      <xdr:col>16</xdr:col>
      <xdr:colOff>76200</xdr:colOff>
      <xdr:row>13</xdr:row>
      <xdr:rowOff>295275</xdr:rowOff>
    </xdr:from>
    <xdr:to>
      <xdr:col>18</xdr:col>
      <xdr:colOff>238125</xdr:colOff>
      <xdr:row>13</xdr:row>
      <xdr:rowOff>495300</xdr:rowOff>
    </xdr:to>
    <xdr:sp macro="" textlink="">
      <xdr:nvSpPr>
        <xdr:cNvPr id="2157" name="Text Box 109">
          <a:extLst>
            <a:ext uri="{FF2B5EF4-FFF2-40B4-BE49-F238E27FC236}">
              <a16:creationId xmlns:a16="http://schemas.microsoft.com/office/drawing/2014/main" id="{15B52B57-65A3-4139-836B-B7E50EC9BB73}"/>
            </a:ext>
          </a:extLst>
        </xdr:cNvPr>
        <xdr:cNvSpPr txBox="1">
          <a:spLocks noChangeArrowheads="1"/>
        </xdr:cNvSpPr>
      </xdr:nvSpPr>
      <xdr:spPr bwMode="auto">
        <a:xfrm>
          <a:off x="4305300" y="4953000"/>
          <a:ext cx="714375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ギャップ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38100</xdr:colOff>
      <xdr:row>13</xdr:row>
      <xdr:rowOff>504825</xdr:rowOff>
    </xdr:from>
    <xdr:to>
      <xdr:col>7</xdr:col>
      <xdr:colOff>85725</xdr:colOff>
      <xdr:row>13</xdr:row>
      <xdr:rowOff>809625</xdr:rowOff>
    </xdr:to>
    <xdr:grpSp>
      <xdr:nvGrpSpPr>
        <xdr:cNvPr id="4703" name="Group 110">
          <a:extLst>
            <a:ext uri="{FF2B5EF4-FFF2-40B4-BE49-F238E27FC236}">
              <a16:creationId xmlns:a16="http://schemas.microsoft.com/office/drawing/2014/main" id="{5C9D32D8-6763-4A56-AAA7-4E3D56FBA377}"/>
            </a:ext>
          </a:extLst>
        </xdr:cNvPr>
        <xdr:cNvGrpSpPr>
          <a:grpSpLocks/>
        </xdr:cNvGrpSpPr>
      </xdr:nvGrpSpPr>
      <xdr:grpSpPr bwMode="auto">
        <a:xfrm>
          <a:off x="914400" y="5162550"/>
          <a:ext cx="914400" cy="304800"/>
          <a:chOff x="123" y="585"/>
          <a:chExt cx="105" cy="32"/>
        </a:xfrm>
      </xdr:grpSpPr>
      <xdr:sp macro="" textlink="">
        <xdr:nvSpPr>
          <xdr:cNvPr id="4729" name="Line 111">
            <a:extLst>
              <a:ext uri="{FF2B5EF4-FFF2-40B4-BE49-F238E27FC236}">
                <a16:creationId xmlns:a16="http://schemas.microsoft.com/office/drawing/2014/main" id="{03474F83-5A03-4318-878D-3FD558B01615}"/>
              </a:ext>
            </a:extLst>
          </xdr:cNvPr>
          <xdr:cNvSpPr>
            <a:spLocks noChangeShapeType="1"/>
          </xdr:cNvSpPr>
        </xdr:nvSpPr>
        <xdr:spPr bwMode="auto">
          <a:xfrm>
            <a:off x="123" y="60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30" name="Freeform 112">
            <a:extLst>
              <a:ext uri="{FF2B5EF4-FFF2-40B4-BE49-F238E27FC236}">
                <a16:creationId xmlns:a16="http://schemas.microsoft.com/office/drawing/2014/main" id="{9064AA08-55D0-4BA7-865B-736EFBD8CF43}"/>
              </a:ext>
            </a:extLst>
          </xdr:cNvPr>
          <xdr:cNvSpPr>
            <a:spLocks/>
          </xdr:cNvSpPr>
        </xdr:nvSpPr>
        <xdr:spPr bwMode="auto">
          <a:xfrm>
            <a:off x="221" y="598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grpSp>
        <xdr:nvGrpSpPr>
          <xdr:cNvPr id="4731" name="Group 113">
            <a:extLst>
              <a:ext uri="{FF2B5EF4-FFF2-40B4-BE49-F238E27FC236}">
                <a16:creationId xmlns:a16="http://schemas.microsoft.com/office/drawing/2014/main" id="{2175DFBC-93D8-4702-8615-8AABA7C1ECCE}"/>
              </a:ext>
            </a:extLst>
          </xdr:cNvPr>
          <xdr:cNvGrpSpPr>
            <a:grpSpLocks/>
          </xdr:cNvGrpSpPr>
        </xdr:nvGrpSpPr>
        <xdr:grpSpPr bwMode="auto">
          <a:xfrm>
            <a:off x="143" y="585"/>
            <a:ext cx="11" cy="16"/>
            <a:chOff x="130" y="585"/>
            <a:chExt cx="11" cy="16"/>
          </a:xfrm>
        </xdr:grpSpPr>
        <xdr:sp macro="" textlink="">
          <xdr:nvSpPr>
            <xdr:cNvPr id="4736" name="Freeform 114">
              <a:extLst>
                <a:ext uri="{FF2B5EF4-FFF2-40B4-BE49-F238E27FC236}">
                  <a16:creationId xmlns:a16="http://schemas.microsoft.com/office/drawing/2014/main" id="{285CE8FC-C45E-453B-86CF-9303A17E3583}"/>
                </a:ext>
              </a:extLst>
            </xdr:cNvPr>
            <xdr:cNvSpPr>
              <a:spLocks/>
            </xdr:cNvSpPr>
          </xdr:nvSpPr>
          <xdr:spPr bwMode="auto">
            <a:xfrm>
              <a:off x="130" y="593"/>
              <a:ext cx="7" cy="8"/>
            </a:xfrm>
            <a:custGeom>
              <a:avLst/>
              <a:gdLst>
                <a:gd name="T0" fmla="*/ 0 w 203"/>
                <a:gd name="T1" fmla="*/ 0 h 199"/>
                <a:gd name="T2" fmla="*/ 0 w 203"/>
                <a:gd name="T3" fmla="*/ 0 h 199"/>
                <a:gd name="T4" fmla="*/ 0 w 203"/>
                <a:gd name="T5" fmla="*/ 0 h 199"/>
                <a:gd name="T6" fmla="*/ 0 w 203"/>
                <a:gd name="T7" fmla="*/ 0 h 199"/>
                <a:gd name="T8" fmla="*/ 0 w 203"/>
                <a:gd name="T9" fmla="*/ 0 h 199"/>
                <a:gd name="T10" fmla="*/ 0 w 203"/>
                <a:gd name="T11" fmla="*/ 0 h 199"/>
                <a:gd name="T12" fmla="*/ 0 w 203"/>
                <a:gd name="T13" fmla="*/ 0 h 199"/>
                <a:gd name="T14" fmla="*/ 0 w 203"/>
                <a:gd name="T15" fmla="*/ 0 h 199"/>
                <a:gd name="T16" fmla="*/ 0 w 203"/>
                <a:gd name="T17" fmla="*/ 0 h 199"/>
                <a:gd name="T18" fmla="*/ 0 w 203"/>
                <a:gd name="T19" fmla="*/ 0 h 199"/>
                <a:gd name="T20" fmla="*/ 0 w 203"/>
                <a:gd name="T21" fmla="*/ 0 h 199"/>
                <a:gd name="T22" fmla="*/ 0 w 203"/>
                <a:gd name="T23" fmla="*/ 0 h 199"/>
                <a:gd name="T24" fmla="*/ 0 w 203"/>
                <a:gd name="T25" fmla="*/ 0 h 199"/>
                <a:gd name="T26" fmla="*/ 0 w 203"/>
                <a:gd name="T27" fmla="*/ 0 h 199"/>
                <a:gd name="T28" fmla="*/ 0 w 203"/>
                <a:gd name="T29" fmla="*/ 0 h 199"/>
                <a:gd name="T30" fmla="*/ 0 w 203"/>
                <a:gd name="T31" fmla="*/ 0 h 199"/>
                <a:gd name="T32" fmla="*/ 0 w 203"/>
                <a:gd name="T33" fmla="*/ 0 h 199"/>
                <a:gd name="T34" fmla="*/ 0 w 203"/>
                <a:gd name="T35" fmla="*/ 0 h 199"/>
                <a:gd name="T36" fmla="*/ 0 w 203"/>
                <a:gd name="T37" fmla="*/ 0 h 199"/>
                <a:gd name="T38" fmla="*/ 0 w 203"/>
                <a:gd name="T39" fmla="*/ 0 h 199"/>
                <a:gd name="T40" fmla="*/ 0 w 203"/>
                <a:gd name="T41" fmla="*/ 0 h 199"/>
                <a:gd name="T42" fmla="*/ 0 w 203"/>
                <a:gd name="T43" fmla="*/ 0 h 199"/>
                <a:gd name="T44" fmla="*/ 0 w 203"/>
                <a:gd name="T45" fmla="*/ 0 h 199"/>
                <a:gd name="T46" fmla="*/ 0 w 203"/>
                <a:gd name="T47" fmla="*/ 0 h 199"/>
                <a:gd name="T48" fmla="*/ 0 w 203"/>
                <a:gd name="T49" fmla="*/ 0 h 199"/>
                <a:gd name="T50" fmla="*/ 0 w 203"/>
                <a:gd name="T51" fmla="*/ 0 h 199"/>
                <a:gd name="T52" fmla="*/ 0 w 203"/>
                <a:gd name="T53" fmla="*/ 0 h 199"/>
                <a:gd name="T54" fmla="*/ 0 w 203"/>
                <a:gd name="T55" fmla="*/ 0 h 199"/>
                <a:gd name="T56" fmla="*/ 0 w 203"/>
                <a:gd name="T57" fmla="*/ 0 h 199"/>
                <a:gd name="T58" fmla="*/ 0 w 203"/>
                <a:gd name="T59" fmla="*/ 0 h 199"/>
                <a:gd name="T60" fmla="*/ 0 w 203"/>
                <a:gd name="T61" fmla="*/ 0 h 199"/>
                <a:gd name="T62" fmla="*/ 0 w 203"/>
                <a:gd name="T63" fmla="*/ 0 h 199"/>
                <a:gd name="T64" fmla="*/ 0 w 203"/>
                <a:gd name="T65" fmla="*/ 0 h 199"/>
                <a:gd name="T66" fmla="*/ 0 w 203"/>
                <a:gd name="T67" fmla="*/ 0 h 199"/>
                <a:gd name="T68" fmla="*/ 0 w 203"/>
                <a:gd name="T69" fmla="*/ 0 h 199"/>
                <a:gd name="T70" fmla="*/ 0 w 203"/>
                <a:gd name="T71" fmla="*/ 0 h 199"/>
                <a:gd name="T72" fmla="*/ 0 w 203"/>
                <a:gd name="T73" fmla="*/ 0 h 199"/>
                <a:gd name="T74" fmla="*/ 0 w 203"/>
                <a:gd name="T75" fmla="*/ 0 h 199"/>
                <a:gd name="T76" fmla="*/ 0 w 203"/>
                <a:gd name="T77" fmla="*/ 0 h 199"/>
                <a:gd name="T78" fmla="*/ 0 w 203"/>
                <a:gd name="T79" fmla="*/ 0 h 199"/>
                <a:gd name="T80" fmla="*/ 0 w 203"/>
                <a:gd name="T81" fmla="*/ 0 h 199"/>
                <a:gd name="T82" fmla="*/ 0 w 203"/>
                <a:gd name="T83" fmla="*/ 0 h 199"/>
                <a:gd name="T84" fmla="*/ 0 w 203"/>
                <a:gd name="T85" fmla="*/ 0 h 199"/>
                <a:gd name="T86" fmla="*/ 0 w 203"/>
                <a:gd name="T87" fmla="*/ 0 h 199"/>
                <a:gd name="T88" fmla="*/ 0 w 203"/>
                <a:gd name="T89" fmla="*/ 0 h 199"/>
                <a:gd name="T90" fmla="*/ 0 w 203"/>
                <a:gd name="T91" fmla="*/ 0 h 199"/>
                <a:gd name="T92" fmla="*/ 0 w 203"/>
                <a:gd name="T93" fmla="*/ 0 h 199"/>
                <a:gd name="T94" fmla="*/ 0 w 203"/>
                <a:gd name="T95" fmla="*/ 0 h 199"/>
                <a:gd name="T96" fmla="*/ 0 w 203"/>
                <a:gd name="T97" fmla="*/ 0 h 199"/>
                <a:gd name="T98" fmla="*/ 0 w 203"/>
                <a:gd name="T99" fmla="*/ 0 h 199"/>
                <a:gd name="T100" fmla="*/ 0 w 203"/>
                <a:gd name="T101" fmla="*/ 0 h 199"/>
                <a:gd name="T102" fmla="*/ 0 w 203"/>
                <a:gd name="T103" fmla="*/ 0 h 199"/>
                <a:gd name="T104" fmla="*/ 0 w 203"/>
                <a:gd name="T105" fmla="*/ 0 h 199"/>
                <a:gd name="T106" fmla="*/ 0 w 203"/>
                <a:gd name="T107" fmla="*/ 0 h 199"/>
                <a:gd name="T108" fmla="*/ 0 w 203"/>
                <a:gd name="T109" fmla="*/ 0 h 199"/>
                <a:gd name="T110" fmla="*/ 0 w 203"/>
                <a:gd name="T111" fmla="*/ 0 h 199"/>
                <a:gd name="T112" fmla="*/ 0 w 203"/>
                <a:gd name="T113" fmla="*/ 0 h 199"/>
                <a:gd name="T114" fmla="*/ 0 w 203"/>
                <a:gd name="T115" fmla="*/ 0 h 199"/>
                <a:gd name="T116" fmla="*/ 0 w 203"/>
                <a:gd name="T117" fmla="*/ 0 h 199"/>
                <a:gd name="T118" fmla="*/ 0 w 203"/>
                <a:gd name="T119" fmla="*/ 0 h 199"/>
                <a:gd name="T120" fmla="*/ 0 w 203"/>
                <a:gd name="T121" fmla="*/ 0 h 199"/>
                <a:gd name="T122" fmla="*/ 0 w 20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37" name="Line 115">
              <a:extLst>
                <a:ext uri="{FF2B5EF4-FFF2-40B4-BE49-F238E27FC236}">
                  <a16:creationId xmlns:a16="http://schemas.microsoft.com/office/drawing/2014/main" id="{AA3BA6CF-DE03-4EA0-BF88-93C652B71F3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7" y="58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38" name="Freeform 116">
              <a:extLst>
                <a:ext uri="{FF2B5EF4-FFF2-40B4-BE49-F238E27FC236}">
                  <a16:creationId xmlns:a16="http://schemas.microsoft.com/office/drawing/2014/main" id="{E73BF7F8-DFEF-4FCB-B883-DB9B07F4994D}"/>
                </a:ext>
              </a:extLst>
            </xdr:cNvPr>
            <xdr:cNvSpPr>
              <a:spLocks/>
            </xdr:cNvSpPr>
          </xdr:nvSpPr>
          <xdr:spPr bwMode="auto">
            <a:xfrm>
              <a:off x="133" y="585"/>
              <a:ext cx="8" cy="7"/>
            </a:xfrm>
            <a:custGeom>
              <a:avLst/>
              <a:gdLst>
                <a:gd name="T0" fmla="*/ 0 w 207"/>
                <a:gd name="T1" fmla="*/ 0 h 176"/>
                <a:gd name="T2" fmla="*/ 0 w 207"/>
                <a:gd name="T3" fmla="*/ 0 h 176"/>
                <a:gd name="T4" fmla="*/ 0 w 207"/>
                <a:gd name="T5" fmla="*/ 0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4732" name="Group 117">
            <a:extLst>
              <a:ext uri="{FF2B5EF4-FFF2-40B4-BE49-F238E27FC236}">
                <a16:creationId xmlns:a16="http://schemas.microsoft.com/office/drawing/2014/main" id="{268D0EA9-EFCC-49B7-987B-B082E1760D64}"/>
              </a:ext>
            </a:extLst>
          </xdr:cNvPr>
          <xdr:cNvGrpSpPr>
            <a:grpSpLocks/>
          </xdr:cNvGrpSpPr>
        </xdr:nvGrpSpPr>
        <xdr:grpSpPr bwMode="auto">
          <a:xfrm>
            <a:off x="158" y="601"/>
            <a:ext cx="12" cy="16"/>
            <a:chOff x="141" y="601"/>
            <a:chExt cx="12" cy="16"/>
          </a:xfrm>
        </xdr:grpSpPr>
        <xdr:sp macro="" textlink="">
          <xdr:nvSpPr>
            <xdr:cNvPr id="4733" name="Freeform 118">
              <a:extLst>
                <a:ext uri="{FF2B5EF4-FFF2-40B4-BE49-F238E27FC236}">
                  <a16:creationId xmlns:a16="http://schemas.microsoft.com/office/drawing/2014/main" id="{00082266-0750-4309-B63A-0851703511F0}"/>
                </a:ext>
              </a:extLst>
            </xdr:cNvPr>
            <xdr:cNvSpPr>
              <a:spLocks/>
            </xdr:cNvSpPr>
          </xdr:nvSpPr>
          <xdr:spPr bwMode="auto">
            <a:xfrm>
              <a:off x="141" y="601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0 w 201"/>
                <a:gd name="T5" fmla="*/ 0 h 202"/>
                <a:gd name="T6" fmla="*/ 0 w 201"/>
                <a:gd name="T7" fmla="*/ 0 h 202"/>
                <a:gd name="T8" fmla="*/ 0 w 201"/>
                <a:gd name="T9" fmla="*/ 0 h 202"/>
                <a:gd name="T10" fmla="*/ 0 w 201"/>
                <a:gd name="T11" fmla="*/ 0 h 202"/>
                <a:gd name="T12" fmla="*/ 0 w 201"/>
                <a:gd name="T13" fmla="*/ 0 h 202"/>
                <a:gd name="T14" fmla="*/ 0 w 201"/>
                <a:gd name="T15" fmla="*/ 0 h 202"/>
                <a:gd name="T16" fmla="*/ 0 w 201"/>
                <a:gd name="T17" fmla="*/ 0 h 202"/>
                <a:gd name="T18" fmla="*/ 0 w 201"/>
                <a:gd name="T19" fmla="*/ 0 h 202"/>
                <a:gd name="T20" fmla="*/ 0 w 201"/>
                <a:gd name="T21" fmla="*/ 0 h 202"/>
                <a:gd name="T22" fmla="*/ 0 w 201"/>
                <a:gd name="T23" fmla="*/ 0 h 202"/>
                <a:gd name="T24" fmla="*/ 0 w 201"/>
                <a:gd name="T25" fmla="*/ 0 h 202"/>
                <a:gd name="T26" fmla="*/ 0 w 201"/>
                <a:gd name="T27" fmla="*/ 0 h 202"/>
                <a:gd name="T28" fmla="*/ 0 w 201"/>
                <a:gd name="T29" fmla="*/ 0 h 202"/>
                <a:gd name="T30" fmla="*/ 0 w 201"/>
                <a:gd name="T31" fmla="*/ 0 h 202"/>
                <a:gd name="T32" fmla="*/ 0 w 201"/>
                <a:gd name="T33" fmla="*/ 0 h 202"/>
                <a:gd name="T34" fmla="*/ 0 w 201"/>
                <a:gd name="T35" fmla="*/ 0 h 202"/>
                <a:gd name="T36" fmla="*/ 0 w 201"/>
                <a:gd name="T37" fmla="*/ 0 h 202"/>
                <a:gd name="T38" fmla="*/ 0 w 201"/>
                <a:gd name="T39" fmla="*/ 0 h 202"/>
                <a:gd name="T40" fmla="*/ 0 w 201"/>
                <a:gd name="T41" fmla="*/ 0 h 202"/>
                <a:gd name="T42" fmla="*/ 0 w 201"/>
                <a:gd name="T43" fmla="*/ 0 h 202"/>
                <a:gd name="T44" fmla="*/ 0 w 201"/>
                <a:gd name="T45" fmla="*/ 0 h 202"/>
                <a:gd name="T46" fmla="*/ 0 w 201"/>
                <a:gd name="T47" fmla="*/ 0 h 202"/>
                <a:gd name="T48" fmla="*/ 0 w 201"/>
                <a:gd name="T49" fmla="*/ 0 h 202"/>
                <a:gd name="T50" fmla="*/ 0 w 201"/>
                <a:gd name="T51" fmla="*/ 0 h 202"/>
                <a:gd name="T52" fmla="*/ 0 w 201"/>
                <a:gd name="T53" fmla="*/ 0 h 202"/>
                <a:gd name="T54" fmla="*/ 0 w 201"/>
                <a:gd name="T55" fmla="*/ 0 h 202"/>
                <a:gd name="T56" fmla="*/ 0 w 201"/>
                <a:gd name="T57" fmla="*/ 0 h 202"/>
                <a:gd name="T58" fmla="*/ 0 w 201"/>
                <a:gd name="T59" fmla="*/ 0 h 202"/>
                <a:gd name="T60" fmla="*/ 0 w 201"/>
                <a:gd name="T61" fmla="*/ 0 h 202"/>
                <a:gd name="T62" fmla="*/ 0 w 201"/>
                <a:gd name="T63" fmla="*/ 0 h 202"/>
                <a:gd name="T64" fmla="*/ 0 w 201"/>
                <a:gd name="T65" fmla="*/ 0 h 202"/>
                <a:gd name="T66" fmla="*/ 0 w 201"/>
                <a:gd name="T67" fmla="*/ 0 h 202"/>
                <a:gd name="T68" fmla="*/ 0 w 201"/>
                <a:gd name="T69" fmla="*/ 0 h 202"/>
                <a:gd name="T70" fmla="*/ 0 w 201"/>
                <a:gd name="T71" fmla="*/ 0 h 202"/>
                <a:gd name="T72" fmla="*/ 0 w 201"/>
                <a:gd name="T73" fmla="*/ 0 h 202"/>
                <a:gd name="T74" fmla="*/ 0 w 201"/>
                <a:gd name="T75" fmla="*/ 0 h 202"/>
                <a:gd name="T76" fmla="*/ 0 w 201"/>
                <a:gd name="T77" fmla="*/ 0 h 202"/>
                <a:gd name="T78" fmla="*/ 0 w 201"/>
                <a:gd name="T79" fmla="*/ 0 h 202"/>
                <a:gd name="T80" fmla="*/ 0 w 201"/>
                <a:gd name="T81" fmla="*/ 0 h 202"/>
                <a:gd name="T82" fmla="*/ 0 w 201"/>
                <a:gd name="T83" fmla="*/ 0 h 202"/>
                <a:gd name="T84" fmla="*/ 0 w 201"/>
                <a:gd name="T85" fmla="*/ 0 h 202"/>
                <a:gd name="T86" fmla="*/ 0 w 201"/>
                <a:gd name="T87" fmla="*/ 0 h 202"/>
                <a:gd name="T88" fmla="*/ 0 w 201"/>
                <a:gd name="T89" fmla="*/ 0 h 202"/>
                <a:gd name="T90" fmla="*/ 0 w 201"/>
                <a:gd name="T91" fmla="*/ 0 h 202"/>
                <a:gd name="T92" fmla="*/ 0 w 201"/>
                <a:gd name="T93" fmla="*/ 0 h 202"/>
                <a:gd name="T94" fmla="*/ 0 w 201"/>
                <a:gd name="T95" fmla="*/ 0 h 202"/>
                <a:gd name="T96" fmla="*/ 0 w 201"/>
                <a:gd name="T97" fmla="*/ 0 h 202"/>
                <a:gd name="T98" fmla="*/ 0 w 201"/>
                <a:gd name="T99" fmla="*/ 0 h 202"/>
                <a:gd name="T100" fmla="*/ 0 w 201"/>
                <a:gd name="T101" fmla="*/ 0 h 202"/>
                <a:gd name="T102" fmla="*/ 0 w 201"/>
                <a:gd name="T103" fmla="*/ 0 h 202"/>
                <a:gd name="T104" fmla="*/ 0 w 201"/>
                <a:gd name="T105" fmla="*/ 0 h 202"/>
                <a:gd name="T106" fmla="*/ 0 w 201"/>
                <a:gd name="T107" fmla="*/ 0 h 202"/>
                <a:gd name="T108" fmla="*/ 0 w 201"/>
                <a:gd name="T109" fmla="*/ 0 h 202"/>
                <a:gd name="T110" fmla="*/ 0 w 201"/>
                <a:gd name="T111" fmla="*/ 0 h 202"/>
                <a:gd name="T112" fmla="*/ 0 w 201"/>
                <a:gd name="T113" fmla="*/ 0 h 202"/>
                <a:gd name="T114" fmla="*/ 0 w 201"/>
                <a:gd name="T115" fmla="*/ 0 h 202"/>
                <a:gd name="T116" fmla="*/ 0 w 201"/>
                <a:gd name="T117" fmla="*/ 0 h 202"/>
                <a:gd name="T118" fmla="*/ 0 w 201"/>
                <a:gd name="T119" fmla="*/ 0 h 202"/>
                <a:gd name="T120" fmla="*/ 0 w 201"/>
                <a:gd name="T121" fmla="*/ 0 h 202"/>
                <a:gd name="T122" fmla="*/ 0 w 201"/>
                <a:gd name="T123" fmla="*/ 0 h 202"/>
                <a:gd name="T124" fmla="*/ 0 w 201"/>
                <a:gd name="T125" fmla="*/ 0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34" name="Line 119">
              <a:extLst>
                <a:ext uri="{FF2B5EF4-FFF2-40B4-BE49-F238E27FC236}">
                  <a16:creationId xmlns:a16="http://schemas.microsoft.com/office/drawing/2014/main" id="{454C61F7-15D5-4768-B00D-4B37327D2BC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49" y="608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35" name="Freeform 120">
              <a:extLst>
                <a:ext uri="{FF2B5EF4-FFF2-40B4-BE49-F238E27FC236}">
                  <a16:creationId xmlns:a16="http://schemas.microsoft.com/office/drawing/2014/main" id="{67DAEEB2-73FC-4238-A5F7-2BE9E17DB906}"/>
                </a:ext>
              </a:extLst>
            </xdr:cNvPr>
            <xdr:cNvSpPr>
              <a:spLocks/>
            </xdr:cNvSpPr>
          </xdr:nvSpPr>
          <xdr:spPr bwMode="auto">
            <a:xfrm>
              <a:off x="145" y="610"/>
              <a:ext cx="8" cy="7"/>
            </a:xfrm>
            <a:custGeom>
              <a:avLst/>
              <a:gdLst>
                <a:gd name="T0" fmla="*/ 0 w 208"/>
                <a:gd name="T1" fmla="*/ 0 h 177"/>
                <a:gd name="T2" fmla="*/ 0 w 208"/>
                <a:gd name="T3" fmla="*/ 0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4</xdr:col>
      <xdr:colOff>152400</xdr:colOff>
      <xdr:row>13</xdr:row>
      <xdr:rowOff>333375</xdr:rowOff>
    </xdr:from>
    <xdr:to>
      <xdr:col>6</xdr:col>
      <xdr:colOff>228600</xdr:colOff>
      <xdr:row>13</xdr:row>
      <xdr:rowOff>390525</xdr:rowOff>
    </xdr:to>
    <xdr:grpSp>
      <xdr:nvGrpSpPr>
        <xdr:cNvPr id="4704" name="Group 121">
          <a:extLst>
            <a:ext uri="{FF2B5EF4-FFF2-40B4-BE49-F238E27FC236}">
              <a16:creationId xmlns:a16="http://schemas.microsoft.com/office/drawing/2014/main" id="{D72BF77A-DBAF-4DBD-865C-0494EF3970C1}"/>
            </a:ext>
          </a:extLst>
        </xdr:cNvPr>
        <xdr:cNvGrpSpPr>
          <a:grpSpLocks/>
        </xdr:cNvGrpSpPr>
      </xdr:nvGrpSpPr>
      <xdr:grpSpPr bwMode="auto">
        <a:xfrm>
          <a:off x="1028700" y="4991100"/>
          <a:ext cx="666750" cy="57150"/>
          <a:chOff x="123" y="549"/>
          <a:chExt cx="77" cy="6"/>
        </a:xfrm>
      </xdr:grpSpPr>
      <xdr:sp macro="" textlink="">
        <xdr:nvSpPr>
          <xdr:cNvPr id="4726" name="Line 122">
            <a:extLst>
              <a:ext uri="{FF2B5EF4-FFF2-40B4-BE49-F238E27FC236}">
                <a16:creationId xmlns:a16="http://schemas.microsoft.com/office/drawing/2014/main" id="{F700F87C-9704-4CC1-86F0-A0252F61080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27" name="Freeform 123">
            <a:extLst>
              <a:ext uri="{FF2B5EF4-FFF2-40B4-BE49-F238E27FC236}">
                <a16:creationId xmlns:a16="http://schemas.microsoft.com/office/drawing/2014/main" id="{236A9555-F6B1-48E0-AB3D-61FAFEE2DB05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728" name="Freeform 124">
            <a:extLst>
              <a:ext uri="{FF2B5EF4-FFF2-40B4-BE49-F238E27FC236}">
                <a16:creationId xmlns:a16="http://schemas.microsoft.com/office/drawing/2014/main" id="{BA6D34A4-F144-43E8-B6C7-3AB3A291BDE6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28575</xdr:colOff>
      <xdr:row>13</xdr:row>
      <xdr:rowOff>876300</xdr:rowOff>
    </xdr:from>
    <xdr:to>
      <xdr:col>7</xdr:col>
      <xdr:colOff>76200</xdr:colOff>
      <xdr:row>13</xdr:row>
      <xdr:rowOff>1171575</xdr:rowOff>
    </xdr:to>
    <xdr:grpSp>
      <xdr:nvGrpSpPr>
        <xdr:cNvPr id="4705" name="Group 125">
          <a:extLst>
            <a:ext uri="{FF2B5EF4-FFF2-40B4-BE49-F238E27FC236}">
              <a16:creationId xmlns:a16="http://schemas.microsoft.com/office/drawing/2014/main" id="{6CAB8A67-128F-4809-A9CE-5AB25D5E6CA5}"/>
            </a:ext>
          </a:extLst>
        </xdr:cNvPr>
        <xdr:cNvGrpSpPr>
          <a:grpSpLocks/>
        </xdr:cNvGrpSpPr>
      </xdr:nvGrpSpPr>
      <xdr:grpSpPr bwMode="auto">
        <a:xfrm>
          <a:off x="904875" y="5534025"/>
          <a:ext cx="914400" cy="295275"/>
          <a:chOff x="122" y="624"/>
          <a:chExt cx="105" cy="31"/>
        </a:xfrm>
      </xdr:grpSpPr>
      <xdr:sp macro="" textlink="">
        <xdr:nvSpPr>
          <xdr:cNvPr id="4718" name="Line 126">
            <a:extLst>
              <a:ext uri="{FF2B5EF4-FFF2-40B4-BE49-F238E27FC236}">
                <a16:creationId xmlns:a16="http://schemas.microsoft.com/office/drawing/2014/main" id="{FE17BF35-28B6-4B1C-BFF0-7D4441353693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23" y="63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19" name="Freeform 127">
            <a:extLst>
              <a:ext uri="{FF2B5EF4-FFF2-40B4-BE49-F238E27FC236}">
                <a16:creationId xmlns:a16="http://schemas.microsoft.com/office/drawing/2014/main" id="{203A132C-55F9-4519-BE15-D8C9E2CCABA5}"/>
              </a:ext>
            </a:extLst>
          </xdr:cNvPr>
          <xdr:cNvSpPr>
            <a:spLocks/>
          </xdr:cNvSpPr>
        </xdr:nvSpPr>
        <xdr:spPr bwMode="auto">
          <a:xfrm rot="10800000">
            <a:off x="122" y="636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720" name="Freeform 128">
            <a:extLst>
              <a:ext uri="{FF2B5EF4-FFF2-40B4-BE49-F238E27FC236}">
                <a16:creationId xmlns:a16="http://schemas.microsoft.com/office/drawing/2014/main" id="{17DAB07B-4A77-4860-A58D-3CB14B937420}"/>
              </a:ext>
            </a:extLst>
          </xdr:cNvPr>
          <xdr:cNvSpPr>
            <a:spLocks/>
          </xdr:cNvSpPr>
        </xdr:nvSpPr>
        <xdr:spPr bwMode="auto">
          <a:xfrm rot="10800000">
            <a:off x="202" y="639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721" name="Line 129">
            <a:extLst>
              <a:ext uri="{FF2B5EF4-FFF2-40B4-BE49-F238E27FC236}">
                <a16:creationId xmlns:a16="http://schemas.microsoft.com/office/drawing/2014/main" id="{6F7BB6F7-746D-49AB-812C-7C1E0B123558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202" y="64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22" name="Freeform 130">
            <a:extLst>
              <a:ext uri="{FF2B5EF4-FFF2-40B4-BE49-F238E27FC236}">
                <a16:creationId xmlns:a16="http://schemas.microsoft.com/office/drawing/2014/main" id="{440472D5-B93D-4244-86BA-0B6784D99C28}"/>
              </a:ext>
            </a:extLst>
          </xdr:cNvPr>
          <xdr:cNvSpPr>
            <a:spLocks/>
          </xdr:cNvSpPr>
        </xdr:nvSpPr>
        <xdr:spPr bwMode="auto">
          <a:xfrm rot="10800000">
            <a:off x="198" y="648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723" name="Freeform 131">
            <a:extLst>
              <a:ext uri="{FF2B5EF4-FFF2-40B4-BE49-F238E27FC236}">
                <a16:creationId xmlns:a16="http://schemas.microsoft.com/office/drawing/2014/main" id="{AD68083F-942B-456F-A964-182AF279B20B}"/>
              </a:ext>
            </a:extLst>
          </xdr:cNvPr>
          <xdr:cNvSpPr>
            <a:spLocks/>
          </xdr:cNvSpPr>
        </xdr:nvSpPr>
        <xdr:spPr bwMode="auto">
          <a:xfrm rot="10800000">
            <a:off x="186" y="632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724" name="Line 132">
            <a:extLst>
              <a:ext uri="{FF2B5EF4-FFF2-40B4-BE49-F238E27FC236}">
                <a16:creationId xmlns:a16="http://schemas.microsoft.com/office/drawing/2014/main" id="{0263BFE5-6623-45C1-AE0B-98007118F102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86" y="62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25" name="Freeform 133">
            <a:extLst>
              <a:ext uri="{FF2B5EF4-FFF2-40B4-BE49-F238E27FC236}">
                <a16:creationId xmlns:a16="http://schemas.microsoft.com/office/drawing/2014/main" id="{EB884E18-B0A0-4AC2-8185-D863F8ED8DAA}"/>
              </a:ext>
            </a:extLst>
          </xdr:cNvPr>
          <xdr:cNvSpPr>
            <a:spLocks/>
          </xdr:cNvSpPr>
        </xdr:nvSpPr>
        <xdr:spPr bwMode="auto">
          <a:xfrm rot="10800000">
            <a:off x="182" y="62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13</xdr:row>
      <xdr:rowOff>1257300</xdr:rowOff>
    </xdr:from>
    <xdr:to>
      <xdr:col>6</xdr:col>
      <xdr:colOff>228600</xdr:colOff>
      <xdr:row>13</xdr:row>
      <xdr:rowOff>1314450</xdr:rowOff>
    </xdr:to>
    <xdr:grpSp>
      <xdr:nvGrpSpPr>
        <xdr:cNvPr id="4706" name="Group 134">
          <a:extLst>
            <a:ext uri="{FF2B5EF4-FFF2-40B4-BE49-F238E27FC236}">
              <a16:creationId xmlns:a16="http://schemas.microsoft.com/office/drawing/2014/main" id="{9FD26B73-B6E3-4D25-81AF-C0B3F0F69FD9}"/>
            </a:ext>
          </a:extLst>
        </xdr:cNvPr>
        <xdr:cNvGrpSpPr>
          <a:grpSpLocks/>
        </xdr:cNvGrpSpPr>
      </xdr:nvGrpSpPr>
      <xdr:grpSpPr bwMode="auto">
        <a:xfrm>
          <a:off x="1028700" y="5915025"/>
          <a:ext cx="666750" cy="57150"/>
          <a:chOff x="123" y="549"/>
          <a:chExt cx="77" cy="6"/>
        </a:xfrm>
      </xdr:grpSpPr>
      <xdr:sp macro="" textlink="">
        <xdr:nvSpPr>
          <xdr:cNvPr id="4715" name="Line 135">
            <a:extLst>
              <a:ext uri="{FF2B5EF4-FFF2-40B4-BE49-F238E27FC236}">
                <a16:creationId xmlns:a16="http://schemas.microsoft.com/office/drawing/2014/main" id="{0CBB4062-06C9-4CCD-AFE4-A336D51A2434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16" name="Freeform 136">
            <a:extLst>
              <a:ext uri="{FF2B5EF4-FFF2-40B4-BE49-F238E27FC236}">
                <a16:creationId xmlns:a16="http://schemas.microsoft.com/office/drawing/2014/main" id="{22BABD8E-2917-44E9-A0C5-C6054457432F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717" name="Freeform 137">
            <a:extLst>
              <a:ext uri="{FF2B5EF4-FFF2-40B4-BE49-F238E27FC236}">
                <a16:creationId xmlns:a16="http://schemas.microsoft.com/office/drawing/2014/main" id="{182955DA-57D1-473C-9456-C1F2536D1499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28575</xdr:colOff>
      <xdr:row>13</xdr:row>
      <xdr:rowOff>190500</xdr:rowOff>
    </xdr:from>
    <xdr:to>
      <xdr:col>6</xdr:col>
      <xdr:colOff>152400</xdr:colOff>
      <xdr:row>13</xdr:row>
      <xdr:rowOff>352425</xdr:rowOff>
    </xdr:to>
    <xdr:sp macro="" textlink="">
      <xdr:nvSpPr>
        <xdr:cNvPr id="2186" name="Text Box 138">
          <a:extLst>
            <a:ext uri="{FF2B5EF4-FFF2-40B4-BE49-F238E27FC236}">
              <a16:creationId xmlns:a16="http://schemas.microsoft.com/office/drawing/2014/main" id="{62446F1F-1A79-424E-97AA-C390C9D3A741}"/>
            </a:ext>
          </a:extLst>
        </xdr:cNvPr>
        <xdr:cNvSpPr txBox="1">
          <a:spLocks noChangeArrowheads="1"/>
        </xdr:cNvSpPr>
      </xdr:nvSpPr>
      <xdr:spPr bwMode="auto">
        <a:xfrm>
          <a:off x="1219200" y="4848225"/>
          <a:ext cx="400050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21.6m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7</xdr:col>
      <xdr:colOff>0</xdr:colOff>
      <xdr:row>13</xdr:row>
      <xdr:rowOff>1219200</xdr:rowOff>
    </xdr:from>
    <xdr:to>
      <xdr:col>8</xdr:col>
      <xdr:colOff>47625</xdr:colOff>
      <xdr:row>13</xdr:row>
      <xdr:rowOff>1381125</xdr:rowOff>
    </xdr:to>
    <xdr:sp macro="" textlink="">
      <xdr:nvSpPr>
        <xdr:cNvPr id="2187" name="Text Box 139">
          <a:extLst>
            <a:ext uri="{FF2B5EF4-FFF2-40B4-BE49-F238E27FC236}">
              <a16:creationId xmlns:a16="http://schemas.microsoft.com/office/drawing/2014/main" id="{84B93B4B-FCF9-444E-9B9D-CE1F617E29D9}"/>
            </a:ext>
          </a:extLst>
        </xdr:cNvPr>
        <xdr:cNvSpPr txBox="1">
          <a:spLocks noChangeArrowheads="1"/>
        </xdr:cNvSpPr>
      </xdr:nvSpPr>
      <xdr:spPr bwMode="auto">
        <a:xfrm>
          <a:off x="1743075" y="5876925"/>
          <a:ext cx="323850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歩灯2</a:t>
          </a:r>
        </a:p>
      </xdr:txBody>
    </xdr:sp>
    <xdr:clientData/>
  </xdr:twoCellAnchor>
  <xdr:twoCellAnchor>
    <xdr:from>
      <xdr:col>7</xdr:col>
      <xdr:colOff>19050</xdr:colOff>
      <xdr:row>13</xdr:row>
      <xdr:rowOff>295275</xdr:rowOff>
    </xdr:from>
    <xdr:to>
      <xdr:col>8</xdr:col>
      <xdr:colOff>66675</xdr:colOff>
      <xdr:row>13</xdr:row>
      <xdr:rowOff>457200</xdr:rowOff>
    </xdr:to>
    <xdr:sp macro="" textlink="">
      <xdr:nvSpPr>
        <xdr:cNvPr id="2188" name="Text Box 140">
          <a:extLst>
            <a:ext uri="{FF2B5EF4-FFF2-40B4-BE49-F238E27FC236}">
              <a16:creationId xmlns:a16="http://schemas.microsoft.com/office/drawing/2014/main" id="{328CFEEA-AECE-4B09-82C3-C213BAE44344}"/>
            </a:ext>
          </a:extLst>
        </xdr:cNvPr>
        <xdr:cNvSpPr txBox="1">
          <a:spLocks noChangeArrowheads="1"/>
        </xdr:cNvSpPr>
      </xdr:nvSpPr>
      <xdr:spPr bwMode="auto">
        <a:xfrm>
          <a:off x="1762125" y="4953000"/>
          <a:ext cx="323850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歩灯2</a:t>
          </a:r>
        </a:p>
      </xdr:txBody>
    </xdr:sp>
    <xdr:clientData/>
  </xdr:twoCellAnchor>
  <xdr:twoCellAnchor>
    <xdr:from>
      <xdr:col>5</xdr:col>
      <xdr:colOff>28575</xdr:colOff>
      <xdr:row>13</xdr:row>
      <xdr:rowOff>495300</xdr:rowOff>
    </xdr:from>
    <xdr:to>
      <xdr:col>8</xdr:col>
      <xdr:colOff>133350</xdr:colOff>
      <xdr:row>13</xdr:row>
      <xdr:rowOff>714375</xdr:rowOff>
    </xdr:to>
    <xdr:sp macro="" textlink="">
      <xdr:nvSpPr>
        <xdr:cNvPr id="2189" name="Text Box 141">
          <a:extLst>
            <a:ext uri="{FF2B5EF4-FFF2-40B4-BE49-F238E27FC236}">
              <a16:creationId xmlns:a16="http://schemas.microsoft.com/office/drawing/2014/main" id="{5EDB9F5C-887B-4E46-B73F-C92BB9722B65}"/>
            </a:ext>
          </a:extLst>
        </xdr:cNvPr>
        <xdr:cNvSpPr txBox="1">
          <a:spLocks noChangeArrowheads="1"/>
        </xdr:cNvSpPr>
      </xdr:nvSpPr>
      <xdr:spPr bwMode="auto">
        <a:xfrm>
          <a:off x="1219200" y="5153025"/>
          <a:ext cx="9334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高度化ジレンマ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0</xdr:colOff>
      <xdr:row>13</xdr:row>
      <xdr:rowOff>1133475</xdr:rowOff>
    </xdr:from>
    <xdr:to>
      <xdr:col>7</xdr:col>
      <xdr:colOff>104775</xdr:colOff>
      <xdr:row>13</xdr:row>
      <xdr:rowOff>1352550</xdr:rowOff>
    </xdr:to>
    <xdr:sp macro="" textlink="">
      <xdr:nvSpPr>
        <xdr:cNvPr id="2190" name="Text Box 142">
          <a:extLst>
            <a:ext uri="{FF2B5EF4-FFF2-40B4-BE49-F238E27FC236}">
              <a16:creationId xmlns:a16="http://schemas.microsoft.com/office/drawing/2014/main" id="{488BA482-7C4D-4B3E-A581-85347BFA2B49}"/>
            </a:ext>
          </a:extLst>
        </xdr:cNvPr>
        <xdr:cNvSpPr txBox="1">
          <a:spLocks noChangeArrowheads="1"/>
        </xdr:cNvSpPr>
      </xdr:nvSpPr>
      <xdr:spPr bwMode="auto">
        <a:xfrm>
          <a:off x="876300" y="5791200"/>
          <a:ext cx="9715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高度化ジレンマ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57150</xdr:colOff>
      <xdr:row>13</xdr:row>
      <xdr:rowOff>1152525</xdr:rowOff>
    </xdr:from>
    <xdr:to>
      <xdr:col>17</xdr:col>
      <xdr:colOff>9525</xdr:colOff>
      <xdr:row>13</xdr:row>
      <xdr:rowOff>1323975</xdr:rowOff>
    </xdr:to>
    <xdr:sp macro="" textlink="">
      <xdr:nvSpPr>
        <xdr:cNvPr id="2191" name="Text Box 143">
          <a:extLst>
            <a:ext uri="{FF2B5EF4-FFF2-40B4-BE49-F238E27FC236}">
              <a16:creationId xmlns:a16="http://schemas.microsoft.com/office/drawing/2014/main" id="{A9A554CF-8880-457A-905A-5084915E28E9}"/>
            </a:ext>
          </a:extLst>
        </xdr:cNvPr>
        <xdr:cNvSpPr txBox="1">
          <a:spLocks noChangeArrowheads="1"/>
        </xdr:cNvSpPr>
      </xdr:nvSpPr>
      <xdr:spPr bwMode="auto">
        <a:xfrm>
          <a:off x="4010025" y="5810250"/>
          <a:ext cx="504825" cy="171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ギャップ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95250</xdr:colOff>
      <xdr:row>6</xdr:row>
      <xdr:rowOff>1304925</xdr:rowOff>
    </xdr:from>
    <xdr:to>
      <xdr:col>8</xdr:col>
      <xdr:colOff>209550</xdr:colOff>
      <xdr:row>7</xdr:row>
      <xdr:rowOff>9525</xdr:rowOff>
    </xdr:to>
    <xdr:sp macro="" textlink="">
      <xdr:nvSpPr>
        <xdr:cNvPr id="2192" name="Text Box 144">
          <a:extLst>
            <a:ext uri="{FF2B5EF4-FFF2-40B4-BE49-F238E27FC236}">
              <a16:creationId xmlns:a16="http://schemas.microsoft.com/office/drawing/2014/main" id="{0F846154-C244-4F50-8270-C229A71B658D}"/>
            </a:ext>
          </a:extLst>
        </xdr:cNvPr>
        <xdr:cNvSpPr txBox="1">
          <a:spLocks noChangeArrowheads="1"/>
        </xdr:cNvSpPr>
      </xdr:nvSpPr>
      <xdr:spPr bwMode="auto">
        <a:xfrm>
          <a:off x="95250" y="2714625"/>
          <a:ext cx="2133600" cy="5810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高度化ジレンマ感応</a:t>
          </a:r>
        </a:p>
        <a:p>
          <a:pPr algn="l" rtl="0">
            <a:lnSpc>
              <a:spcPts val="6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ノミナル値　１ＰＲ＝５秒　１Ｙ＝３秒</a:t>
          </a:r>
        </a:p>
        <a:p>
          <a:pPr algn="l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Ｔｓ＝４秒　Ｔｅ＝７秒　単位青＝０．１秒</a:t>
          </a:r>
        </a:p>
        <a:p>
          <a:pPr algn="l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クリアランス変動許容時間-０秒～＋２秒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  <a:p>
          <a:pPr algn="l" rtl="0">
            <a:lnSpc>
              <a:spcPts val="8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8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95250</xdr:colOff>
      <xdr:row>7</xdr:row>
      <xdr:rowOff>9525</xdr:rowOff>
    </xdr:from>
    <xdr:to>
      <xdr:col>8</xdr:col>
      <xdr:colOff>209550</xdr:colOff>
      <xdr:row>9</xdr:row>
      <xdr:rowOff>19050</xdr:rowOff>
    </xdr:to>
    <xdr:sp macro="" textlink="">
      <xdr:nvSpPr>
        <xdr:cNvPr id="2193" name="Text Box 145">
          <a:extLst>
            <a:ext uri="{FF2B5EF4-FFF2-40B4-BE49-F238E27FC236}">
              <a16:creationId xmlns:a16="http://schemas.microsoft.com/office/drawing/2014/main" id="{3A499BD5-7DEB-4180-BCDC-ADB032D6F852}"/>
            </a:ext>
          </a:extLst>
        </xdr:cNvPr>
        <xdr:cNvSpPr txBox="1">
          <a:spLocks noChangeArrowheads="1"/>
        </xdr:cNvSpPr>
      </xdr:nvSpPr>
      <xdr:spPr bwMode="auto">
        <a:xfrm>
          <a:off x="95250" y="3295650"/>
          <a:ext cx="2133600" cy="4667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ギャップ感応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Ｔｓ＝７秒（保証時間＝５秒）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Ｔｅ＝５秒　単位青＝４秒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13</xdr:row>
      <xdr:rowOff>85725</xdr:rowOff>
    </xdr:from>
    <xdr:to>
      <xdr:col>2</xdr:col>
      <xdr:colOff>228600</xdr:colOff>
      <xdr:row>13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8FF48C1-0C9B-458A-81B5-17D33ABE1657}"/>
            </a:ext>
          </a:extLst>
        </xdr:cNvPr>
        <xdr:cNvSpPr txBox="1">
          <a:spLocks noChangeArrowheads="1"/>
        </xdr:cNvSpPr>
      </xdr:nvSpPr>
      <xdr:spPr bwMode="auto">
        <a:xfrm>
          <a:off x="228600" y="47434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14</xdr:row>
      <xdr:rowOff>114300</xdr:rowOff>
    </xdr:from>
    <xdr:to>
      <xdr:col>5</xdr:col>
      <xdr:colOff>0</xdr:colOff>
      <xdr:row>14</xdr:row>
      <xdr:rowOff>114300</xdr:rowOff>
    </xdr:to>
    <xdr:sp macro="" textlink="">
      <xdr:nvSpPr>
        <xdr:cNvPr id="5695" name="Line 2">
          <a:extLst>
            <a:ext uri="{FF2B5EF4-FFF2-40B4-BE49-F238E27FC236}">
              <a16:creationId xmlns:a16="http://schemas.microsoft.com/office/drawing/2014/main" id="{D56FD484-0859-45EE-A932-48135489D9E4}"/>
            </a:ext>
          </a:extLst>
        </xdr:cNvPr>
        <xdr:cNvSpPr>
          <a:spLocks noChangeShapeType="1"/>
        </xdr:cNvSpPr>
      </xdr:nvSpPr>
      <xdr:spPr bwMode="auto">
        <a:xfrm>
          <a:off x="876300" y="63531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15</xdr:row>
      <xdr:rowOff>47625</xdr:rowOff>
    </xdr:from>
    <xdr:to>
      <xdr:col>7</xdr:col>
      <xdr:colOff>276225</xdr:colOff>
      <xdr:row>15</xdr:row>
      <xdr:rowOff>190500</xdr:rowOff>
    </xdr:to>
    <xdr:sp macro="" textlink="">
      <xdr:nvSpPr>
        <xdr:cNvPr id="5696" name="Freeform 3">
          <a:extLst>
            <a:ext uri="{FF2B5EF4-FFF2-40B4-BE49-F238E27FC236}">
              <a16:creationId xmlns:a16="http://schemas.microsoft.com/office/drawing/2014/main" id="{F4A04218-A5E0-49DC-A182-F85366BF6322}"/>
            </a:ext>
          </a:extLst>
        </xdr:cNvPr>
        <xdr:cNvSpPr>
          <a:spLocks/>
        </xdr:cNvSpPr>
      </xdr:nvSpPr>
      <xdr:spPr bwMode="auto">
        <a:xfrm>
          <a:off x="1752600" y="6515100"/>
          <a:ext cx="266700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57150</xdr:colOff>
      <xdr:row>14</xdr:row>
      <xdr:rowOff>38100</xdr:rowOff>
    </xdr:from>
    <xdr:to>
      <xdr:col>5</xdr:col>
      <xdr:colOff>276225</xdr:colOff>
      <xdr:row>14</xdr:row>
      <xdr:rowOff>190500</xdr:rowOff>
    </xdr:to>
    <xdr:grpSp>
      <xdr:nvGrpSpPr>
        <xdr:cNvPr id="5697" name="Group 4">
          <a:extLst>
            <a:ext uri="{FF2B5EF4-FFF2-40B4-BE49-F238E27FC236}">
              <a16:creationId xmlns:a16="http://schemas.microsoft.com/office/drawing/2014/main" id="{1BC1432B-DA67-4253-BFCE-A39173C21583}"/>
            </a:ext>
          </a:extLst>
        </xdr:cNvPr>
        <xdr:cNvGrpSpPr>
          <a:grpSpLocks/>
        </xdr:cNvGrpSpPr>
      </xdr:nvGrpSpPr>
      <xdr:grpSpPr bwMode="auto">
        <a:xfrm>
          <a:off x="1247775" y="6276975"/>
          <a:ext cx="219075" cy="152400"/>
          <a:chOff x="132" y="708"/>
          <a:chExt cx="20" cy="14"/>
        </a:xfrm>
      </xdr:grpSpPr>
      <xdr:sp macro="" textlink="">
        <xdr:nvSpPr>
          <xdr:cNvPr id="5835" name="Line 5">
            <a:extLst>
              <a:ext uri="{FF2B5EF4-FFF2-40B4-BE49-F238E27FC236}">
                <a16:creationId xmlns:a16="http://schemas.microsoft.com/office/drawing/2014/main" id="{BCB1458D-07FE-41FB-9673-1B9F681F2CB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36" name="Line 6">
            <a:extLst>
              <a:ext uri="{FF2B5EF4-FFF2-40B4-BE49-F238E27FC236}">
                <a16:creationId xmlns:a16="http://schemas.microsoft.com/office/drawing/2014/main" id="{7B65CDAF-72DE-4481-95B2-4B96EFAEF58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37" name="Line 7">
            <a:extLst>
              <a:ext uri="{FF2B5EF4-FFF2-40B4-BE49-F238E27FC236}">
                <a16:creationId xmlns:a16="http://schemas.microsoft.com/office/drawing/2014/main" id="{3659E0FC-580D-4299-BEFB-2C998957D63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38" name="Line 8">
            <a:extLst>
              <a:ext uri="{FF2B5EF4-FFF2-40B4-BE49-F238E27FC236}">
                <a16:creationId xmlns:a16="http://schemas.microsoft.com/office/drawing/2014/main" id="{44207C80-FC12-4732-8693-39BD5D05961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14</xdr:row>
      <xdr:rowOff>95250</xdr:rowOff>
    </xdr:from>
    <xdr:to>
      <xdr:col>18</xdr:col>
      <xdr:colOff>9525</xdr:colOff>
      <xdr:row>14</xdr:row>
      <xdr:rowOff>142875</xdr:rowOff>
    </xdr:to>
    <xdr:grpSp>
      <xdr:nvGrpSpPr>
        <xdr:cNvPr id="5698" name="Group 9">
          <a:extLst>
            <a:ext uri="{FF2B5EF4-FFF2-40B4-BE49-F238E27FC236}">
              <a16:creationId xmlns:a16="http://schemas.microsoft.com/office/drawing/2014/main" id="{E2DDF98F-7311-4033-B834-21242C111980}"/>
            </a:ext>
          </a:extLst>
        </xdr:cNvPr>
        <xdr:cNvGrpSpPr>
          <a:grpSpLocks/>
        </xdr:cNvGrpSpPr>
      </xdr:nvGrpSpPr>
      <xdr:grpSpPr bwMode="auto">
        <a:xfrm>
          <a:off x="1466850" y="6334125"/>
          <a:ext cx="3324225" cy="47625"/>
          <a:chOff x="158" y="715"/>
          <a:chExt cx="33" cy="5"/>
        </a:xfrm>
      </xdr:grpSpPr>
      <xdr:sp macro="" textlink="">
        <xdr:nvSpPr>
          <xdr:cNvPr id="5833" name="Line 10">
            <a:extLst>
              <a:ext uri="{FF2B5EF4-FFF2-40B4-BE49-F238E27FC236}">
                <a16:creationId xmlns:a16="http://schemas.microsoft.com/office/drawing/2014/main" id="{61114440-A620-4948-B364-CF4A929CE51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34" name="Line 11">
            <a:extLst>
              <a:ext uri="{FF2B5EF4-FFF2-40B4-BE49-F238E27FC236}">
                <a16:creationId xmlns:a16="http://schemas.microsoft.com/office/drawing/2014/main" id="{625ACA90-110C-4DCF-AD17-25F8F6E102A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15</xdr:row>
      <xdr:rowOff>114300</xdr:rowOff>
    </xdr:from>
    <xdr:to>
      <xdr:col>7</xdr:col>
      <xdr:colOff>0</xdr:colOff>
      <xdr:row>15</xdr:row>
      <xdr:rowOff>114300</xdr:rowOff>
    </xdr:to>
    <xdr:sp macro="" textlink="">
      <xdr:nvSpPr>
        <xdr:cNvPr id="5699" name="Line 12">
          <a:extLst>
            <a:ext uri="{FF2B5EF4-FFF2-40B4-BE49-F238E27FC236}">
              <a16:creationId xmlns:a16="http://schemas.microsoft.com/office/drawing/2014/main" id="{B4825ADC-4716-4483-9E8B-2842EA7B20D3}"/>
            </a:ext>
          </a:extLst>
        </xdr:cNvPr>
        <xdr:cNvSpPr>
          <a:spLocks noChangeShapeType="1"/>
        </xdr:cNvSpPr>
      </xdr:nvSpPr>
      <xdr:spPr bwMode="auto">
        <a:xfrm>
          <a:off x="876300" y="6581775"/>
          <a:ext cx="8667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15</xdr:row>
      <xdr:rowOff>95250</xdr:rowOff>
    </xdr:from>
    <xdr:to>
      <xdr:col>17</xdr:col>
      <xdr:colOff>304800</xdr:colOff>
      <xdr:row>15</xdr:row>
      <xdr:rowOff>142875</xdr:rowOff>
    </xdr:to>
    <xdr:grpSp>
      <xdr:nvGrpSpPr>
        <xdr:cNvPr id="5700" name="Group 13">
          <a:extLst>
            <a:ext uri="{FF2B5EF4-FFF2-40B4-BE49-F238E27FC236}">
              <a16:creationId xmlns:a16="http://schemas.microsoft.com/office/drawing/2014/main" id="{8D570494-B1C2-4B04-A6B1-5DB88A39FF77}"/>
            </a:ext>
          </a:extLst>
        </xdr:cNvPr>
        <xdr:cNvGrpSpPr>
          <a:grpSpLocks/>
        </xdr:cNvGrpSpPr>
      </xdr:nvGrpSpPr>
      <xdr:grpSpPr bwMode="auto">
        <a:xfrm>
          <a:off x="2571750" y="6562725"/>
          <a:ext cx="2209800" cy="47625"/>
          <a:chOff x="158" y="715"/>
          <a:chExt cx="33" cy="5"/>
        </a:xfrm>
      </xdr:grpSpPr>
      <xdr:sp macro="" textlink="">
        <xdr:nvSpPr>
          <xdr:cNvPr id="5831" name="Line 14">
            <a:extLst>
              <a:ext uri="{FF2B5EF4-FFF2-40B4-BE49-F238E27FC236}">
                <a16:creationId xmlns:a16="http://schemas.microsoft.com/office/drawing/2014/main" id="{F80CFB8D-5AE2-45BA-AE58-2AA27E942A8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32" name="Line 15">
            <a:extLst>
              <a:ext uri="{FF2B5EF4-FFF2-40B4-BE49-F238E27FC236}">
                <a16:creationId xmlns:a16="http://schemas.microsoft.com/office/drawing/2014/main" id="{634585A6-F92E-4706-884F-D900D28D612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15</xdr:row>
      <xdr:rowOff>47625</xdr:rowOff>
    </xdr:from>
    <xdr:to>
      <xdr:col>10</xdr:col>
      <xdr:colOff>0</xdr:colOff>
      <xdr:row>15</xdr:row>
      <xdr:rowOff>190500</xdr:rowOff>
    </xdr:to>
    <xdr:sp macro="" textlink="">
      <xdr:nvSpPr>
        <xdr:cNvPr id="5701" name="Freeform 16">
          <a:extLst>
            <a:ext uri="{FF2B5EF4-FFF2-40B4-BE49-F238E27FC236}">
              <a16:creationId xmlns:a16="http://schemas.microsoft.com/office/drawing/2014/main" id="{FD2B2AAF-DD19-40E4-B0C4-85F37238CFE5}"/>
            </a:ext>
          </a:extLst>
        </xdr:cNvPr>
        <xdr:cNvSpPr>
          <a:spLocks/>
        </xdr:cNvSpPr>
      </xdr:nvSpPr>
      <xdr:spPr bwMode="auto">
        <a:xfrm>
          <a:off x="2305050" y="6515100"/>
          <a:ext cx="266700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95250</xdr:rowOff>
    </xdr:from>
    <xdr:to>
      <xdr:col>9</xdr:col>
      <xdr:colOff>0</xdr:colOff>
      <xdr:row>15</xdr:row>
      <xdr:rowOff>142875</xdr:rowOff>
    </xdr:to>
    <xdr:grpSp>
      <xdr:nvGrpSpPr>
        <xdr:cNvPr id="5702" name="Group 17">
          <a:extLst>
            <a:ext uri="{FF2B5EF4-FFF2-40B4-BE49-F238E27FC236}">
              <a16:creationId xmlns:a16="http://schemas.microsoft.com/office/drawing/2014/main" id="{FD808D1B-8569-40EB-8803-8B24ADFAEB79}"/>
            </a:ext>
          </a:extLst>
        </xdr:cNvPr>
        <xdr:cNvGrpSpPr>
          <a:grpSpLocks/>
        </xdr:cNvGrpSpPr>
      </xdr:nvGrpSpPr>
      <xdr:grpSpPr bwMode="auto">
        <a:xfrm>
          <a:off x="2019300" y="6562725"/>
          <a:ext cx="276225" cy="47625"/>
          <a:chOff x="158" y="715"/>
          <a:chExt cx="33" cy="5"/>
        </a:xfrm>
      </xdr:grpSpPr>
      <xdr:sp macro="" textlink="">
        <xdr:nvSpPr>
          <xdr:cNvPr id="5829" name="Line 18">
            <a:extLst>
              <a:ext uri="{FF2B5EF4-FFF2-40B4-BE49-F238E27FC236}">
                <a16:creationId xmlns:a16="http://schemas.microsoft.com/office/drawing/2014/main" id="{72870F74-68A9-422C-9457-2344FF29AEA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30" name="Line 19">
            <a:extLst>
              <a:ext uri="{FF2B5EF4-FFF2-40B4-BE49-F238E27FC236}">
                <a16:creationId xmlns:a16="http://schemas.microsoft.com/office/drawing/2014/main" id="{455E64EA-B3F6-44D1-8E31-1085229DCFF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123825</xdr:colOff>
      <xdr:row>13</xdr:row>
      <xdr:rowOff>266700</xdr:rowOff>
    </xdr:from>
    <xdr:to>
      <xdr:col>14</xdr:col>
      <xdr:colOff>114300</xdr:colOff>
      <xdr:row>13</xdr:row>
      <xdr:rowOff>1276350</xdr:rowOff>
    </xdr:to>
    <xdr:grpSp>
      <xdr:nvGrpSpPr>
        <xdr:cNvPr id="5703" name="Group 48">
          <a:extLst>
            <a:ext uri="{FF2B5EF4-FFF2-40B4-BE49-F238E27FC236}">
              <a16:creationId xmlns:a16="http://schemas.microsoft.com/office/drawing/2014/main" id="{0EC49543-8915-4F1F-8A3E-4AD0214DF772}"/>
            </a:ext>
          </a:extLst>
        </xdr:cNvPr>
        <xdr:cNvGrpSpPr>
          <a:grpSpLocks/>
        </xdr:cNvGrpSpPr>
      </xdr:nvGrpSpPr>
      <xdr:grpSpPr bwMode="auto">
        <a:xfrm>
          <a:off x="2971800" y="4924425"/>
          <a:ext cx="819150" cy="1009650"/>
          <a:chOff x="336" y="565"/>
          <a:chExt cx="105" cy="106"/>
        </a:xfrm>
      </xdr:grpSpPr>
      <xdr:grpSp>
        <xdr:nvGrpSpPr>
          <xdr:cNvPr id="5803" name="Group 49">
            <a:extLst>
              <a:ext uri="{FF2B5EF4-FFF2-40B4-BE49-F238E27FC236}">
                <a16:creationId xmlns:a16="http://schemas.microsoft.com/office/drawing/2014/main" id="{986D0C91-167C-4F43-8E01-2968588EA867}"/>
              </a:ext>
            </a:extLst>
          </xdr:cNvPr>
          <xdr:cNvGrpSpPr>
            <a:grpSpLocks/>
          </xdr:cNvGrpSpPr>
        </xdr:nvGrpSpPr>
        <xdr:grpSpPr bwMode="auto">
          <a:xfrm rot="5400000">
            <a:off x="300" y="615"/>
            <a:ext cx="77" cy="6"/>
            <a:chOff x="123" y="549"/>
            <a:chExt cx="77" cy="6"/>
          </a:xfrm>
        </xdr:grpSpPr>
        <xdr:sp macro="" textlink="">
          <xdr:nvSpPr>
            <xdr:cNvPr id="5826" name="Line 50">
              <a:extLst>
                <a:ext uri="{FF2B5EF4-FFF2-40B4-BE49-F238E27FC236}">
                  <a16:creationId xmlns:a16="http://schemas.microsoft.com/office/drawing/2014/main" id="{A8F62475-6C6F-4ADA-A33C-340E06BFD91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27" name="Freeform 51">
              <a:extLst>
                <a:ext uri="{FF2B5EF4-FFF2-40B4-BE49-F238E27FC236}">
                  <a16:creationId xmlns:a16="http://schemas.microsoft.com/office/drawing/2014/main" id="{D3A8BDD1-5FBA-496C-B1CE-5D0D1AD41108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28" name="Freeform 52">
              <a:extLst>
                <a:ext uri="{FF2B5EF4-FFF2-40B4-BE49-F238E27FC236}">
                  <a16:creationId xmlns:a16="http://schemas.microsoft.com/office/drawing/2014/main" id="{5FC3740A-475E-44D7-AD87-88823A8C4971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2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804" name="Group 53">
            <a:extLst>
              <a:ext uri="{FF2B5EF4-FFF2-40B4-BE49-F238E27FC236}">
                <a16:creationId xmlns:a16="http://schemas.microsoft.com/office/drawing/2014/main" id="{5CF78B6E-28F3-4A07-A236-B8E5C12251E0}"/>
              </a:ext>
            </a:extLst>
          </xdr:cNvPr>
          <xdr:cNvGrpSpPr>
            <a:grpSpLocks/>
          </xdr:cNvGrpSpPr>
        </xdr:nvGrpSpPr>
        <xdr:grpSpPr bwMode="auto">
          <a:xfrm rot="-5400000">
            <a:off x="319" y="602"/>
            <a:ext cx="105" cy="32"/>
            <a:chOff x="110" y="567"/>
            <a:chExt cx="105" cy="32"/>
          </a:xfrm>
        </xdr:grpSpPr>
        <xdr:sp macro="" textlink="">
          <xdr:nvSpPr>
            <xdr:cNvPr id="5818" name="Line 54">
              <a:extLst>
                <a:ext uri="{FF2B5EF4-FFF2-40B4-BE49-F238E27FC236}">
                  <a16:creationId xmlns:a16="http://schemas.microsoft.com/office/drawing/2014/main" id="{25C66ACE-54A9-4B61-9446-4ACD7A26141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19" name="Freeform 55">
              <a:extLst>
                <a:ext uri="{FF2B5EF4-FFF2-40B4-BE49-F238E27FC236}">
                  <a16:creationId xmlns:a16="http://schemas.microsoft.com/office/drawing/2014/main" id="{CF3859AC-FFD7-45B9-9C53-BCDCC8FA0863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20" name="Freeform 56">
              <a:extLst>
                <a:ext uri="{FF2B5EF4-FFF2-40B4-BE49-F238E27FC236}">
                  <a16:creationId xmlns:a16="http://schemas.microsoft.com/office/drawing/2014/main" id="{DE639BE1-3E12-4795-9F0A-6FB875ADCDCC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0 w 203"/>
                <a:gd name="T1" fmla="*/ 0 h 199"/>
                <a:gd name="T2" fmla="*/ 0 w 203"/>
                <a:gd name="T3" fmla="*/ 0 h 199"/>
                <a:gd name="T4" fmla="*/ 0 w 203"/>
                <a:gd name="T5" fmla="*/ 0 h 199"/>
                <a:gd name="T6" fmla="*/ 0 w 203"/>
                <a:gd name="T7" fmla="*/ 0 h 199"/>
                <a:gd name="T8" fmla="*/ 0 w 203"/>
                <a:gd name="T9" fmla="*/ 0 h 199"/>
                <a:gd name="T10" fmla="*/ 0 w 203"/>
                <a:gd name="T11" fmla="*/ 0 h 199"/>
                <a:gd name="T12" fmla="*/ 0 w 203"/>
                <a:gd name="T13" fmla="*/ 0 h 199"/>
                <a:gd name="T14" fmla="*/ 0 w 203"/>
                <a:gd name="T15" fmla="*/ 0 h 199"/>
                <a:gd name="T16" fmla="*/ 0 w 203"/>
                <a:gd name="T17" fmla="*/ 0 h 199"/>
                <a:gd name="T18" fmla="*/ 0 w 203"/>
                <a:gd name="T19" fmla="*/ 0 h 199"/>
                <a:gd name="T20" fmla="*/ 0 w 203"/>
                <a:gd name="T21" fmla="*/ 0 h 199"/>
                <a:gd name="T22" fmla="*/ 0 w 203"/>
                <a:gd name="T23" fmla="*/ 0 h 199"/>
                <a:gd name="T24" fmla="*/ 0 w 203"/>
                <a:gd name="T25" fmla="*/ 0 h 199"/>
                <a:gd name="T26" fmla="*/ 0 w 203"/>
                <a:gd name="T27" fmla="*/ 0 h 199"/>
                <a:gd name="T28" fmla="*/ 0 w 203"/>
                <a:gd name="T29" fmla="*/ 0 h 199"/>
                <a:gd name="T30" fmla="*/ 0 w 203"/>
                <a:gd name="T31" fmla="*/ 0 h 199"/>
                <a:gd name="T32" fmla="*/ 0 w 203"/>
                <a:gd name="T33" fmla="*/ 0 h 199"/>
                <a:gd name="T34" fmla="*/ 0 w 203"/>
                <a:gd name="T35" fmla="*/ 0 h 199"/>
                <a:gd name="T36" fmla="*/ 0 w 203"/>
                <a:gd name="T37" fmla="*/ 0 h 199"/>
                <a:gd name="T38" fmla="*/ 0 w 203"/>
                <a:gd name="T39" fmla="*/ 0 h 199"/>
                <a:gd name="T40" fmla="*/ 0 w 203"/>
                <a:gd name="T41" fmla="*/ 0 h 199"/>
                <a:gd name="T42" fmla="*/ 0 w 203"/>
                <a:gd name="T43" fmla="*/ 0 h 199"/>
                <a:gd name="T44" fmla="*/ 0 w 203"/>
                <a:gd name="T45" fmla="*/ 0 h 199"/>
                <a:gd name="T46" fmla="*/ 0 w 203"/>
                <a:gd name="T47" fmla="*/ 0 h 199"/>
                <a:gd name="T48" fmla="*/ 0 w 203"/>
                <a:gd name="T49" fmla="*/ 0 h 199"/>
                <a:gd name="T50" fmla="*/ 0 w 203"/>
                <a:gd name="T51" fmla="*/ 0 h 199"/>
                <a:gd name="T52" fmla="*/ 0 w 203"/>
                <a:gd name="T53" fmla="*/ 0 h 199"/>
                <a:gd name="T54" fmla="*/ 0 w 203"/>
                <a:gd name="T55" fmla="*/ 0 h 199"/>
                <a:gd name="T56" fmla="*/ 0 w 203"/>
                <a:gd name="T57" fmla="*/ 0 h 199"/>
                <a:gd name="T58" fmla="*/ 0 w 203"/>
                <a:gd name="T59" fmla="*/ 0 h 199"/>
                <a:gd name="T60" fmla="*/ 0 w 203"/>
                <a:gd name="T61" fmla="*/ 0 h 199"/>
                <a:gd name="T62" fmla="*/ 0 w 203"/>
                <a:gd name="T63" fmla="*/ 0 h 199"/>
                <a:gd name="T64" fmla="*/ 0 w 203"/>
                <a:gd name="T65" fmla="*/ 0 h 199"/>
                <a:gd name="T66" fmla="*/ 0 w 203"/>
                <a:gd name="T67" fmla="*/ 0 h 199"/>
                <a:gd name="T68" fmla="*/ 0 w 203"/>
                <a:gd name="T69" fmla="*/ 0 h 199"/>
                <a:gd name="T70" fmla="*/ 0 w 203"/>
                <a:gd name="T71" fmla="*/ 0 h 199"/>
                <a:gd name="T72" fmla="*/ 0 w 203"/>
                <a:gd name="T73" fmla="*/ 0 h 199"/>
                <a:gd name="T74" fmla="*/ 0 w 203"/>
                <a:gd name="T75" fmla="*/ 0 h 199"/>
                <a:gd name="T76" fmla="*/ 0 w 203"/>
                <a:gd name="T77" fmla="*/ 0 h 199"/>
                <a:gd name="T78" fmla="*/ 0 w 203"/>
                <a:gd name="T79" fmla="*/ 0 h 199"/>
                <a:gd name="T80" fmla="*/ 0 w 203"/>
                <a:gd name="T81" fmla="*/ 0 h 199"/>
                <a:gd name="T82" fmla="*/ 0 w 203"/>
                <a:gd name="T83" fmla="*/ 0 h 199"/>
                <a:gd name="T84" fmla="*/ 0 w 203"/>
                <a:gd name="T85" fmla="*/ 0 h 199"/>
                <a:gd name="T86" fmla="*/ 0 w 203"/>
                <a:gd name="T87" fmla="*/ 0 h 199"/>
                <a:gd name="T88" fmla="*/ 0 w 203"/>
                <a:gd name="T89" fmla="*/ 0 h 199"/>
                <a:gd name="T90" fmla="*/ 0 w 203"/>
                <a:gd name="T91" fmla="*/ 0 h 199"/>
                <a:gd name="T92" fmla="*/ 0 w 203"/>
                <a:gd name="T93" fmla="*/ 0 h 199"/>
                <a:gd name="T94" fmla="*/ 0 w 203"/>
                <a:gd name="T95" fmla="*/ 0 h 199"/>
                <a:gd name="T96" fmla="*/ 0 w 203"/>
                <a:gd name="T97" fmla="*/ 0 h 199"/>
                <a:gd name="T98" fmla="*/ 0 w 203"/>
                <a:gd name="T99" fmla="*/ 0 h 199"/>
                <a:gd name="T100" fmla="*/ 0 w 203"/>
                <a:gd name="T101" fmla="*/ 0 h 199"/>
                <a:gd name="T102" fmla="*/ 0 w 203"/>
                <a:gd name="T103" fmla="*/ 0 h 199"/>
                <a:gd name="T104" fmla="*/ 0 w 203"/>
                <a:gd name="T105" fmla="*/ 0 h 199"/>
                <a:gd name="T106" fmla="*/ 0 w 203"/>
                <a:gd name="T107" fmla="*/ 0 h 199"/>
                <a:gd name="T108" fmla="*/ 0 w 203"/>
                <a:gd name="T109" fmla="*/ 0 h 199"/>
                <a:gd name="T110" fmla="*/ 0 w 203"/>
                <a:gd name="T111" fmla="*/ 0 h 199"/>
                <a:gd name="T112" fmla="*/ 0 w 203"/>
                <a:gd name="T113" fmla="*/ 0 h 199"/>
                <a:gd name="T114" fmla="*/ 0 w 203"/>
                <a:gd name="T115" fmla="*/ 0 h 199"/>
                <a:gd name="T116" fmla="*/ 0 w 203"/>
                <a:gd name="T117" fmla="*/ 0 h 199"/>
                <a:gd name="T118" fmla="*/ 0 w 203"/>
                <a:gd name="T119" fmla="*/ 0 h 199"/>
                <a:gd name="T120" fmla="*/ 0 w 203"/>
                <a:gd name="T121" fmla="*/ 0 h 199"/>
                <a:gd name="T122" fmla="*/ 0 w 20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21" name="Line 57">
              <a:extLst>
                <a:ext uri="{FF2B5EF4-FFF2-40B4-BE49-F238E27FC236}">
                  <a16:creationId xmlns:a16="http://schemas.microsoft.com/office/drawing/2014/main" id="{3C777475-1CB3-46D2-BAD3-783BA94E6AE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22" name="Freeform 58">
              <a:extLst>
                <a:ext uri="{FF2B5EF4-FFF2-40B4-BE49-F238E27FC236}">
                  <a16:creationId xmlns:a16="http://schemas.microsoft.com/office/drawing/2014/main" id="{2CBE0007-8470-432A-AC7C-61DD9DF3AC96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0 w 207"/>
                <a:gd name="T1" fmla="*/ 0 h 176"/>
                <a:gd name="T2" fmla="*/ 0 w 207"/>
                <a:gd name="T3" fmla="*/ 0 h 176"/>
                <a:gd name="T4" fmla="*/ 0 w 207"/>
                <a:gd name="T5" fmla="*/ 0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23" name="Freeform 59">
              <a:extLst>
                <a:ext uri="{FF2B5EF4-FFF2-40B4-BE49-F238E27FC236}">
                  <a16:creationId xmlns:a16="http://schemas.microsoft.com/office/drawing/2014/main" id="{45B10A0E-3006-4E4D-ADCE-CB8DB4E18FE1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0 w 201"/>
                <a:gd name="T5" fmla="*/ 0 h 202"/>
                <a:gd name="T6" fmla="*/ 0 w 201"/>
                <a:gd name="T7" fmla="*/ 0 h 202"/>
                <a:gd name="T8" fmla="*/ 0 w 201"/>
                <a:gd name="T9" fmla="*/ 0 h 202"/>
                <a:gd name="T10" fmla="*/ 0 w 201"/>
                <a:gd name="T11" fmla="*/ 0 h 202"/>
                <a:gd name="T12" fmla="*/ 0 w 201"/>
                <a:gd name="T13" fmla="*/ 0 h 202"/>
                <a:gd name="T14" fmla="*/ 0 w 201"/>
                <a:gd name="T15" fmla="*/ 0 h 202"/>
                <a:gd name="T16" fmla="*/ 0 w 201"/>
                <a:gd name="T17" fmla="*/ 0 h 202"/>
                <a:gd name="T18" fmla="*/ 0 w 201"/>
                <a:gd name="T19" fmla="*/ 0 h 202"/>
                <a:gd name="T20" fmla="*/ 0 w 201"/>
                <a:gd name="T21" fmla="*/ 0 h 202"/>
                <a:gd name="T22" fmla="*/ 0 w 201"/>
                <a:gd name="T23" fmla="*/ 0 h 202"/>
                <a:gd name="T24" fmla="*/ 0 w 201"/>
                <a:gd name="T25" fmla="*/ 0 h 202"/>
                <a:gd name="T26" fmla="*/ 0 w 201"/>
                <a:gd name="T27" fmla="*/ 0 h 202"/>
                <a:gd name="T28" fmla="*/ 0 w 201"/>
                <a:gd name="T29" fmla="*/ 0 h 202"/>
                <a:gd name="T30" fmla="*/ 0 w 201"/>
                <a:gd name="T31" fmla="*/ 0 h 202"/>
                <a:gd name="T32" fmla="*/ 0 w 201"/>
                <a:gd name="T33" fmla="*/ 0 h 202"/>
                <a:gd name="T34" fmla="*/ 0 w 201"/>
                <a:gd name="T35" fmla="*/ 0 h 202"/>
                <a:gd name="T36" fmla="*/ 0 w 201"/>
                <a:gd name="T37" fmla="*/ 0 h 202"/>
                <a:gd name="T38" fmla="*/ 0 w 201"/>
                <a:gd name="T39" fmla="*/ 0 h 202"/>
                <a:gd name="T40" fmla="*/ 0 w 201"/>
                <a:gd name="T41" fmla="*/ 0 h 202"/>
                <a:gd name="T42" fmla="*/ 0 w 201"/>
                <a:gd name="T43" fmla="*/ 0 h 202"/>
                <a:gd name="T44" fmla="*/ 0 w 201"/>
                <a:gd name="T45" fmla="*/ 0 h 202"/>
                <a:gd name="T46" fmla="*/ 0 w 201"/>
                <a:gd name="T47" fmla="*/ 0 h 202"/>
                <a:gd name="T48" fmla="*/ 0 w 201"/>
                <a:gd name="T49" fmla="*/ 0 h 202"/>
                <a:gd name="T50" fmla="*/ 0 w 201"/>
                <a:gd name="T51" fmla="*/ 0 h 202"/>
                <a:gd name="T52" fmla="*/ 0 w 201"/>
                <a:gd name="T53" fmla="*/ 0 h 202"/>
                <a:gd name="T54" fmla="*/ 0 w 201"/>
                <a:gd name="T55" fmla="*/ 0 h 202"/>
                <a:gd name="T56" fmla="*/ 0 w 201"/>
                <a:gd name="T57" fmla="*/ 0 h 202"/>
                <a:gd name="T58" fmla="*/ 0 w 201"/>
                <a:gd name="T59" fmla="*/ 0 h 202"/>
                <a:gd name="T60" fmla="*/ 0 w 201"/>
                <a:gd name="T61" fmla="*/ 0 h 202"/>
                <a:gd name="T62" fmla="*/ 0 w 201"/>
                <a:gd name="T63" fmla="*/ 0 h 202"/>
                <a:gd name="T64" fmla="*/ 0 w 201"/>
                <a:gd name="T65" fmla="*/ 0 h 202"/>
                <a:gd name="T66" fmla="*/ 0 w 201"/>
                <a:gd name="T67" fmla="*/ 0 h 202"/>
                <a:gd name="T68" fmla="*/ 0 w 201"/>
                <a:gd name="T69" fmla="*/ 0 h 202"/>
                <a:gd name="T70" fmla="*/ 0 w 201"/>
                <a:gd name="T71" fmla="*/ 0 h 202"/>
                <a:gd name="T72" fmla="*/ 0 w 201"/>
                <a:gd name="T73" fmla="*/ 0 h 202"/>
                <a:gd name="T74" fmla="*/ 0 w 201"/>
                <a:gd name="T75" fmla="*/ 0 h 202"/>
                <a:gd name="T76" fmla="*/ 0 w 201"/>
                <a:gd name="T77" fmla="*/ 0 h 202"/>
                <a:gd name="T78" fmla="*/ 0 w 201"/>
                <a:gd name="T79" fmla="*/ 0 h 202"/>
                <a:gd name="T80" fmla="*/ 0 w 201"/>
                <a:gd name="T81" fmla="*/ 0 h 202"/>
                <a:gd name="T82" fmla="*/ 0 w 201"/>
                <a:gd name="T83" fmla="*/ 0 h 202"/>
                <a:gd name="T84" fmla="*/ 0 w 201"/>
                <a:gd name="T85" fmla="*/ 0 h 202"/>
                <a:gd name="T86" fmla="*/ 0 w 201"/>
                <a:gd name="T87" fmla="*/ 0 h 202"/>
                <a:gd name="T88" fmla="*/ 0 w 201"/>
                <a:gd name="T89" fmla="*/ 0 h 202"/>
                <a:gd name="T90" fmla="*/ 0 w 201"/>
                <a:gd name="T91" fmla="*/ 0 h 202"/>
                <a:gd name="T92" fmla="*/ 0 w 201"/>
                <a:gd name="T93" fmla="*/ 0 h 202"/>
                <a:gd name="T94" fmla="*/ 0 w 201"/>
                <a:gd name="T95" fmla="*/ 0 h 202"/>
                <a:gd name="T96" fmla="*/ 0 w 201"/>
                <a:gd name="T97" fmla="*/ 0 h 202"/>
                <a:gd name="T98" fmla="*/ 0 w 201"/>
                <a:gd name="T99" fmla="*/ 0 h 202"/>
                <a:gd name="T100" fmla="*/ 0 w 201"/>
                <a:gd name="T101" fmla="*/ 0 h 202"/>
                <a:gd name="T102" fmla="*/ 0 w 201"/>
                <a:gd name="T103" fmla="*/ 0 h 202"/>
                <a:gd name="T104" fmla="*/ 0 w 201"/>
                <a:gd name="T105" fmla="*/ 0 h 202"/>
                <a:gd name="T106" fmla="*/ 0 w 201"/>
                <a:gd name="T107" fmla="*/ 0 h 202"/>
                <a:gd name="T108" fmla="*/ 0 w 201"/>
                <a:gd name="T109" fmla="*/ 0 h 202"/>
                <a:gd name="T110" fmla="*/ 0 w 201"/>
                <a:gd name="T111" fmla="*/ 0 h 202"/>
                <a:gd name="T112" fmla="*/ 0 w 201"/>
                <a:gd name="T113" fmla="*/ 0 h 202"/>
                <a:gd name="T114" fmla="*/ 0 w 201"/>
                <a:gd name="T115" fmla="*/ 0 h 202"/>
                <a:gd name="T116" fmla="*/ 0 w 201"/>
                <a:gd name="T117" fmla="*/ 0 h 202"/>
                <a:gd name="T118" fmla="*/ 0 w 201"/>
                <a:gd name="T119" fmla="*/ 0 h 202"/>
                <a:gd name="T120" fmla="*/ 0 w 201"/>
                <a:gd name="T121" fmla="*/ 0 h 202"/>
                <a:gd name="T122" fmla="*/ 0 w 201"/>
                <a:gd name="T123" fmla="*/ 0 h 202"/>
                <a:gd name="T124" fmla="*/ 0 w 201"/>
                <a:gd name="T125" fmla="*/ 0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24" name="Line 60">
              <a:extLst>
                <a:ext uri="{FF2B5EF4-FFF2-40B4-BE49-F238E27FC236}">
                  <a16:creationId xmlns:a16="http://schemas.microsoft.com/office/drawing/2014/main" id="{19E9863D-80DB-45B3-9815-3A047B2B9BC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25" name="Freeform 61">
              <a:extLst>
                <a:ext uri="{FF2B5EF4-FFF2-40B4-BE49-F238E27FC236}">
                  <a16:creationId xmlns:a16="http://schemas.microsoft.com/office/drawing/2014/main" id="{5BB4DC26-EE6B-409D-94A8-3FE8AA74F66C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0 w 208"/>
                <a:gd name="T1" fmla="*/ 0 h 177"/>
                <a:gd name="T2" fmla="*/ 0 w 208"/>
                <a:gd name="T3" fmla="*/ 0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805" name="Group 62">
            <a:extLst>
              <a:ext uri="{FF2B5EF4-FFF2-40B4-BE49-F238E27FC236}">
                <a16:creationId xmlns:a16="http://schemas.microsoft.com/office/drawing/2014/main" id="{FCD79BA9-4BA7-400F-84FF-A83341951B0B}"/>
              </a:ext>
            </a:extLst>
          </xdr:cNvPr>
          <xdr:cNvGrpSpPr>
            <a:grpSpLocks/>
          </xdr:cNvGrpSpPr>
        </xdr:nvGrpSpPr>
        <xdr:grpSpPr bwMode="auto">
          <a:xfrm rot="5400000">
            <a:off x="399" y="613"/>
            <a:ext cx="77" cy="6"/>
            <a:chOff x="123" y="549"/>
            <a:chExt cx="77" cy="6"/>
          </a:xfrm>
        </xdr:grpSpPr>
        <xdr:sp macro="" textlink="">
          <xdr:nvSpPr>
            <xdr:cNvPr id="5815" name="Line 63">
              <a:extLst>
                <a:ext uri="{FF2B5EF4-FFF2-40B4-BE49-F238E27FC236}">
                  <a16:creationId xmlns:a16="http://schemas.microsoft.com/office/drawing/2014/main" id="{DAFE1EE6-3E32-49EE-AF7D-B11C00E6354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16" name="Freeform 64">
              <a:extLst>
                <a:ext uri="{FF2B5EF4-FFF2-40B4-BE49-F238E27FC236}">
                  <a16:creationId xmlns:a16="http://schemas.microsoft.com/office/drawing/2014/main" id="{A5FEBD69-4CC9-43CE-BA3D-F0BE73E70F88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17" name="Freeform 65">
              <a:extLst>
                <a:ext uri="{FF2B5EF4-FFF2-40B4-BE49-F238E27FC236}">
                  <a16:creationId xmlns:a16="http://schemas.microsoft.com/office/drawing/2014/main" id="{FF66FE8A-6738-49D8-9685-89177AFDA3C7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2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806" name="Group 66">
            <a:extLst>
              <a:ext uri="{FF2B5EF4-FFF2-40B4-BE49-F238E27FC236}">
                <a16:creationId xmlns:a16="http://schemas.microsoft.com/office/drawing/2014/main" id="{8713435B-EEA5-4D30-9983-BE45B044A76E}"/>
              </a:ext>
            </a:extLst>
          </xdr:cNvPr>
          <xdr:cNvGrpSpPr>
            <a:grpSpLocks/>
          </xdr:cNvGrpSpPr>
        </xdr:nvGrpSpPr>
        <xdr:grpSpPr bwMode="auto">
          <a:xfrm rot="5400000">
            <a:off x="355" y="603"/>
            <a:ext cx="105" cy="32"/>
            <a:chOff x="110" y="567"/>
            <a:chExt cx="105" cy="32"/>
          </a:xfrm>
        </xdr:grpSpPr>
        <xdr:sp macro="" textlink="">
          <xdr:nvSpPr>
            <xdr:cNvPr id="5807" name="Line 67">
              <a:extLst>
                <a:ext uri="{FF2B5EF4-FFF2-40B4-BE49-F238E27FC236}">
                  <a16:creationId xmlns:a16="http://schemas.microsoft.com/office/drawing/2014/main" id="{8F7DDF6B-E0F1-44B7-98B0-675DF700997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08" name="Freeform 68">
              <a:extLst>
                <a:ext uri="{FF2B5EF4-FFF2-40B4-BE49-F238E27FC236}">
                  <a16:creationId xmlns:a16="http://schemas.microsoft.com/office/drawing/2014/main" id="{406F83DB-98FE-4ED2-835D-3D6D967545CA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09" name="Freeform 69">
              <a:extLst>
                <a:ext uri="{FF2B5EF4-FFF2-40B4-BE49-F238E27FC236}">
                  <a16:creationId xmlns:a16="http://schemas.microsoft.com/office/drawing/2014/main" id="{DC117C78-21B0-4F12-91C5-DBCC185F3999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0 w 203"/>
                <a:gd name="T1" fmla="*/ 0 h 199"/>
                <a:gd name="T2" fmla="*/ 0 w 203"/>
                <a:gd name="T3" fmla="*/ 0 h 199"/>
                <a:gd name="T4" fmla="*/ 0 w 203"/>
                <a:gd name="T5" fmla="*/ 0 h 199"/>
                <a:gd name="T6" fmla="*/ 0 w 203"/>
                <a:gd name="T7" fmla="*/ 0 h 199"/>
                <a:gd name="T8" fmla="*/ 0 w 203"/>
                <a:gd name="T9" fmla="*/ 0 h 199"/>
                <a:gd name="T10" fmla="*/ 0 w 203"/>
                <a:gd name="T11" fmla="*/ 0 h 199"/>
                <a:gd name="T12" fmla="*/ 0 w 203"/>
                <a:gd name="T13" fmla="*/ 0 h 199"/>
                <a:gd name="T14" fmla="*/ 0 w 203"/>
                <a:gd name="T15" fmla="*/ 0 h 199"/>
                <a:gd name="T16" fmla="*/ 0 w 203"/>
                <a:gd name="T17" fmla="*/ 0 h 199"/>
                <a:gd name="T18" fmla="*/ 0 w 203"/>
                <a:gd name="T19" fmla="*/ 0 h 199"/>
                <a:gd name="T20" fmla="*/ 0 w 203"/>
                <a:gd name="T21" fmla="*/ 0 h 199"/>
                <a:gd name="T22" fmla="*/ 0 w 203"/>
                <a:gd name="T23" fmla="*/ 0 h 199"/>
                <a:gd name="T24" fmla="*/ 0 w 203"/>
                <a:gd name="T25" fmla="*/ 0 h 199"/>
                <a:gd name="T26" fmla="*/ 0 w 203"/>
                <a:gd name="T27" fmla="*/ 0 h 199"/>
                <a:gd name="T28" fmla="*/ 0 w 203"/>
                <a:gd name="T29" fmla="*/ 0 h 199"/>
                <a:gd name="T30" fmla="*/ 0 w 203"/>
                <a:gd name="T31" fmla="*/ 0 h 199"/>
                <a:gd name="T32" fmla="*/ 0 w 203"/>
                <a:gd name="T33" fmla="*/ 0 h 199"/>
                <a:gd name="T34" fmla="*/ 0 w 203"/>
                <a:gd name="T35" fmla="*/ 0 h 199"/>
                <a:gd name="T36" fmla="*/ 0 w 203"/>
                <a:gd name="T37" fmla="*/ 0 h 199"/>
                <a:gd name="T38" fmla="*/ 0 w 203"/>
                <a:gd name="T39" fmla="*/ 0 h 199"/>
                <a:gd name="T40" fmla="*/ 0 w 203"/>
                <a:gd name="T41" fmla="*/ 0 h 199"/>
                <a:gd name="T42" fmla="*/ 0 w 203"/>
                <a:gd name="T43" fmla="*/ 0 h 199"/>
                <a:gd name="T44" fmla="*/ 0 w 203"/>
                <a:gd name="T45" fmla="*/ 0 h 199"/>
                <a:gd name="T46" fmla="*/ 0 w 203"/>
                <a:gd name="T47" fmla="*/ 0 h 199"/>
                <a:gd name="T48" fmla="*/ 0 w 203"/>
                <a:gd name="T49" fmla="*/ 0 h 199"/>
                <a:gd name="T50" fmla="*/ 0 w 203"/>
                <a:gd name="T51" fmla="*/ 0 h 199"/>
                <a:gd name="T52" fmla="*/ 0 w 203"/>
                <a:gd name="T53" fmla="*/ 0 h 199"/>
                <a:gd name="T54" fmla="*/ 0 w 203"/>
                <a:gd name="T55" fmla="*/ 0 h 199"/>
                <a:gd name="T56" fmla="*/ 0 w 203"/>
                <a:gd name="T57" fmla="*/ 0 h 199"/>
                <a:gd name="T58" fmla="*/ 0 w 203"/>
                <a:gd name="T59" fmla="*/ 0 h 199"/>
                <a:gd name="T60" fmla="*/ 0 w 203"/>
                <a:gd name="T61" fmla="*/ 0 h 199"/>
                <a:gd name="T62" fmla="*/ 0 w 203"/>
                <a:gd name="T63" fmla="*/ 0 h 199"/>
                <a:gd name="T64" fmla="*/ 0 w 203"/>
                <a:gd name="T65" fmla="*/ 0 h 199"/>
                <a:gd name="T66" fmla="*/ 0 w 203"/>
                <a:gd name="T67" fmla="*/ 0 h 199"/>
                <a:gd name="T68" fmla="*/ 0 w 203"/>
                <a:gd name="T69" fmla="*/ 0 h 199"/>
                <a:gd name="T70" fmla="*/ 0 w 203"/>
                <a:gd name="T71" fmla="*/ 0 h 199"/>
                <a:gd name="T72" fmla="*/ 0 w 203"/>
                <a:gd name="T73" fmla="*/ 0 h 199"/>
                <a:gd name="T74" fmla="*/ 0 w 203"/>
                <a:gd name="T75" fmla="*/ 0 h 199"/>
                <a:gd name="T76" fmla="*/ 0 w 203"/>
                <a:gd name="T77" fmla="*/ 0 h 199"/>
                <a:gd name="T78" fmla="*/ 0 w 203"/>
                <a:gd name="T79" fmla="*/ 0 h 199"/>
                <a:gd name="T80" fmla="*/ 0 w 203"/>
                <a:gd name="T81" fmla="*/ 0 h 199"/>
                <a:gd name="T82" fmla="*/ 0 w 203"/>
                <a:gd name="T83" fmla="*/ 0 h 199"/>
                <a:gd name="T84" fmla="*/ 0 w 203"/>
                <a:gd name="T85" fmla="*/ 0 h 199"/>
                <a:gd name="T86" fmla="*/ 0 w 203"/>
                <a:gd name="T87" fmla="*/ 0 h 199"/>
                <a:gd name="T88" fmla="*/ 0 w 203"/>
                <a:gd name="T89" fmla="*/ 0 h 199"/>
                <a:gd name="T90" fmla="*/ 0 w 203"/>
                <a:gd name="T91" fmla="*/ 0 h 199"/>
                <a:gd name="T92" fmla="*/ 0 w 203"/>
                <a:gd name="T93" fmla="*/ 0 h 199"/>
                <a:gd name="T94" fmla="*/ 0 w 203"/>
                <a:gd name="T95" fmla="*/ 0 h 199"/>
                <a:gd name="T96" fmla="*/ 0 w 203"/>
                <a:gd name="T97" fmla="*/ 0 h 199"/>
                <a:gd name="T98" fmla="*/ 0 w 203"/>
                <a:gd name="T99" fmla="*/ 0 h 199"/>
                <a:gd name="T100" fmla="*/ 0 w 203"/>
                <a:gd name="T101" fmla="*/ 0 h 199"/>
                <a:gd name="T102" fmla="*/ 0 w 203"/>
                <a:gd name="T103" fmla="*/ 0 h 199"/>
                <a:gd name="T104" fmla="*/ 0 w 203"/>
                <a:gd name="T105" fmla="*/ 0 h 199"/>
                <a:gd name="T106" fmla="*/ 0 w 203"/>
                <a:gd name="T107" fmla="*/ 0 h 199"/>
                <a:gd name="T108" fmla="*/ 0 w 203"/>
                <a:gd name="T109" fmla="*/ 0 h 199"/>
                <a:gd name="T110" fmla="*/ 0 w 203"/>
                <a:gd name="T111" fmla="*/ 0 h 199"/>
                <a:gd name="T112" fmla="*/ 0 w 203"/>
                <a:gd name="T113" fmla="*/ 0 h 199"/>
                <a:gd name="T114" fmla="*/ 0 w 203"/>
                <a:gd name="T115" fmla="*/ 0 h 199"/>
                <a:gd name="T116" fmla="*/ 0 w 203"/>
                <a:gd name="T117" fmla="*/ 0 h 199"/>
                <a:gd name="T118" fmla="*/ 0 w 203"/>
                <a:gd name="T119" fmla="*/ 0 h 199"/>
                <a:gd name="T120" fmla="*/ 0 w 203"/>
                <a:gd name="T121" fmla="*/ 0 h 199"/>
                <a:gd name="T122" fmla="*/ 0 w 20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10" name="Line 70">
              <a:extLst>
                <a:ext uri="{FF2B5EF4-FFF2-40B4-BE49-F238E27FC236}">
                  <a16:creationId xmlns:a16="http://schemas.microsoft.com/office/drawing/2014/main" id="{66004BF7-E09E-4088-82CA-DF2A7C857A0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11" name="Freeform 71">
              <a:extLst>
                <a:ext uri="{FF2B5EF4-FFF2-40B4-BE49-F238E27FC236}">
                  <a16:creationId xmlns:a16="http://schemas.microsoft.com/office/drawing/2014/main" id="{AA77C86E-47F3-4A6B-9C1B-EA9A73C4A6D6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0 w 207"/>
                <a:gd name="T1" fmla="*/ 0 h 176"/>
                <a:gd name="T2" fmla="*/ 0 w 207"/>
                <a:gd name="T3" fmla="*/ 0 h 176"/>
                <a:gd name="T4" fmla="*/ 0 w 207"/>
                <a:gd name="T5" fmla="*/ 0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12" name="Freeform 72">
              <a:extLst>
                <a:ext uri="{FF2B5EF4-FFF2-40B4-BE49-F238E27FC236}">
                  <a16:creationId xmlns:a16="http://schemas.microsoft.com/office/drawing/2014/main" id="{312E0A96-85E9-4FAE-9B96-CE2655EBA430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0 w 201"/>
                <a:gd name="T5" fmla="*/ 0 h 202"/>
                <a:gd name="T6" fmla="*/ 0 w 201"/>
                <a:gd name="T7" fmla="*/ 0 h 202"/>
                <a:gd name="T8" fmla="*/ 0 w 201"/>
                <a:gd name="T9" fmla="*/ 0 h 202"/>
                <a:gd name="T10" fmla="*/ 0 w 201"/>
                <a:gd name="T11" fmla="*/ 0 h 202"/>
                <a:gd name="T12" fmla="*/ 0 w 201"/>
                <a:gd name="T13" fmla="*/ 0 h 202"/>
                <a:gd name="T14" fmla="*/ 0 w 201"/>
                <a:gd name="T15" fmla="*/ 0 h 202"/>
                <a:gd name="T16" fmla="*/ 0 w 201"/>
                <a:gd name="T17" fmla="*/ 0 h 202"/>
                <a:gd name="T18" fmla="*/ 0 w 201"/>
                <a:gd name="T19" fmla="*/ 0 h 202"/>
                <a:gd name="T20" fmla="*/ 0 w 201"/>
                <a:gd name="T21" fmla="*/ 0 h 202"/>
                <a:gd name="T22" fmla="*/ 0 w 201"/>
                <a:gd name="T23" fmla="*/ 0 h 202"/>
                <a:gd name="T24" fmla="*/ 0 w 201"/>
                <a:gd name="T25" fmla="*/ 0 h 202"/>
                <a:gd name="T26" fmla="*/ 0 w 201"/>
                <a:gd name="T27" fmla="*/ 0 h 202"/>
                <a:gd name="T28" fmla="*/ 0 w 201"/>
                <a:gd name="T29" fmla="*/ 0 h 202"/>
                <a:gd name="T30" fmla="*/ 0 w 201"/>
                <a:gd name="T31" fmla="*/ 0 h 202"/>
                <a:gd name="T32" fmla="*/ 0 w 201"/>
                <a:gd name="T33" fmla="*/ 0 h 202"/>
                <a:gd name="T34" fmla="*/ 0 w 201"/>
                <a:gd name="T35" fmla="*/ 0 h 202"/>
                <a:gd name="T36" fmla="*/ 0 w 201"/>
                <a:gd name="T37" fmla="*/ 0 h 202"/>
                <a:gd name="T38" fmla="*/ 0 w 201"/>
                <a:gd name="T39" fmla="*/ 0 h 202"/>
                <a:gd name="T40" fmla="*/ 0 w 201"/>
                <a:gd name="T41" fmla="*/ 0 h 202"/>
                <a:gd name="T42" fmla="*/ 0 w 201"/>
                <a:gd name="T43" fmla="*/ 0 h 202"/>
                <a:gd name="T44" fmla="*/ 0 w 201"/>
                <a:gd name="T45" fmla="*/ 0 h 202"/>
                <a:gd name="T46" fmla="*/ 0 w 201"/>
                <a:gd name="T47" fmla="*/ 0 h 202"/>
                <a:gd name="T48" fmla="*/ 0 w 201"/>
                <a:gd name="T49" fmla="*/ 0 h 202"/>
                <a:gd name="T50" fmla="*/ 0 w 201"/>
                <a:gd name="T51" fmla="*/ 0 h 202"/>
                <a:gd name="T52" fmla="*/ 0 w 201"/>
                <a:gd name="T53" fmla="*/ 0 h 202"/>
                <a:gd name="T54" fmla="*/ 0 w 201"/>
                <a:gd name="T55" fmla="*/ 0 h 202"/>
                <a:gd name="T56" fmla="*/ 0 w 201"/>
                <a:gd name="T57" fmla="*/ 0 h 202"/>
                <a:gd name="T58" fmla="*/ 0 w 201"/>
                <a:gd name="T59" fmla="*/ 0 h 202"/>
                <a:gd name="T60" fmla="*/ 0 w 201"/>
                <a:gd name="T61" fmla="*/ 0 h 202"/>
                <a:gd name="T62" fmla="*/ 0 w 201"/>
                <a:gd name="T63" fmla="*/ 0 h 202"/>
                <a:gd name="T64" fmla="*/ 0 w 201"/>
                <a:gd name="T65" fmla="*/ 0 h 202"/>
                <a:gd name="T66" fmla="*/ 0 w 201"/>
                <a:gd name="T67" fmla="*/ 0 h 202"/>
                <a:gd name="T68" fmla="*/ 0 w 201"/>
                <a:gd name="T69" fmla="*/ 0 h 202"/>
                <a:gd name="T70" fmla="*/ 0 w 201"/>
                <a:gd name="T71" fmla="*/ 0 h 202"/>
                <a:gd name="T72" fmla="*/ 0 w 201"/>
                <a:gd name="T73" fmla="*/ 0 h 202"/>
                <a:gd name="T74" fmla="*/ 0 w 201"/>
                <a:gd name="T75" fmla="*/ 0 h 202"/>
                <a:gd name="T76" fmla="*/ 0 w 201"/>
                <a:gd name="T77" fmla="*/ 0 h 202"/>
                <a:gd name="T78" fmla="*/ 0 w 201"/>
                <a:gd name="T79" fmla="*/ 0 h 202"/>
                <a:gd name="T80" fmla="*/ 0 w 201"/>
                <a:gd name="T81" fmla="*/ 0 h 202"/>
                <a:gd name="T82" fmla="*/ 0 w 201"/>
                <a:gd name="T83" fmla="*/ 0 h 202"/>
                <a:gd name="T84" fmla="*/ 0 w 201"/>
                <a:gd name="T85" fmla="*/ 0 h 202"/>
                <a:gd name="T86" fmla="*/ 0 w 201"/>
                <a:gd name="T87" fmla="*/ 0 h 202"/>
                <a:gd name="T88" fmla="*/ 0 w 201"/>
                <a:gd name="T89" fmla="*/ 0 h 202"/>
                <a:gd name="T90" fmla="*/ 0 w 201"/>
                <a:gd name="T91" fmla="*/ 0 h 202"/>
                <a:gd name="T92" fmla="*/ 0 w 201"/>
                <a:gd name="T93" fmla="*/ 0 h 202"/>
                <a:gd name="T94" fmla="*/ 0 w 201"/>
                <a:gd name="T95" fmla="*/ 0 h 202"/>
                <a:gd name="T96" fmla="*/ 0 w 201"/>
                <a:gd name="T97" fmla="*/ 0 h 202"/>
                <a:gd name="T98" fmla="*/ 0 w 201"/>
                <a:gd name="T99" fmla="*/ 0 h 202"/>
                <a:gd name="T100" fmla="*/ 0 w 201"/>
                <a:gd name="T101" fmla="*/ 0 h 202"/>
                <a:gd name="T102" fmla="*/ 0 w 201"/>
                <a:gd name="T103" fmla="*/ 0 h 202"/>
                <a:gd name="T104" fmla="*/ 0 w 201"/>
                <a:gd name="T105" fmla="*/ 0 h 202"/>
                <a:gd name="T106" fmla="*/ 0 w 201"/>
                <a:gd name="T107" fmla="*/ 0 h 202"/>
                <a:gd name="T108" fmla="*/ 0 w 201"/>
                <a:gd name="T109" fmla="*/ 0 h 202"/>
                <a:gd name="T110" fmla="*/ 0 w 201"/>
                <a:gd name="T111" fmla="*/ 0 h 202"/>
                <a:gd name="T112" fmla="*/ 0 w 201"/>
                <a:gd name="T113" fmla="*/ 0 h 202"/>
                <a:gd name="T114" fmla="*/ 0 w 201"/>
                <a:gd name="T115" fmla="*/ 0 h 202"/>
                <a:gd name="T116" fmla="*/ 0 w 201"/>
                <a:gd name="T117" fmla="*/ 0 h 202"/>
                <a:gd name="T118" fmla="*/ 0 w 201"/>
                <a:gd name="T119" fmla="*/ 0 h 202"/>
                <a:gd name="T120" fmla="*/ 0 w 201"/>
                <a:gd name="T121" fmla="*/ 0 h 202"/>
                <a:gd name="T122" fmla="*/ 0 w 201"/>
                <a:gd name="T123" fmla="*/ 0 h 202"/>
                <a:gd name="T124" fmla="*/ 0 w 201"/>
                <a:gd name="T125" fmla="*/ 0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13" name="Line 73">
              <a:extLst>
                <a:ext uri="{FF2B5EF4-FFF2-40B4-BE49-F238E27FC236}">
                  <a16:creationId xmlns:a16="http://schemas.microsoft.com/office/drawing/2014/main" id="{C2B6C677-2E26-4715-8018-5E145610557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14" name="Freeform 74">
              <a:extLst>
                <a:ext uri="{FF2B5EF4-FFF2-40B4-BE49-F238E27FC236}">
                  <a16:creationId xmlns:a16="http://schemas.microsoft.com/office/drawing/2014/main" id="{D7FDE03B-7472-4C21-AA2A-25FA53552DDF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0 w 208"/>
                <a:gd name="T1" fmla="*/ 0 h 177"/>
                <a:gd name="T2" fmla="*/ 0 w 208"/>
                <a:gd name="T3" fmla="*/ 0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15</xdr:col>
      <xdr:colOff>247650</xdr:colOff>
      <xdr:row>13</xdr:row>
      <xdr:rowOff>457200</xdr:rowOff>
    </xdr:from>
    <xdr:to>
      <xdr:col>17</xdr:col>
      <xdr:colOff>66675</xdr:colOff>
      <xdr:row>13</xdr:row>
      <xdr:rowOff>1095375</xdr:rowOff>
    </xdr:to>
    <xdr:grpSp>
      <xdr:nvGrpSpPr>
        <xdr:cNvPr id="5704" name="Group 75">
          <a:extLst>
            <a:ext uri="{FF2B5EF4-FFF2-40B4-BE49-F238E27FC236}">
              <a16:creationId xmlns:a16="http://schemas.microsoft.com/office/drawing/2014/main" id="{4C3CB6D1-3131-4DFF-A2EF-FC110FA99BD4}"/>
            </a:ext>
          </a:extLst>
        </xdr:cNvPr>
        <xdr:cNvGrpSpPr>
          <a:grpSpLocks/>
        </xdr:cNvGrpSpPr>
      </xdr:nvGrpSpPr>
      <xdr:grpSpPr bwMode="auto">
        <a:xfrm>
          <a:off x="4200525" y="5114925"/>
          <a:ext cx="371475" cy="638175"/>
          <a:chOff x="481" y="585"/>
          <a:chExt cx="47" cy="67"/>
        </a:xfrm>
      </xdr:grpSpPr>
      <xdr:grpSp>
        <xdr:nvGrpSpPr>
          <xdr:cNvPr id="5793" name="Group 76">
            <a:extLst>
              <a:ext uri="{FF2B5EF4-FFF2-40B4-BE49-F238E27FC236}">
                <a16:creationId xmlns:a16="http://schemas.microsoft.com/office/drawing/2014/main" id="{51A47C17-87CF-4B2C-8E5C-05EEA297F523}"/>
              </a:ext>
            </a:extLst>
          </xdr:cNvPr>
          <xdr:cNvGrpSpPr>
            <a:grpSpLocks/>
          </xdr:cNvGrpSpPr>
        </xdr:nvGrpSpPr>
        <xdr:grpSpPr bwMode="auto">
          <a:xfrm>
            <a:off x="511" y="585"/>
            <a:ext cx="17" cy="27"/>
            <a:chOff x="506" y="578"/>
            <a:chExt cx="17" cy="27"/>
          </a:xfrm>
        </xdr:grpSpPr>
        <xdr:sp macro="" textlink="">
          <xdr:nvSpPr>
            <xdr:cNvPr id="5799" name="Freeform 77">
              <a:extLst>
                <a:ext uri="{FF2B5EF4-FFF2-40B4-BE49-F238E27FC236}">
                  <a16:creationId xmlns:a16="http://schemas.microsoft.com/office/drawing/2014/main" id="{671B4A4E-E59B-490E-B942-52778DA2BD7E}"/>
                </a:ext>
              </a:extLst>
            </xdr:cNvPr>
            <xdr:cNvSpPr>
              <a:spLocks/>
            </xdr:cNvSpPr>
          </xdr:nvSpPr>
          <xdr:spPr bwMode="auto">
            <a:xfrm rot="5374774">
              <a:off x="514" y="592"/>
              <a:ext cx="9" cy="9"/>
            </a:xfrm>
            <a:custGeom>
              <a:avLst/>
              <a:gdLst>
                <a:gd name="T0" fmla="*/ 0 w 193"/>
                <a:gd name="T1" fmla="*/ 0 h 199"/>
                <a:gd name="T2" fmla="*/ 0 w 193"/>
                <a:gd name="T3" fmla="*/ 0 h 199"/>
                <a:gd name="T4" fmla="*/ 0 w 193"/>
                <a:gd name="T5" fmla="*/ 0 h 199"/>
                <a:gd name="T6" fmla="*/ 0 w 193"/>
                <a:gd name="T7" fmla="*/ 0 h 199"/>
                <a:gd name="T8" fmla="*/ 0 w 193"/>
                <a:gd name="T9" fmla="*/ 0 h 199"/>
                <a:gd name="T10" fmla="*/ 0 w 193"/>
                <a:gd name="T11" fmla="*/ 0 h 199"/>
                <a:gd name="T12" fmla="*/ 0 w 193"/>
                <a:gd name="T13" fmla="*/ 0 h 199"/>
                <a:gd name="T14" fmla="*/ 0 w 193"/>
                <a:gd name="T15" fmla="*/ 0 h 199"/>
                <a:gd name="T16" fmla="*/ 0 w 193"/>
                <a:gd name="T17" fmla="*/ 0 h 199"/>
                <a:gd name="T18" fmla="*/ 0 w 193"/>
                <a:gd name="T19" fmla="*/ 0 h 199"/>
                <a:gd name="T20" fmla="*/ 0 w 193"/>
                <a:gd name="T21" fmla="*/ 0 h 199"/>
                <a:gd name="T22" fmla="*/ 0 w 193"/>
                <a:gd name="T23" fmla="*/ 0 h 199"/>
                <a:gd name="T24" fmla="*/ 0 w 193"/>
                <a:gd name="T25" fmla="*/ 0 h 199"/>
                <a:gd name="T26" fmla="*/ 0 w 193"/>
                <a:gd name="T27" fmla="*/ 0 h 199"/>
                <a:gd name="T28" fmla="*/ 0 w 193"/>
                <a:gd name="T29" fmla="*/ 0 h 199"/>
                <a:gd name="T30" fmla="*/ 0 w 193"/>
                <a:gd name="T31" fmla="*/ 0 h 199"/>
                <a:gd name="T32" fmla="*/ 0 w 193"/>
                <a:gd name="T33" fmla="*/ 0 h 199"/>
                <a:gd name="T34" fmla="*/ 0 w 193"/>
                <a:gd name="T35" fmla="*/ 0 h 199"/>
                <a:gd name="T36" fmla="*/ 0 w 193"/>
                <a:gd name="T37" fmla="*/ 0 h 199"/>
                <a:gd name="T38" fmla="*/ 0 w 193"/>
                <a:gd name="T39" fmla="*/ 0 h 199"/>
                <a:gd name="T40" fmla="*/ 0 w 193"/>
                <a:gd name="T41" fmla="*/ 0 h 199"/>
                <a:gd name="T42" fmla="*/ 0 w 193"/>
                <a:gd name="T43" fmla="*/ 0 h 199"/>
                <a:gd name="T44" fmla="*/ 0 w 193"/>
                <a:gd name="T45" fmla="*/ 0 h 199"/>
                <a:gd name="T46" fmla="*/ 0 w 193"/>
                <a:gd name="T47" fmla="*/ 0 h 199"/>
                <a:gd name="T48" fmla="*/ 0 w 193"/>
                <a:gd name="T49" fmla="*/ 0 h 199"/>
                <a:gd name="T50" fmla="*/ 0 w 193"/>
                <a:gd name="T51" fmla="*/ 0 h 199"/>
                <a:gd name="T52" fmla="*/ 0 w 193"/>
                <a:gd name="T53" fmla="*/ 0 h 199"/>
                <a:gd name="T54" fmla="*/ 0 w 193"/>
                <a:gd name="T55" fmla="*/ 0 h 199"/>
                <a:gd name="T56" fmla="*/ 0 w 193"/>
                <a:gd name="T57" fmla="*/ 0 h 199"/>
                <a:gd name="T58" fmla="*/ 0 w 193"/>
                <a:gd name="T59" fmla="*/ 0 h 199"/>
                <a:gd name="T60" fmla="*/ 0 w 193"/>
                <a:gd name="T61" fmla="*/ 0 h 199"/>
                <a:gd name="T62" fmla="*/ 0 w 193"/>
                <a:gd name="T63" fmla="*/ 0 h 199"/>
                <a:gd name="T64" fmla="*/ 0 w 193"/>
                <a:gd name="T65" fmla="*/ 0 h 199"/>
                <a:gd name="T66" fmla="*/ 0 w 193"/>
                <a:gd name="T67" fmla="*/ 0 h 199"/>
                <a:gd name="T68" fmla="*/ 0 w 193"/>
                <a:gd name="T69" fmla="*/ 0 h 199"/>
                <a:gd name="T70" fmla="*/ 0 w 193"/>
                <a:gd name="T71" fmla="*/ 0 h 199"/>
                <a:gd name="T72" fmla="*/ 0 w 193"/>
                <a:gd name="T73" fmla="*/ 0 h 199"/>
                <a:gd name="T74" fmla="*/ 0 w 193"/>
                <a:gd name="T75" fmla="*/ 0 h 199"/>
                <a:gd name="T76" fmla="*/ 0 w 193"/>
                <a:gd name="T77" fmla="*/ 0 h 199"/>
                <a:gd name="T78" fmla="*/ 0 w 193"/>
                <a:gd name="T79" fmla="*/ 0 h 199"/>
                <a:gd name="T80" fmla="*/ 0 w 193"/>
                <a:gd name="T81" fmla="*/ 0 h 199"/>
                <a:gd name="T82" fmla="*/ 0 w 193"/>
                <a:gd name="T83" fmla="*/ 0 h 199"/>
                <a:gd name="T84" fmla="*/ 0 w 193"/>
                <a:gd name="T85" fmla="*/ 0 h 199"/>
                <a:gd name="T86" fmla="*/ 0 w 193"/>
                <a:gd name="T87" fmla="*/ 0 h 199"/>
                <a:gd name="T88" fmla="*/ 0 w 193"/>
                <a:gd name="T89" fmla="*/ 0 h 199"/>
                <a:gd name="T90" fmla="*/ 0 w 193"/>
                <a:gd name="T91" fmla="*/ 0 h 199"/>
                <a:gd name="T92" fmla="*/ 0 w 193"/>
                <a:gd name="T93" fmla="*/ 0 h 199"/>
                <a:gd name="T94" fmla="*/ 0 w 193"/>
                <a:gd name="T95" fmla="*/ 0 h 199"/>
                <a:gd name="T96" fmla="*/ 0 w 193"/>
                <a:gd name="T97" fmla="*/ 0 h 199"/>
                <a:gd name="T98" fmla="*/ 0 w 193"/>
                <a:gd name="T99" fmla="*/ 0 h 199"/>
                <a:gd name="T100" fmla="*/ 0 w 193"/>
                <a:gd name="T101" fmla="*/ 0 h 199"/>
                <a:gd name="T102" fmla="*/ 0 w 193"/>
                <a:gd name="T103" fmla="*/ 0 h 199"/>
                <a:gd name="T104" fmla="*/ 0 w 193"/>
                <a:gd name="T105" fmla="*/ 0 h 199"/>
                <a:gd name="T106" fmla="*/ 0 w 193"/>
                <a:gd name="T107" fmla="*/ 0 h 199"/>
                <a:gd name="T108" fmla="*/ 0 w 193"/>
                <a:gd name="T109" fmla="*/ 0 h 199"/>
                <a:gd name="T110" fmla="*/ 0 w 193"/>
                <a:gd name="T111" fmla="*/ 0 h 199"/>
                <a:gd name="T112" fmla="*/ 0 w 193"/>
                <a:gd name="T113" fmla="*/ 0 h 199"/>
                <a:gd name="T114" fmla="*/ 0 w 193"/>
                <a:gd name="T115" fmla="*/ 0 h 199"/>
                <a:gd name="T116" fmla="*/ 0 w 193"/>
                <a:gd name="T117" fmla="*/ 0 h 199"/>
                <a:gd name="T118" fmla="*/ 0 w 193"/>
                <a:gd name="T119" fmla="*/ 0 h 199"/>
                <a:gd name="T120" fmla="*/ 0 w 193"/>
                <a:gd name="T121" fmla="*/ 0 h 199"/>
                <a:gd name="T122" fmla="*/ 0 w 19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00" name="Line 78">
              <a:extLst>
                <a:ext uri="{FF2B5EF4-FFF2-40B4-BE49-F238E27FC236}">
                  <a16:creationId xmlns:a16="http://schemas.microsoft.com/office/drawing/2014/main" id="{FD27379F-3186-414C-92FF-CC080854C16D}"/>
                </a:ext>
              </a:extLst>
            </xdr:cNvPr>
            <xdr:cNvSpPr>
              <a:spLocks noChangeShapeType="1"/>
            </xdr:cNvSpPr>
          </xdr:nvSpPr>
          <xdr:spPr bwMode="auto">
            <a:xfrm rot="5374774">
              <a:off x="511" y="597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01" name="Freeform 79">
              <a:extLst>
                <a:ext uri="{FF2B5EF4-FFF2-40B4-BE49-F238E27FC236}">
                  <a16:creationId xmlns:a16="http://schemas.microsoft.com/office/drawing/2014/main" id="{11949368-3468-4E2D-BA4D-ECF163B29AC5}"/>
                </a:ext>
              </a:extLst>
            </xdr:cNvPr>
            <xdr:cNvSpPr>
              <a:spLocks/>
            </xdr:cNvSpPr>
          </xdr:nvSpPr>
          <xdr:spPr bwMode="auto">
            <a:xfrm rot="5374774">
              <a:off x="505" y="598"/>
              <a:ext cx="8" cy="6"/>
            </a:xfrm>
            <a:custGeom>
              <a:avLst/>
              <a:gdLst>
                <a:gd name="T0" fmla="*/ 0 w 201"/>
                <a:gd name="T1" fmla="*/ 0 h 174"/>
                <a:gd name="T2" fmla="*/ 0 w 201"/>
                <a:gd name="T3" fmla="*/ 0 h 174"/>
                <a:gd name="T4" fmla="*/ 0 w 201"/>
                <a:gd name="T5" fmla="*/ 0 h 17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02" name="Line 80">
              <a:extLst>
                <a:ext uri="{FF2B5EF4-FFF2-40B4-BE49-F238E27FC236}">
                  <a16:creationId xmlns:a16="http://schemas.microsoft.com/office/drawing/2014/main" id="{4DAD3D41-F374-46D2-B8D4-957417C315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23" y="578"/>
              <a:ext cx="0" cy="1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5794" name="Group 81">
            <a:extLst>
              <a:ext uri="{FF2B5EF4-FFF2-40B4-BE49-F238E27FC236}">
                <a16:creationId xmlns:a16="http://schemas.microsoft.com/office/drawing/2014/main" id="{DECD434F-7EFB-42E7-B595-402EB7B6888B}"/>
              </a:ext>
            </a:extLst>
          </xdr:cNvPr>
          <xdr:cNvGrpSpPr>
            <a:grpSpLocks/>
          </xdr:cNvGrpSpPr>
        </xdr:nvGrpSpPr>
        <xdr:grpSpPr bwMode="auto">
          <a:xfrm>
            <a:off x="481" y="625"/>
            <a:ext cx="17" cy="27"/>
            <a:chOff x="471" y="616"/>
            <a:chExt cx="17" cy="27"/>
          </a:xfrm>
        </xdr:grpSpPr>
        <xdr:sp macro="" textlink="">
          <xdr:nvSpPr>
            <xdr:cNvPr id="5795" name="Freeform 82">
              <a:extLst>
                <a:ext uri="{FF2B5EF4-FFF2-40B4-BE49-F238E27FC236}">
                  <a16:creationId xmlns:a16="http://schemas.microsoft.com/office/drawing/2014/main" id="{3C85A1D6-16DA-4F7C-B697-03C5F8C59171}"/>
                </a:ext>
              </a:extLst>
            </xdr:cNvPr>
            <xdr:cNvSpPr>
              <a:spLocks/>
            </xdr:cNvSpPr>
          </xdr:nvSpPr>
          <xdr:spPr bwMode="auto">
            <a:xfrm rot="-5425225">
              <a:off x="471" y="620"/>
              <a:ext cx="8" cy="8"/>
            </a:xfrm>
            <a:custGeom>
              <a:avLst/>
              <a:gdLst>
                <a:gd name="T0" fmla="*/ 0 w 193"/>
                <a:gd name="T1" fmla="*/ 0 h 199"/>
                <a:gd name="T2" fmla="*/ 0 w 193"/>
                <a:gd name="T3" fmla="*/ 0 h 199"/>
                <a:gd name="T4" fmla="*/ 0 w 193"/>
                <a:gd name="T5" fmla="*/ 0 h 199"/>
                <a:gd name="T6" fmla="*/ 0 w 193"/>
                <a:gd name="T7" fmla="*/ 0 h 199"/>
                <a:gd name="T8" fmla="*/ 0 w 193"/>
                <a:gd name="T9" fmla="*/ 0 h 199"/>
                <a:gd name="T10" fmla="*/ 0 w 193"/>
                <a:gd name="T11" fmla="*/ 0 h 199"/>
                <a:gd name="T12" fmla="*/ 0 w 193"/>
                <a:gd name="T13" fmla="*/ 0 h 199"/>
                <a:gd name="T14" fmla="*/ 0 w 193"/>
                <a:gd name="T15" fmla="*/ 0 h 199"/>
                <a:gd name="T16" fmla="*/ 0 w 193"/>
                <a:gd name="T17" fmla="*/ 0 h 199"/>
                <a:gd name="T18" fmla="*/ 0 w 193"/>
                <a:gd name="T19" fmla="*/ 0 h 199"/>
                <a:gd name="T20" fmla="*/ 0 w 193"/>
                <a:gd name="T21" fmla="*/ 0 h 199"/>
                <a:gd name="T22" fmla="*/ 0 w 193"/>
                <a:gd name="T23" fmla="*/ 0 h 199"/>
                <a:gd name="T24" fmla="*/ 0 w 193"/>
                <a:gd name="T25" fmla="*/ 0 h 199"/>
                <a:gd name="T26" fmla="*/ 0 w 193"/>
                <a:gd name="T27" fmla="*/ 0 h 199"/>
                <a:gd name="T28" fmla="*/ 0 w 193"/>
                <a:gd name="T29" fmla="*/ 0 h 199"/>
                <a:gd name="T30" fmla="*/ 0 w 193"/>
                <a:gd name="T31" fmla="*/ 0 h 199"/>
                <a:gd name="T32" fmla="*/ 0 w 193"/>
                <a:gd name="T33" fmla="*/ 0 h 199"/>
                <a:gd name="T34" fmla="*/ 0 w 193"/>
                <a:gd name="T35" fmla="*/ 0 h 199"/>
                <a:gd name="T36" fmla="*/ 0 w 193"/>
                <a:gd name="T37" fmla="*/ 0 h 199"/>
                <a:gd name="T38" fmla="*/ 0 w 193"/>
                <a:gd name="T39" fmla="*/ 0 h 199"/>
                <a:gd name="T40" fmla="*/ 0 w 193"/>
                <a:gd name="T41" fmla="*/ 0 h 199"/>
                <a:gd name="T42" fmla="*/ 0 w 193"/>
                <a:gd name="T43" fmla="*/ 0 h 199"/>
                <a:gd name="T44" fmla="*/ 0 w 193"/>
                <a:gd name="T45" fmla="*/ 0 h 199"/>
                <a:gd name="T46" fmla="*/ 0 w 193"/>
                <a:gd name="T47" fmla="*/ 0 h 199"/>
                <a:gd name="T48" fmla="*/ 0 w 193"/>
                <a:gd name="T49" fmla="*/ 0 h 199"/>
                <a:gd name="T50" fmla="*/ 0 w 193"/>
                <a:gd name="T51" fmla="*/ 0 h 199"/>
                <a:gd name="T52" fmla="*/ 0 w 193"/>
                <a:gd name="T53" fmla="*/ 0 h 199"/>
                <a:gd name="T54" fmla="*/ 0 w 193"/>
                <a:gd name="T55" fmla="*/ 0 h 199"/>
                <a:gd name="T56" fmla="*/ 0 w 193"/>
                <a:gd name="T57" fmla="*/ 0 h 199"/>
                <a:gd name="T58" fmla="*/ 0 w 193"/>
                <a:gd name="T59" fmla="*/ 0 h 199"/>
                <a:gd name="T60" fmla="*/ 0 w 193"/>
                <a:gd name="T61" fmla="*/ 0 h 199"/>
                <a:gd name="T62" fmla="*/ 0 w 193"/>
                <a:gd name="T63" fmla="*/ 0 h 199"/>
                <a:gd name="T64" fmla="*/ 0 w 193"/>
                <a:gd name="T65" fmla="*/ 0 h 199"/>
                <a:gd name="T66" fmla="*/ 0 w 193"/>
                <a:gd name="T67" fmla="*/ 0 h 199"/>
                <a:gd name="T68" fmla="*/ 0 w 193"/>
                <a:gd name="T69" fmla="*/ 0 h 199"/>
                <a:gd name="T70" fmla="*/ 0 w 193"/>
                <a:gd name="T71" fmla="*/ 0 h 199"/>
                <a:gd name="T72" fmla="*/ 0 w 193"/>
                <a:gd name="T73" fmla="*/ 0 h 199"/>
                <a:gd name="T74" fmla="*/ 0 w 193"/>
                <a:gd name="T75" fmla="*/ 0 h 199"/>
                <a:gd name="T76" fmla="*/ 0 w 193"/>
                <a:gd name="T77" fmla="*/ 0 h 199"/>
                <a:gd name="T78" fmla="*/ 0 w 193"/>
                <a:gd name="T79" fmla="*/ 0 h 199"/>
                <a:gd name="T80" fmla="*/ 0 w 193"/>
                <a:gd name="T81" fmla="*/ 0 h 199"/>
                <a:gd name="T82" fmla="*/ 0 w 193"/>
                <a:gd name="T83" fmla="*/ 0 h 199"/>
                <a:gd name="T84" fmla="*/ 0 w 193"/>
                <a:gd name="T85" fmla="*/ 0 h 199"/>
                <a:gd name="T86" fmla="*/ 0 w 193"/>
                <a:gd name="T87" fmla="*/ 0 h 199"/>
                <a:gd name="T88" fmla="*/ 0 w 193"/>
                <a:gd name="T89" fmla="*/ 0 h 199"/>
                <a:gd name="T90" fmla="*/ 0 w 193"/>
                <a:gd name="T91" fmla="*/ 0 h 199"/>
                <a:gd name="T92" fmla="*/ 0 w 193"/>
                <a:gd name="T93" fmla="*/ 0 h 199"/>
                <a:gd name="T94" fmla="*/ 0 w 193"/>
                <a:gd name="T95" fmla="*/ 0 h 199"/>
                <a:gd name="T96" fmla="*/ 0 w 193"/>
                <a:gd name="T97" fmla="*/ 0 h 199"/>
                <a:gd name="T98" fmla="*/ 0 w 193"/>
                <a:gd name="T99" fmla="*/ 0 h 199"/>
                <a:gd name="T100" fmla="*/ 0 w 193"/>
                <a:gd name="T101" fmla="*/ 0 h 199"/>
                <a:gd name="T102" fmla="*/ 0 w 193"/>
                <a:gd name="T103" fmla="*/ 0 h 199"/>
                <a:gd name="T104" fmla="*/ 0 w 193"/>
                <a:gd name="T105" fmla="*/ 0 h 199"/>
                <a:gd name="T106" fmla="*/ 0 w 193"/>
                <a:gd name="T107" fmla="*/ 0 h 199"/>
                <a:gd name="T108" fmla="*/ 0 w 193"/>
                <a:gd name="T109" fmla="*/ 0 h 199"/>
                <a:gd name="T110" fmla="*/ 0 w 193"/>
                <a:gd name="T111" fmla="*/ 0 h 199"/>
                <a:gd name="T112" fmla="*/ 0 w 193"/>
                <a:gd name="T113" fmla="*/ 0 h 199"/>
                <a:gd name="T114" fmla="*/ 0 w 193"/>
                <a:gd name="T115" fmla="*/ 0 h 199"/>
                <a:gd name="T116" fmla="*/ 0 w 193"/>
                <a:gd name="T117" fmla="*/ 0 h 199"/>
                <a:gd name="T118" fmla="*/ 0 w 193"/>
                <a:gd name="T119" fmla="*/ 0 h 199"/>
                <a:gd name="T120" fmla="*/ 0 w 193"/>
                <a:gd name="T121" fmla="*/ 0 h 199"/>
                <a:gd name="T122" fmla="*/ 0 w 19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96" name="Line 83">
              <a:extLst>
                <a:ext uri="{FF2B5EF4-FFF2-40B4-BE49-F238E27FC236}">
                  <a16:creationId xmlns:a16="http://schemas.microsoft.com/office/drawing/2014/main" id="{465C023E-614E-4BF0-A48B-F568BC9382C5}"/>
                </a:ext>
              </a:extLst>
            </xdr:cNvPr>
            <xdr:cNvSpPr>
              <a:spLocks noChangeShapeType="1"/>
            </xdr:cNvSpPr>
          </xdr:nvSpPr>
          <xdr:spPr bwMode="auto">
            <a:xfrm rot="16174775" flipV="1">
              <a:off x="483" y="616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97" name="Freeform 84">
              <a:extLst>
                <a:ext uri="{FF2B5EF4-FFF2-40B4-BE49-F238E27FC236}">
                  <a16:creationId xmlns:a16="http://schemas.microsoft.com/office/drawing/2014/main" id="{DFA9240D-B522-43BB-B548-DA8A89039978}"/>
                </a:ext>
              </a:extLst>
            </xdr:cNvPr>
            <xdr:cNvSpPr>
              <a:spLocks/>
            </xdr:cNvSpPr>
          </xdr:nvSpPr>
          <xdr:spPr bwMode="auto">
            <a:xfrm rot="-5425225">
              <a:off x="481" y="617"/>
              <a:ext cx="8" cy="6"/>
            </a:xfrm>
            <a:custGeom>
              <a:avLst/>
              <a:gdLst>
                <a:gd name="T0" fmla="*/ 0 w 201"/>
                <a:gd name="T1" fmla="*/ 0 h 174"/>
                <a:gd name="T2" fmla="*/ 0 w 201"/>
                <a:gd name="T3" fmla="*/ 0 h 174"/>
                <a:gd name="T4" fmla="*/ 0 w 201"/>
                <a:gd name="T5" fmla="*/ 0 h 17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98" name="Line 85">
              <a:extLst>
                <a:ext uri="{FF2B5EF4-FFF2-40B4-BE49-F238E27FC236}">
                  <a16:creationId xmlns:a16="http://schemas.microsoft.com/office/drawing/2014/main" id="{AC446993-B080-43CF-A68B-4B8ABECE99E1}"/>
                </a:ext>
              </a:extLst>
            </xdr:cNvPr>
            <xdr:cNvSpPr>
              <a:spLocks noChangeShapeType="1"/>
            </xdr:cNvSpPr>
          </xdr:nvSpPr>
          <xdr:spPr bwMode="auto">
            <a:xfrm rot="10800000">
              <a:off x="471" y="628"/>
              <a:ext cx="0" cy="1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14</xdr:col>
      <xdr:colOff>9525</xdr:colOff>
      <xdr:row>18</xdr:row>
      <xdr:rowOff>47625</xdr:rowOff>
    </xdr:from>
    <xdr:to>
      <xdr:col>14</xdr:col>
      <xdr:colOff>276225</xdr:colOff>
      <xdr:row>18</xdr:row>
      <xdr:rowOff>190500</xdr:rowOff>
    </xdr:to>
    <xdr:sp macro="" textlink="">
      <xdr:nvSpPr>
        <xdr:cNvPr id="5705" name="Freeform 86">
          <a:extLst>
            <a:ext uri="{FF2B5EF4-FFF2-40B4-BE49-F238E27FC236}">
              <a16:creationId xmlns:a16="http://schemas.microsoft.com/office/drawing/2014/main" id="{34851437-5B8B-4641-84A1-614457D6CF60}"/>
            </a:ext>
          </a:extLst>
        </xdr:cNvPr>
        <xdr:cNvSpPr>
          <a:spLocks/>
        </xdr:cNvSpPr>
      </xdr:nvSpPr>
      <xdr:spPr bwMode="auto">
        <a:xfrm>
          <a:off x="3686175" y="7200900"/>
          <a:ext cx="266700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47625</xdr:colOff>
      <xdr:row>17</xdr:row>
      <xdr:rowOff>38100</xdr:rowOff>
    </xdr:from>
    <xdr:to>
      <xdr:col>12</xdr:col>
      <xdr:colOff>266700</xdr:colOff>
      <xdr:row>17</xdr:row>
      <xdr:rowOff>190500</xdr:rowOff>
    </xdr:to>
    <xdr:grpSp>
      <xdr:nvGrpSpPr>
        <xdr:cNvPr id="5706" name="Group 87">
          <a:extLst>
            <a:ext uri="{FF2B5EF4-FFF2-40B4-BE49-F238E27FC236}">
              <a16:creationId xmlns:a16="http://schemas.microsoft.com/office/drawing/2014/main" id="{5928B206-EB9B-40EF-BC18-E7F782CE6796}"/>
            </a:ext>
          </a:extLst>
        </xdr:cNvPr>
        <xdr:cNvGrpSpPr>
          <a:grpSpLocks/>
        </xdr:cNvGrpSpPr>
      </xdr:nvGrpSpPr>
      <xdr:grpSpPr bwMode="auto">
        <a:xfrm>
          <a:off x="3171825" y="6962775"/>
          <a:ext cx="219075" cy="152400"/>
          <a:chOff x="132" y="708"/>
          <a:chExt cx="20" cy="14"/>
        </a:xfrm>
      </xdr:grpSpPr>
      <xdr:sp macro="" textlink="">
        <xdr:nvSpPr>
          <xdr:cNvPr id="5789" name="Line 88">
            <a:extLst>
              <a:ext uri="{FF2B5EF4-FFF2-40B4-BE49-F238E27FC236}">
                <a16:creationId xmlns:a16="http://schemas.microsoft.com/office/drawing/2014/main" id="{F8FCF185-401D-4D45-8E56-20DF0D7169AF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90" name="Line 89">
            <a:extLst>
              <a:ext uri="{FF2B5EF4-FFF2-40B4-BE49-F238E27FC236}">
                <a16:creationId xmlns:a16="http://schemas.microsoft.com/office/drawing/2014/main" id="{9853D910-399E-4FD7-89A0-2D006FB1BA4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91" name="Line 90">
            <a:extLst>
              <a:ext uri="{FF2B5EF4-FFF2-40B4-BE49-F238E27FC236}">
                <a16:creationId xmlns:a16="http://schemas.microsoft.com/office/drawing/2014/main" id="{3BDC6B62-C75B-45DB-9A48-F6924F5949E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92" name="Line 91">
            <a:extLst>
              <a:ext uri="{FF2B5EF4-FFF2-40B4-BE49-F238E27FC236}">
                <a16:creationId xmlns:a16="http://schemas.microsoft.com/office/drawing/2014/main" id="{A4D6BB33-9BBF-47C0-8B5E-5AA0FBEA52BC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17</xdr:row>
      <xdr:rowOff>95250</xdr:rowOff>
    </xdr:from>
    <xdr:to>
      <xdr:col>18</xdr:col>
      <xdr:colOff>0</xdr:colOff>
      <xdr:row>17</xdr:row>
      <xdr:rowOff>142875</xdr:rowOff>
    </xdr:to>
    <xdr:grpSp>
      <xdr:nvGrpSpPr>
        <xdr:cNvPr id="5707" name="Group 92">
          <a:extLst>
            <a:ext uri="{FF2B5EF4-FFF2-40B4-BE49-F238E27FC236}">
              <a16:creationId xmlns:a16="http://schemas.microsoft.com/office/drawing/2014/main" id="{20905B5E-0689-49E2-81F0-AB5BD529C420}"/>
            </a:ext>
          </a:extLst>
        </xdr:cNvPr>
        <xdr:cNvGrpSpPr>
          <a:grpSpLocks/>
        </xdr:cNvGrpSpPr>
      </xdr:nvGrpSpPr>
      <xdr:grpSpPr bwMode="auto">
        <a:xfrm>
          <a:off x="3400425" y="7019925"/>
          <a:ext cx="1381125" cy="47625"/>
          <a:chOff x="158" y="715"/>
          <a:chExt cx="33" cy="5"/>
        </a:xfrm>
      </xdr:grpSpPr>
      <xdr:sp macro="" textlink="">
        <xdr:nvSpPr>
          <xdr:cNvPr id="5787" name="Line 93">
            <a:extLst>
              <a:ext uri="{FF2B5EF4-FFF2-40B4-BE49-F238E27FC236}">
                <a16:creationId xmlns:a16="http://schemas.microsoft.com/office/drawing/2014/main" id="{5DDDE99C-4F24-4B6E-83B0-B39E3417A7E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88" name="Line 94">
            <a:extLst>
              <a:ext uri="{FF2B5EF4-FFF2-40B4-BE49-F238E27FC236}">
                <a16:creationId xmlns:a16="http://schemas.microsoft.com/office/drawing/2014/main" id="{5D83EDCC-1B65-494D-AC96-6F56866C53B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18</xdr:row>
      <xdr:rowOff>104775</xdr:rowOff>
    </xdr:from>
    <xdr:to>
      <xdr:col>18</xdr:col>
      <xdr:colOff>0</xdr:colOff>
      <xdr:row>18</xdr:row>
      <xdr:rowOff>152400</xdr:rowOff>
    </xdr:to>
    <xdr:grpSp>
      <xdr:nvGrpSpPr>
        <xdr:cNvPr id="5708" name="Group 95">
          <a:extLst>
            <a:ext uri="{FF2B5EF4-FFF2-40B4-BE49-F238E27FC236}">
              <a16:creationId xmlns:a16="http://schemas.microsoft.com/office/drawing/2014/main" id="{B4599DE0-3CB3-436B-8549-6337CF2926D3}"/>
            </a:ext>
          </a:extLst>
        </xdr:cNvPr>
        <xdr:cNvGrpSpPr>
          <a:grpSpLocks/>
        </xdr:cNvGrpSpPr>
      </xdr:nvGrpSpPr>
      <xdr:grpSpPr bwMode="auto">
        <a:xfrm>
          <a:off x="4505325" y="7258050"/>
          <a:ext cx="276225" cy="47625"/>
          <a:chOff x="158" y="715"/>
          <a:chExt cx="33" cy="5"/>
        </a:xfrm>
      </xdr:grpSpPr>
      <xdr:sp macro="" textlink="">
        <xdr:nvSpPr>
          <xdr:cNvPr id="5785" name="Line 96">
            <a:extLst>
              <a:ext uri="{FF2B5EF4-FFF2-40B4-BE49-F238E27FC236}">
                <a16:creationId xmlns:a16="http://schemas.microsoft.com/office/drawing/2014/main" id="{62FD8358-9E51-47EB-A232-5FF5E5C7582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86" name="Line 97">
            <a:extLst>
              <a:ext uri="{FF2B5EF4-FFF2-40B4-BE49-F238E27FC236}">
                <a16:creationId xmlns:a16="http://schemas.microsoft.com/office/drawing/2014/main" id="{F20A1E01-F937-4066-87B2-0FB592617B9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9525</xdr:colOff>
      <xdr:row>18</xdr:row>
      <xdr:rowOff>47625</xdr:rowOff>
    </xdr:from>
    <xdr:to>
      <xdr:col>17</xdr:col>
      <xdr:colOff>0</xdr:colOff>
      <xdr:row>18</xdr:row>
      <xdr:rowOff>190500</xdr:rowOff>
    </xdr:to>
    <xdr:sp macro="" textlink="">
      <xdr:nvSpPr>
        <xdr:cNvPr id="5709" name="Freeform 98">
          <a:extLst>
            <a:ext uri="{FF2B5EF4-FFF2-40B4-BE49-F238E27FC236}">
              <a16:creationId xmlns:a16="http://schemas.microsoft.com/office/drawing/2014/main" id="{A622897E-36B5-408B-A678-4953607BB5B5}"/>
            </a:ext>
          </a:extLst>
        </xdr:cNvPr>
        <xdr:cNvSpPr>
          <a:spLocks/>
        </xdr:cNvSpPr>
      </xdr:nvSpPr>
      <xdr:spPr bwMode="auto">
        <a:xfrm>
          <a:off x="4238625" y="7200900"/>
          <a:ext cx="266700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18</xdr:row>
      <xdr:rowOff>104775</xdr:rowOff>
    </xdr:from>
    <xdr:to>
      <xdr:col>16</xdr:col>
      <xdr:colOff>0</xdr:colOff>
      <xdr:row>18</xdr:row>
      <xdr:rowOff>152400</xdr:rowOff>
    </xdr:to>
    <xdr:grpSp>
      <xdr:nvGrpSpPr>
        <xdr:cNvPr id="5710" name="Group 99">
          <a:extLst>
            <a:ext uri="{FF2B5EF4-FFF2-40B4-BE49-F238E27FC236}">
              <a16:creationId xmlns:a16="http://schemas.microsoft.com/office/drawing/2014/main" id="{EB86CB0D-668C-4957-8F94-F90D96E0DF30}"/>
            </a:ext>
          </a:extLst>
        </xdr:cNvPr>
        <xdr:cNvGrpSpPr>
          <a:grpSpLocks/>
        </xdr:cNvGrpSpPr>
      </xdr:nvGrpSpPr>
      <xdr:grpSpPr bwMode="auto">
        <a:xfrm>
          <a:off x="3952875" y="7258050"/>
          <a:ext cx="276225" cy="47625"/>
          <a:chOff x="158" y="715"/>
          <a:chExt cx="33" cy="5"/>
        </a:xfrm>
      </xdr:grpSpPr>
      <xdr:sp macro="" textlink="">
        <xdr:nvSpPr>
          <xdr:cNvPr id="5783" name="Line 100">
            <a:extLst>
              <a:ext uri="{FF2B5EF4-FFF2-40B4-BE49-F238E27FC236}">
                <a16:creationId xmlns:a16="http://schemas.microsoft.com/office/drawing/2014/main" id="{DCABECE0-5D36-490A-8886-D78ED96FFF7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84" name="Line 101">
            <a:extLst>
              <a:ext uri="{FF2B5EF4-FFF2-40B4-BE49-F238E27FC236}">
                <a16:creationId xmlns:a16="http://schemas.microsoft.com/office/drawing/2014/main" id="{C8059EC6-0DCE-45EC-8C85-BC070CD6C5C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95250</xdr:rowOff>
    </xdr:from>
    <xdr:to>
      <xdr:col>11</xdr:col>
      <xdr:colOff>0</xdr:colOff>
      <xdr:row>17</xdr:row>
      <xdr:rowOff>142875</xdr:rowOff>
    </xdr:to>
    <xdr:grpSp>
      <xdr:nvGrpSpPr>
        <xdr:cNvPr id="5711" name="Group 102">
          <a:extLst>
            <a:ext uri="{FF2B5EF4-FFF2-40B4-BE49-F238E27FC236}">
              <a16:creationId xmlns:a16="http://schemas.microsoft.com/office/drawing/2014/main" id="{CEF46ACB-C29E-4B41-A25F-32E15F3C0D04}"/>
            </a:ext>
          </a:extLst>
        </xdr:cNvPr>
        <xdr:cNvGrpSpPr>
          <a:grpSpLocks/>
        </xdr:cNvGrpSpPr>
      </xdr:nvGrpSpPr>
      <xdr:grpSpPr bwMode="auto">
        <a:xfrm>
          <a:off x="876300" y="7019925"/>
          <a:ext cx="1971675" cy="47625"/>
          <a:chOff x="158" y="715"/>
          <a:chExt cx="33" cy="5"/>
        </a:xfrm>
      </xdr:grpSpPr>
      <xdr:sp macro="" textlink="">
        <xdr:nvSpPr>
          <xdr:cNvPr id="5781" name="Line 103">
            <a:extLst>
              <a:ext uri="{FF2B5EF4-FFF2-40B4-BE49-F238E27FC236}">
                <a16:creationId xmlns:a16="http://schemas.microsoft.com/office/drawing/2014/main" id="{C14A6A17-9B10-41F0-B192-6F8270BF43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82" name="Line 104">
            <a:extLst>
              <a:ext uri="{FF2B5EF4-FFF2-40B4-BE49-F238E27FC236}">
                <a16:creationId xmlns:a16="http://schemas.microsoft.com/office/drawing/2014/main" id="{C95D20B6-A335-4525-A284-3E4E92F9530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17</xdr:row>
      <xdr:rowOff>114300</xdr:rowOff>
    </xdr:from>
    <xdr:to>
      <xdr:col>12</xdr:col>
      <xdr:colOff>0</xdr:colOff>
      <xdr:row>17</xdr:row>
      <xdr:rowOff>114300</xdr:rowOff>
    </xdr:to>
    <xdr:sp macro="" textlink="">
      <xdr:nvSpPr>
        <xdr:cNvPr id="5712" name="Line 105">
          <a:extLst>
            <a:ext uri="{FF2B5EF4-FFF2-40B4-BE49-F238E27FC236}">
              <a16:creationId xmlns:a16="http://schemas.microsoft.com/office/drawing/2014/main" id="{7487855F-3B54-4467-9D25-684B3B356148}"/>
            </a:ext>
          </a:extLst>
        </xdr:cNvPr>
        <xdr:cNvSpPr>
          <a:spLocks noChangeShapeType="1"/>
        </xdr:cNvSpPr>
      </xdr:nvSpPr>
      <xdr:spPr bwMode="auto">
        <a:xfrm>
          <a:off x="2847975" y="7038975"/>
          <a:ext cx="2762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18</xdr:row>
      <xdr:rowOff>114300</xdr:rowOff>
    </xdr:from>
    <xdr:to>
      <xdr:col>14</xdr:col>
      <xdr:colOff>0</xdr:colOff>
      <xdr:row>18</xdr:row>
      <xdr:rowOff>114300</xdr:rowOff>
    </xdr:to>
    <xdr:sp macro="" textlink="">
      <xdr:nvSpPr>
        <xdr:cNvPr id="5713" name="Line 106">
          <a:extLst>
            <a:ext uri="{FF2B5EF4-FFF2-40B4-BE49-F238E27FC236}">
              <a16:creationId xmlns:a16="http://schemas.microsoft.com/office/drawing/2014/main" id="{4FF18666-DD36-4971-884A-CC713D36CFF3}"/>
            </a:ext>
          </a:extLst>
        </xdr:cNvPr>
        <xdr:cNvSpPr>
          <a:spLocks noChangeShapeType="1"/>
        </xdr:cNvSpPr>
      </xdr:nvSpPr>
      <xdr:spPr bwMode="auto">
        <a:xfrm>
          <a:off x="2847975" y="7267575"/>
          <a:ext cx="8286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18</xdr:row>
      <xdr:rowOff>95250</xdr:rowOff>
    </xdr:from>
    <xdr:to>
      <xdr:col>11</xdr:col>
      <xdr:colOff>0</xdr:colOff>
      <xdr:row>18</xdr:row>
      <xdr:rowOff>142875</xdr:rowOff>
    </xdr:to>
    <xdr:grpSp>
      <xdr:nvGrpSpPr>
        <xdr:cNvPr id="5714" name="Group 107">
          <a:extLst>
            <a:ext uri="{FF2B5EF4-FFF2-40B4-BE49-F238E27FC236}">
              <a16:creationId xmlns:a16="http://schemas.microsoft.com/office/drawing/2014/main" id="{BBD3AFA7-C8AB-41AD-BCB5-563E81F132F5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1971675" cy="47625"/>
          <a:chOff x="158" y="715"/>
          <a:chExt cx="33" cy="5"/>
        </a:xfrm>
      </xdr:grpSpPr>
      <xdr:sp macro="" textlink="">
        <xdr:nvSpPr>
          <xdr:cNvPr id="5779" name="Line 108">
            <a:extLst>
              <a:ext uri="{FF2B5EF4-FFF2-40B4-BE49-F238E27FC236}">
                <a16:creationId xmlns:a16="http://schemas.microsoft.com/office/drawing/2014/main" id="{291B5DAC-BD1B-47B7-8950-E63237E7CBA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80" name="Line 109">
            <a:extLst>
              <a:ext uri="{FF2B5EF4-FFF2-40B4-BE49-F238E27FC236}">
                <a16:creationId xmlns:a16="http://schemas.microsoft.com/office/drawing/2014/main" id="{F2F53083-AE51-4355-8E37-68D84061854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133350</xdr:colOff>
      <xdr:row>5</xdr:row>
      <xdr:rowOff>209550</xdr:rowOff>
    </xdr:from>
    <xdr:to>
      <xdr:col>6</xdr:col>
      <xdr:colOff>95250</xdr:colOff>
      <xdr:row>6</xdr:row>
      <xdr:rowOff>1143000</xdr:rowOff>
    </xdr:to>
    <xdr:sp macro="" textlink="">
      <xdr:nvSpPr>
        <xdr:cNvPr id="1134" name="Text Box 110">
          <a:extLst>
            <a:ext uri="{FF2B5EF4-FFF2-40B4-BE49-F238E27FC236}">
              <a16:creationId xmlns:a16="http://schemas.microsoft.com/office/drawing/2014/main" id="{DFDFDC86-E350-4E97-A52C-C6F2343AF601}"/>
            </a:ext>
          </a:extLst>
        </xdr:cNvPr>
        <xdr:cNvSpPr txBox="1">
          <a:spLocks noChangeArrowheads="1"/>
        </xdr:cNvSpPr>
      </xdr:nvSpPr>
      <xdr:spPr bwMode="auto">
        <a:xfrm>
          <a:off x="1323975" y="1390650"/>
          <a:ext cx="238125" cy="1162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府中分れ</a:t>
          </a:r>
        </a:p>
      </xdr:txBody>
    </xdr:sp>
    <xdr:clientData/>
  </xdr:twoCellAnchor>
  <xdr:twoCellAnchor>
    <xdr:from>
      <xdr:col>20</xdr:col>
      <xdr:colOff>85725</xdr:colOff>
      <xdr:row>6</xdr:row>
      <xdr:rowOff>95250</xdr:rowOff>
    </xdr:from>
    <xdr:to>
      <xdr:col>21</xdr:col>
      <xdr:colOff>85725</xdr:colOff>
      <xdr:row>6</xdr:row>
      <xdr:rowOff>1162050</xdr:rowOff>
    </xdr:to>
    <xdr:sp macro="" textlink="">
      <xdr:nvSpPr>
        <xdr:cNvPr id="1135" name="Text Box 111">
          <a:extLst>
            <a:ext uri="{FF2B5EF4-FFF2-40B4-BE49-F238E27FC236}">
              <a16:creationId xmlns:a16="http://schemas.microsoft.com/office/drawing/2014/main" id="{7B921B9B-82D3-4D6D-B70E-1D6212EC1C0E}"/>
            </a:ext>
          </a:extLst>
        </xdr:cNvPr>
        <xdr:cNvSpPr txBox="1">
          <a:spLocks noChangeArrowheads="1"/>
        </xdr:cNvSpPr>
      </xdr:nvSpPr>
      <xdr:spPr bwMode="auto">
        <a:xfrm>
          <a:off x="5419725" y="1504950"/>
          <a:ext cx="276225" cy="1066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岡山</a:t>
          </a:r>
        </a:p>
      </xdr:txBody>
    </xdr:sp>
    <xdr:clientData/>
  </xdr:twoCellAnchor>
  <xdr:twoCellAnchor>
    <xdr:from>
      <xdr:col>8</xdr:col>
      <xdr:colOff>209550</xdr:colOff>
      <xdr:row>13</xdr:row>
      <xdr:rowOff>609600</xdr:rowOff>
    </xdr:from>
    <xdr:to>
      <xdr:col>9</xdr:col>
      <xdr:colOff>161925</xdr:colOff>
      <xdr:row>13</xdr:row>
      <xdr:rowOff>762000</xdr:rowOff>
    </xdr:to>
    <xdr:grpSp>
      <xdr:nvGrpSpPr>
        <xdr:cNvPr id="5717" name="Group 112">
          <a:extLst>
            <a:ext uri="{FF2B5EF4-FFF2-40B4-BE49-F238E27FC236}">
              <a16:creationId xmlns:a16="http://schemas.microsoft.com/office/drawing/2014/main" id="{6743D73A-A8EE-4632-BE73-5A2A1B94978C}"/>
            </a:ext>
          </a:extLst>
        </xdr:cNvPr>
        <xdr:cNvGrpSpPr>
          <a:grpSpLocks/>
        </xdr:cNvGrpSpPr>
      </xdr:nvGrpSpPr>
      <xdr:grpSpPr bwMode="auto">
        <a:xfrm>
          <a:off x="2228850" y="5267325"/>
          <a:ext cx="228600" cy="152400"/>
          <a:chOff x="248" y="601"/>
          <a:chExt cx="28" cy="16"/>
        </a:xfrm>
      </xdr:grpSpPr>
      <xdr:sp macro="" textlink="">
        <xdr:nvSpPr>
          <xdr:cNvPr id="5775" name="Line 113">
            <a:extLst>
              <a:ext uri="{FF2B5EF4-FFF2-40B4-BE49-F238E27FC236}">
                <a16:creationId xmlns:a16="http://schemas.microsoft.com/office/drawing/2014/main" id="{FC17ADBD-56E9-4759-B9D9-9145E3768774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76" name="Freeform 114">
            <a:extLst>
              <a:ext uri="{FF2B5EF4-FFF2-40B4-BE49-F238E27FC236}">
                <a16:creationId xmlns:a16="http://schemas.microsoft.com/office/drawing/2014/main" id="{48A27AD4-3A85-4112-8675-DCAFAF87DA18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0 w 193"/>
              <a:gd name="T7" fmla="*/ 0 h 199"/>
              <a:gd name="T8" fmla="*/ 0 w 193"/>
              <a:gd name="T9" fmla="*/ 0 h 199"/>
              <a:gd name="T10" fmla="*/ 0 w 193"/>
              <a:gd name="T11" fmla="*/ 0 h 199"/>
              <a:gd name="T12" fmla="*/ 0 w 193"/>
              <a:gd name="T13" fmla="*/ 0 h 199"/>
              <a:gd name="T14" fmla="*/ 0 w 193"/>
              <a:gd name="T15" fmla="*/ 0 h 199"/>
              <a:gd name="T16" fmla="*/ 0 w 193"/>
              <a:gd name="T17" fmla="*/ 0 h 199"/>
              <a:gd name="T18" fmla="*/ 0 w 193"/>
              <a:gd name="T19" fmla="*/ 0 h 199"/>
              <a:gd name="T20" fmla="*/ 0 w 193"/>
              <a:gd name="T21" fmla="*/ 0 h 199"/>
              <a:gd name="T22" fmla="*/ 0 w 193"/>
              <a:gd name="T23" fmla="*/ 0 h 199"/>
              <a:gd name="T24" fmla="*/ 0 w 193"/>
              <a:gd name="T25" fmla="*/ 0 h 199"/>
              <a:gd name="T26" fmla="*/ 0 w 193"/>
              <a:gd name="T27" fmla="*/ 0 h 199"/>
              <a:gd name="T28" fmla="*/ 0 w 193"/>
              <a:gd name="T29" fmla="*/ 0 h 199"/>
              <a:gd name="T30" fmla="*/ 0 w 193"/>
              <a:gd name="T31" fmla="*/ 0 h 199"/>
              <a:gd name="T32" fmla="*/ 0 w 193"/>
              <a:gd name="T33" fmla="*/ 0 h 199"/>
              <a:gd name="T34" fmla="*/ 0 w 193"/>
              <a:gd name="T35" fmla="*/ 0 h 199"/>
              <a:gd name="T36" fmla="*/ 0 w 193"/>
              <a:gd name="T37" fmla="*/ 0 h 199"/>
              <a:gd name="T38" fmla="*/ 0 w 193"/>
              <a:gd name="T39" fmla="*/ 0 h 199"/>
              <a:gd name="T40" fmla="*/ 0 w 193"/>
              <a:gd name="T41" fmla="*/ 0 h 199"/>
              <a:gd name="T42" fmla="*/ 0 w 193"/>
              <a:gd name="T43" fmla="*/ 0 h 199"/>
              <a:gd name="T44" fmla="*/ 0 w 193"/>
              <a:gd name="T45" fmla="*/ 0 h 199"/>
              <a:gd name="T46" fmla="*/ 0 w 193"/>
              <a:gd name="T47" fmla="*/ 0 h 199"/>
              <a:gd name="T48" fmla="*/ 0 w 193"/>
              <a:gd name="T49" fmla="*/ 0 h 199"/>
              <a:gd name="T50" fmla="*/ 0 w 193"/>
              <a:gd name="T51" fmla="*/ 0 h 199"/>
              <a:gd name="T52" fmla="*/ 0 w 193"/>
              <a:gd name="T53" fmla="*/ 0 h 199"/>
              <a:gd name="T54" fmla="*/ 0 w 193"/>
              <a:gd name="T55" fmla="*/ 0 h 199"/>
              <a:gd name="T56" fmla="*/ 0 w 193"/>
              <a:gd name="T57" fmla="*/ 0 h 199"/>
              <a:gd name="T58" fmla="*/ 0 w 193"/>
              <a:gd name="T59" fmla="*/ 0 h 199"/>
              <a:gd name="T60" fmla="*/ 0 w 193"/>
              <a:gd name="T61" fmla="*/ 0 h 199"/>
              <a:gd name="T62" fmla="*/ 0 w 193"/>
              <a:gd name="T63" fmla="*/ 0 h 199"/>
              <a:gd name="T64" fmla="*/ 0 w 193"/>
              <a:gd name="T65" fmla="*/ 0 h 199"/>
              <a:gd name="T66" fmla="*/ 0 w 193"/>
              <a:gd name="T67" fmla="*/ 0 h 199"/>
              <a:gd name="T68" fmla="*/ 0 w 193"/>
              <a:gd name="T69" fmla="*/ 0 h 199"/>
              <a:gd name="T70" fmla="*/ 0 w 193"/>
              <a:gd name="T71" fmla="*/ 0 h 199"/>
              <a:gd name="T72" fmla="*/ 0 w 193"/>
              <a:gd name="T73" fmla="*/ 0 h 199"/>
              <a:gd name="T74" fmla="*/ 0 w 193"/>
              <a:gd name="T75" fmla="*/ 0 h 199"/>
              <a:gd name="T76" fmla="*/ 0 w 193"/>
              <a:gd name="T77" fmla="*/ 0 h 199"/>
              <a:gd name="T78" fmla="*/ 0 w 193"/>
              <a:gd name="T79" fmla="*/ 0 h 199"/>
              <a:gd name="T80" fmla="*/ 0 w 193"/>
              <a:gd name="T81" fmla="*/ 0 h 199"/>
              <a:gd name="T82" fmla="*/ 0 w 193"/>
              <a:gd name="T83" fmla="*/ 0 h 199"/>
              <a:gd name="T84" fmla="*/ 0 w 193"/>
              <a:gd name="T85" fmla="*/ 0 h 199"/>
              <a:gd name="T86" fmla="*/ 0 w 193"/>
              <a:gd name="T87" fmla="*/ 0 h 199"/>
              <a:gd name="T88" fmla="*/ 0 w 193"/>
              <a:gd name="T89" fmla="*/ 0 h 199"/>
              <a:gd name="T90" fmla="*/ 0 w 193"/>
              <a:gd name="T91" fmla="*/ 0 h 199"/>
              <a:gd name="T92" fmla="*/ 0 w 193"/>
              <a:gd name="T93" fmla="*/ 0 h 199"/>
              <a:gd name="T94" fmla="*/ 0 w 193"/>
              <a:gd name="T95" fmla="*/ 0 h 199"/>
              <a:gd name="T96" fmla="*/ 0 w 193"/>
              <a:gd name="T97" fmla="*/ 0 h 199"/>
              <a:gd name="T98" fmla="*/ 0 w 193"/>
              <a:gd name="T99" fmla="*/ 0 h 199"/>
              <a:gd name="T100" fmla="*/ 0 w 193"/>
              <a:gd name="T101" fmla="*/ 0 h 199"/>
              <a:gd name="T102" fmla="*/ 0 w 193"/>
              <a:gd name="T103" fmla="*/ 0 h 199"/>
              <a:gd name="T104" fmla="*/ 0 w 193"/>
              <a:gd name="T105" fmla="*/ 0 h 199"/>
              <a:gd name="T106" fmla="*/ 0 w 193"/>
              <a:gd name="T107" fmla="*/ 0 h 199"/>
              <a:gd name="T108" fmla="*/ 0 w 193"/>
              <a:gd name="T109" fmla="*/ 0 h 199"/>
              <a:gd name="T110" fmla="*/ 0 w 193"/>
              <a:gd name="T111" fmla="*/ 0 h 199"/>
              <a:gd name="T112" fmla="*/ 0 w 193"/>
              <a:gd name="T113" fmla="*/ 0 h 199"/>
              <a:gd name="T114" fmla="*/ 0 w 193"/>
              <a:gd name="T115" fmla="*/ 0 h 199"/>
              <a:gd name="T116" fmla="*/ 0 w 193"/>
              <a:gd name="T117" fmla="*/ 0 h 199"/>
              <a:gd name="T118" fmla="*/ 0 w 193"/>
              <a:gd name="T119" fmla="*/ 0 h 199"/>
              <a:gd name="T120" fmla="*/ 0 w 193"/>
              <a:gd name="T121" fmla="*/ 0 h 199"/>
              <a:gd name="T122" fmla="*/ 0 w 19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777" name="Line 115">
            <a:extLst>
              <a:ext uri="{FF2B5EF4-FFF2-40B4-BE49-F238E27FC236}">
                <a16:creationId xmlns:a16="http://schemas.microsoft.com/office/drawing/2014/main" id="{F8D3A8B3-F75A-4FE8-A933-59C4046E0A77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78" name="Freeform 116">
            <a:extLst>
              <a:ext uri="{FF2B5EF4-FFF2-40B4-BE49-F238E27FC236}">
                <a16:creationId xmlns:a16="http://schemas.microsoft.com/office/drawing/2014/main" id="{CE6FEB64-0300-4464-B9FF-CEE49331FB53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0 w 201"/>
              <a:gd name="T1" fmla="*/ 0 h 174"/>
              <a:gd name="T2" fmla="*/ 0 w 201"/>
              <a:gd name="T3" fmla="*/ 0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228600</xdr:colOff>
      <xdr:row>13</xdr:row>
      <xdr:rowOff>885825</xdr:rowOff>
    </xdr:from>
    <xdr:to>
      <xdr:col>10</xdr:col>
      <xdr:colOff>180975</xdr:colOff>
      <xdr:row>13</xdr:row>
      <xdr:rowOff>1038225</xdr:rowOff>
    </xdr:to>
    <xdr:grpSp>
      <xdr:nvGrpSpPr>
        <xdr:cNvPr id="5718" name="Group 117">
          <a:extLst>
            <a:ext uri="{FF2B5EF4-FFF2-40B4-BE49-F238E27FC236}">
              <a16:creationId xmlns:a16="http://schemas.microsoft.com/office/drawing/2014/main" id="{3C7B64F9-0911-4EEC-BDE4-8EEEC698508D}"/>
            </a:ext>
          </a:extLst>
        </xdr:cNvPr>
        <xdr:cNvGrpSpPr>
          <a:grpSpLocks/>
        </xdr:cNvGrpSpPr>
      </xdr:nvGrpSpPr>
      <xdr:grpSpPr bwMode="auto">
        <a:xfrm rot="10800000">
          <a:off x="2524125" y="5543550"/>
          <a:ext cx="228600" cy="152400"/>
          <a:chOff x="248" y="601"/>
          <a:chExt cx="28" cy="16"/>
        </a:xfrm>
      </xdr:grpSpPr>
      <xdr:sp macro="" textlink="">
        <xdr:nvSpPr>
          <xdr:cNvPr id="5771" name="Line 118">
            <a:extLst>
              <a:ext uri="{FF2B5EF4-FFF2-40B4-BE49-F238E27FC236}">
                <a16:creationId xmlns:a16="http://schemas.microsoft.com/office/drawing/2014/main" id="{CF4A741E-23CD-4B85-B093-41E1A22156CC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72" name="Freeform 119">
            <a:extLst>
              <a:ext uri="{FF2B5EF4-FFF2-40B4-BE49-F238E27FC236}">
                <a16:creationId xmlns:a16="http://schemas.microsoft.com/office/drawing/2014/main" id="{64DD801B-0FC5-4ED7-B804-A421FDC00B8B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0 w 193"/>
              <a:gd name="T7" fmla="*/ 0 h 199"/>
              <a:gd name="T8" fmla="*/ 0 w 193"/>
              <a:gd name="T9" fmla="*/ 0 h 199"/>
              <a:gd name="T10" fmla="*/ 0 w 193"/>
              <a:gd name="T11" fmla="*/ 0 h 199"/>
              <a:gd name="T12" fmla="*/ 0 w 193"/>
              <a:gd name="T13" fmla="*/ 0 h 199"/>
              <a:gd name="T14" fmla="*/ 0 w 193"/>
              <a:gd name="T15" fmla="*/ 0 h 199"/>
              <a:gd name="T16" fmla="*/ 0 w 193"/>
              <a:gd name="T17" fmla="*/ 0 h 199"/>
              <a:gd name="T18" fmla="*/ 0 w 193"/>
              <a:gd name="T19" fmla="*/ 0 h 199"/>
              <a:gd name="T20" fmla="*/ 0 w 193"/>
              <a:gd name="T21" fmla="*/ 0 h 199"/>
              <a:gd name="T22" fmla="*/ 0 w 193"/>
              <a:gd name="T23" fmla="*/ 0 h 199"/>
              <a:gd name="T24" fmla="*/ 0 w 193"/>
              <a:gd name="T25" fmla="*/ 0 h 199"/>
              <a:gd name="T26" fmla="*/ 0 w 193"/>
              <a:gd name="T27" fmla="*/ 0 h 199"/>
              <a:gd name="T28" fmla="*/ 0 w 193"/>
              <a:gd name="T29" fmla="*/ 0 h 199"/>
              <a:gd name="T30" fmla="*/ 0 w 193"/>
              <a:gd name="T31" fmla="*/ 0 h 199"/>
              <a:gd name="T32" fmla="*/ 0 w 193"/>
              <a:gd name="T33" fmla="*/ 0 h 199"/>
              <a:gd name="T34" fmla="*/ 0 w 193"/>
              <a:gd name="T35" fmla="*/ 0 h 199"/>
              <a:gd name="T36" fmla="*/ 0 w 193"/>
              <a:gd name="T37" fmla="*/ 0 h 199"/>
              <a:gd name="T38" fmla="*/ 0 w 193"/>
              <a:gd name="T39" fmla="*/ 0 h 199"/>
              <a:gd name="T40" fmla="*/ 0 w 193"/>
              <a:gd name="T41" fmla="*/ 0 h 199"/>
              <a:gd name="T42" fmla="*/ 0 w 193"/>
              <a:gd name="T43" fmla="*/ 0 h 199"/>
              <a:gd name="T44" fmla="*/ 0 w 193"/>
              <a:gd name="T45" fmla="*/ 0 h 199"/>
              <a:gd name="T46" fmla="*/ 0 w 193"/>
              <a:gd name="T47" fmla="*/ 0 h 199"/>
              <a:gd name="T48" fmla="*/ 0 w 193"/>
              <a:gd name="T49" fmla="*/ 0 h 199"/>
              <a:gd name="T50" fmla="*/ 0 w 193"/>
              <a:gd name="T51" fmla="*/ 0 h 199"/>
              <a:gd name="T52" fmla="*/ 0 w 193"/>
              <a:gd name="T53" fmla="*/ 0 h 199"/>
              <a:gd name="T54" fmla="*/ 0 w 193"/>
              <a:gd name="T55" fmla="*/ 0 h 199"/>
              <a:gd name="T56" fmla="*/ 0 w 193"/>
              <a:gd name="T57" fmla="*/ 0 h 199"/>
              <a:gd name="T58" fmla="*/ 0 w 193"/>
              <a:gd name="T59" fmla="*/ 0 h 199"/>
              <a:gd name="T60" fmla="*/ 0 w 193"/>
              <a:gd name="T61" fmla="*/ 0 h 199"/>
              <a:gd name="T62" fmla="*/ 0 w 193"/>
              <a:gd name="T63" fmla="*/ 0 h 199"/>
              <a:gd name="T64" fmla="*/ 0 w 193"/>
              <a:gd name="T65" fmla="*/ 0 h 199"/>
              <a:gd name="T66" fmla="*/ 0 w 193"/>
              <a:gd name="T67" fmla="*/ 0 h 199"/>
              <a:gd name="T68" fmla="*/ 0 w 193"/>
              <a:gd name="T69" fmla="*/ 0 h 199"/>
              <a:gd name="T70" fmla="*/ 0 w 193"/>
              <a:gd name="T71" fmla="*/ 0 h 199"/>
              <a:gd name="T72" fmla="*/ 0 w 193"/>
              <a:gd name="T73" fmla="*/ 0 h 199"/>
              <a:gd name="T74" fmla="*/ 0 w 193"/>
              <a:gd name="T75" fmla="*/ 0 h 199"/>
              <a:gd name="T76" fmla="*/ 0 w 193"/>
              <a:gd name="T77" fmla="*/ 0 h 199"/>
              <a:gd name="T78" fmla="*/ 0 w 193"/>
              <a:gd name="T79" fmla="*/ 0 h 199"/>
              <a:gd name="T80" fmla="*/ 0 w 193"/>
              <a:gd name="T81" fmla="*/ 0 h 199"/>
              <a:gd name="T82" fmla="*/ 0 w 193"/>
              <a:gd name="T83" fmla="*/ 0 h 199"/>
              <a:gd name="T84" fmla="*/ 0 w 193"/>
              <a:gd name="T85" fmla="*/ 0 h 199"/>
              <a:gd name="T86" fmla="*/ 0 w 193"/>
              <a:gd name="T87" fmla="*/ 0 h 199"/>
              <a:gd name="T88" fmla="*/ 0 w 193"/>
              <a:gd name="T89" fmla="*/ 0 h 199"/>
              <a:gd name="T90" fmla="*/ 0 w 193"/>
              <a:gd name="T91" fmla="*/ 0 h 199"/>
              <a:gd name="T92" fmla="*/ 0 w 193"/>
              <a:gd name="T93" fmla="*/ 0 h 199"/>
              <a:gd name="T94" fmla="*/ 0 w 193"/>
              <a:gd name="T95" fmla="*/ 0 h 199"/>
              <a:gd name="T96" fmla="*/ 0 w 193"/>
              <a:gd name="T97" fmla="*/ 0 h 199"/>
              <a:gd name="T98" fmla="*/ 0 w 193"/>
              <a:gd name="T99" fmla="*/ 0 h 199"/>
              <a:gd name="T100" fmla="*/ 0 w 193"/>
              <a:gd name="T101" fmla="*/ 0 h 199"/>
              <a:gd name="T102" fmla="*/ 0 w 193"/>
              <a:gd name="T103" fmla="*/ 0 h 199"/>
              <a:gd name="T104" fmla="*/ 0 w 193"/>
              <a:gd name="T105" fmla="*/ 0 h 199"/>
              <a:gd name="T106" fmla="*/ 0 w 193"/>
              <a:gd name="T107" fmla="*/ 0 h 199"/>
              <a:gd name="T108" fmla="*/ 0 w 193"/>
              <a:gd name="T109" fmla="*/ 0 h 199"/>
              <a:gd name="T110" fmla="*/ 0 w 193"/>
              <a:gd name="T111" fmla="*/ 0 h 199"/>
              <a:gd name="T112" fmla="*/ 0 w 193"/>
              <a:gd name="T113" fmla="*/ 0 h 199"/>
              <a:gd name="T114" fmla="*/ 0 w 193"/>
              <a:gd name="T115" fmla="*/ 0 h 199"/>
              <a:gd name="T116" fmla="*/ 0 w 193"/>
              <a:gd name="T117" fmla="*/ 0 h 199"/>
              <a:gd name="T118" fmla="*/ 0 w 193"/>
              <a:gd name="T119" fmla="*/ 0 h 199"/>
              <a:gd name="T120" fmla="*/ 0 w 193"/>
              <a:gd name="T121" fmla="*/ 0 h 199"/>
              <a:gd name="T122" fmla="*/ 0 w 19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773" name="Line 120">
            <a:extLst>
              <a:ext uri="{FF2B5EF4-FFF2-40B4-BE49-F238E27FC236}">
                <a16:creationId xmlns:a16="http://schemas.microsoft.com/office/drawing/2014/main" id="{38B4D6B3-FC13-41F5-AE82-B21279F893DC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74" name="Freeform 121">
            <a:extLst>
              <a:ext uri="{FF2B5EF4-FFF2-40B4-BE49-F238E27FC236}">
                <a16:creationId xmlns:a16="http://schemas.microsoft.com/office/drawing/2014/main" id="{EA297DBF-A488-47C8-84F2-A661B7CE2022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0 w 201"/>
              <a:gd name="T1" fmla="*/ 0 h 174"/>
              <a:gd name="T2" fmla="*/ 0 w 201"/>
              <a:gd name="T3" fmla="*/ 0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19050</xdr:colOff>
      <xdr:row>16</xdr:row>
      <xdr:rowOff>38100</xdr:rowOff>
    </xdr:from>
    <xdr:to>
      <xdr:col>8</xdr:col>
      <xdr:colOff>276225</xdr:colOff>
      <xdr:row>16</xdr:row>
      <xdr:rowOff>209550</xdr:rowOff>
    </xdr:to>
    <xdr:grpSp>
      <xdr:nvGrpSpPr>
        <xdr:cNvPr id="5719" name="Group 122">
          <a:extLst>
            <a:ext uri="{FF2B5EF4-FFF2-40B4-BE49-F238E27FC236}">
              <a16:creationId xmlns:a16="http://schemas.microsoft.com/office/drawing/2014/main" id="{B7A78153-17C5-479B-808C-9DD4F64D7A70}"/>
            </a:ext>
          </a:extLst>
        </xdr:cNvPr>
        <xdr:cNvGrpSpPr>
          <a:grpSpLocks/>
        </xdr:cNvGrpSpPr>
      </xdr:nvGrpSpPr>
      <xdr:grpSpPr bwMode="auto">
        <a:xfrm>
          <a:off x="2038350" y="6734175"/>
          <a:ext cx="257175" cy="171450"/>
          <a:chOff x="226" y="755"/>
          <a:chExt cx="29" cy="18"/>
        </a:xfrm>
      </xdr:grpSpPr>
      <xdr:sp macro="" textlink="">
        <xdr:nvSpPr>
          <xdr:cNvPr id="5768" name="Oval 123">
            <a:extLst>
              <a:ext uri="{FF2B5EF4-FFF2-40B4-BE49-F238E27FC236}">
                <a16:creationId xmlns:a16="http://schemas.microsoft.com/office/drawing/2014/main" id="{9113D92A-3D22-4951-8C49-5E766C325033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769" name="Line 124">
            <a:extLst>
              <a:ext uri="{FF2B5EF4-FFF2-40B4-BE49-F238E27FC236}">
                <a16:creationId xmlns:a16="http://schemas.microsoft.com/office/drawing/2014/main" id="{AB521E67-02FE-41B6-9E54-87EFBE684A0D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70" name="Freeform 125">
            <a:extLst>
              <a:ext uri="{FF2B5EF4-FFF2-40B4-BE49-F238E27FC236}">
                <a16:creationId xmlns:a16="http://schemas.microsoft.com/office/drawing/2014/main" id="{452E1F07-EB68-49A2-AC77-A1E6E1763C6E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0 h 208"/>
              <a:gd name="T2" fmla="*/ 0 w 268"/>
              <a:gd name="T3" fmla="*/ 0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19050</xdr:colOff>
      <xdr:row>19</xdr:row>
      <xdr:rowOff>38100</xdr:rowOff>
    </xdr:from>
    <xdr:to>
      <xdr:col>15</xdr:col>
      <xdr:colOff>276225</xdr:colOff>
      <xdr:row>19</xdr:row>
      <xdr:rowOff>209550</xdr:rowOff>
    </xdr:to>
    <xdr:grpSp>
      <xdr:nvGrpSpPr>
        <xdr:cNvPr id="5720" name="Group 126">
          <a:extLst>
            <a:ext uri="{FF2B5EF4-FFF2-40B4-BE49-F238E27FC236}">
              <a16:creationId xmlns:a16="http://schemas.microsoft.com/office/drawing/2014/main" id="{DEA25B57-2C69-4C91-AB58-12F2788BE167}"/>
            </a:ext>
          </a:extLst>
        </xdr:cNvPr>
        <xdr:cNvGrpSpPr>
          <a:grpSpLocks/>
        </xdr:cNvGrpSpPr>
      </xdr:nvGrpSpPr>
      <xdr:grpSpPr bwMode="auto">
        <a:xfrm>
          <a:off x="3971925" y="7419975"/>
          <a:ext cx="257175" cy="171450"/>
          <a:chOff x="226" y="755"/>
          <a:chExt cx="29" cy="18"/>
        </a:xfrm>
      </xdr:grpSpPr>
      <xdr:sp macro="" textlink="">
        <xdr:nvSpPr>
          <xdr:cNvPr id="5765" name="Oval 127">
            <a:extLst>
              <a:ext uri="{FF2B5EF4-FFF2-40B4-BE49-F238E27FC236}">
                <a16:creationId xmlns:a16="http://schemas.microsoft.com/office/drawing/2014/main" id="{E4AF6836-78FE-4EE7-92BF-C1C1925CBD95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766" name="Line 128">
            <a:extLst>
              <a:ext uri="{FF2B5EF4-FFF2-40B4-BE49-F238E27FC236}">
                <a16:creationId xmlns:a16="http://schemas.microsoft.com/office/drawing/2014/main" id="{BF922596-E019-47BC-9DC7-8631AC61EAA0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67" name="Freeform 129">
            <a:extLst>
              <a:ext uri="{FF2B5EF4-FFF2-40B4-BE49-F238E27FC236}">
                <a16:creationId xmlns:a16="http://schemas.microsoft.com/office/drawing/2014/main" id="{232B3FCE-ED1E-4EBA-B154-5F0502B8AE5E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0 h 208"/>
              <a:gd name="T2" fmla="*/ 0 w 268"/>
              <a:gd name="T3" fmla="*/ 0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6</xdr:col>
      <xdr:colOff>219075</xdr:colOff>
      <xdr:row>2</xdr:row>
      <xdr:rowOff>66675</xdr:rowOff>
    </xdr:from>
    <xdr:to>
      <xdr:col>20</xdr:col>
      <xdr:colOff>38100</xdr:colOff>
      <xdr:row>8</xdr:row>
      <xdr:rowOff>47625</xdr:rowOff>
    </xdr:to>
    <xdr:pic>
      <xdr:nvPicPr>
        <xdr:cNvPr id="5721" name="Picture 130">
          <a:extLst>
            <a:ext uri="{FF2B5EF4-FFF2-40B4-BE49-F238E27FC236}">
              <a16:creationId xmlns:a16="http://schemas.microsoft.com/office/drawing/2014/main" id="{58EC3EE2-CA9D-4DF6-BE48-C8EB1B0C5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561975"/>
          <a:ext cx="3686175" cy="3000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85725</xdr:colOff>
      <xdr:row>6</xdr:row>
      <xdr:rowOff>1114425</xdr:rowOff>
    </xdr:from>
    <xdr:to>
      <xdr:col>6</xdr:col>
      <xdr:colOff>142875</xdr:colOff>
      <xdr:row>10</xdr:row>
      <xdr:rowOff>200025</xdr:rowOff>
    </xdr:to>
    <xdr:sp macro="" textlink="">
      <xdr:nvSpPr>
        <xdr:cNvPr id="1155" name="Text Box 131">
          <a:extLst>
            <a:ext uri="{FF2B5EF4-FFF2-40B4-BE49-F238E27FC236}">
              <a16:creationId xmlns:a16="http://schemas.microsoft.com/office/drawing/2014/main" id="{5B08EE86-37A5-450C-854E-B0B3C8C68713}"/>
            </a:ext>
          </a:extLst>
        </xdr:cNvPr>
        <xdr:cNvSpPr txBox="1">
          <a:spLocks noChangeArrowheads="1"/>
        </xdr:cNvSpPr>
      </xdr:nvSpPr>
      <xdr:spPr bwMode="auto">
        <a:xfrm>
          <a:off x="85725" y="2524125"/>
          <a:ext cx="1524000" cy="1647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</xdr:col>
      <xdr:colOff>0</xdr:colOff>
      <xdr:row>13</xdr:row>
      <xdr:rowOff>1171575</xdr:rowOff>
    </xdr:from>
    <xdr:to>
      <xdr:col>12</xdr:col>
      <xdr:colOff>180975</xdr:colOff>
      <xdr:row>13</xdr:row>
      <xdr:rowOff>1362075</xdr:rowOff>
    </xdr:to>
    <xdr:sp macro="" textlink="">
      <xdr:nvSpPr>
        <xdr:cNvPr id="1157" name="Text Box 133">
          <a:extLst>
            <a:ext uri="{FF2B5EF4-FFF2-40B4-BE49-F238E27FC236}">
              <a16:creationId xmlns:a16="http://schemas.microsoft.com/office/drawing/2014/main" id="{736F5947-4E41-4F0B-AD14-FE7EEB7DF874}"/>
            </a:ext>
          </a:extLst>
        </xdr:cNvPr>
        <xdr:cNvSpPr txBox="1">
          <a:spLocks noChangeArrowheads="1"/>
        </xdr:cNvSpPr>
      </xdr:nvSpPr>
      <xdr:spPr bwMode="auto">
        <a:xfrm>
          <a:off x="2847975" y="5829300"/>
          <a:ext cx="4572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23.0m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 editAs="oneCell">
    <xdr:from>
      <xdr:col>21</xdr:col>
      <xdr:colOff>123825</xdr:colOff>
      <xdr:row>6</xdr:row>
      <xdr:rowOff>190500</xdr:rowOff>
    </xdr:from>
    <xdr:to>
      <xdr:col>23</xdr:col>
      <xdr:colOff>47625</xdr:colOff>
      <xdr:row>6</xdr:row>
      <xdr:rowOff>885825</xdr:rowOff>
    </xdr:to>
    <xdr:pic>
      <xdr:nvPicPr>
        <xdr:cNvPr id="5724" name="Picture 134" descr="北マーク（北）">
          <a:extLst>
            <a:ext uri="{FF2B5EF4-FFF2-40B4-BE49-F238E27FC236}">
              <a16:creationId xmlns:a16="http://schemas.microsoft.com/office/drawing/2014/main" id="{6FAC32E8-8707-4EDD-A502-D60F6C95D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1600200"/>
          <a:ext cx="476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238125</xdr:colOff>
      <xdr:row>13</xdr:row>
      <xdr:rowOff>400050</xdr:rowOff>
    </xdr:from>
    <xdr:to>
      <xdr:col>23</xdr:col>
      <xdr:colOff>161925</xdr:colOff>
      <xdr:row>13</xdr:row>
      <xdr:rowOff>1095375</xdr:rowOff>
    </xdr:to>
    <xdr:pic>
      <xdr:nvPicPr>
        <xdr:cNvPr id="5725" name="Picture 135" descr="北マーク（北）">
          <a:extLst>
            <a:ext uri="{FF2B5EF4-FFF2-40B4-BE49-F238E27FC236}">
              <a16:creationId xmlns:a16="http://schemas.microsoft.com/office/drawing/2014/main" id="{47D4BF8E-B5C3-449B-A787-0A0B5C8A3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8350" y="5057775"/>
          <a:ext cx="476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257175</xdr:colOff>
      <xdr:row>13</xdr:row>
      <xdr:rowOff>238125</xdr:rowOff>
    </xdr:from>
    <xdr:to>
      <xdr:col>15</xdr:col>
      <xdr:colOff>19050</xdr:colOff>
      <xdr:row>13</xdr:row>
      <xdr:rowOff>400050</xdr:rowOff>
    </xdr:to>
    <xdr:sp macro="" textlink="">
      <xdr:nvSpPr>
        <xdr:cNvPr id="1162" name="Text Box 138">
          <a:extLst>
            <a:ext uri="{FF2B5EF4-FFF2-40B4-BE49-F238E27FC236}">
              <a16:creationId xmlns:a16="http://schemas.microsoft.com/office/drawing/2014/main" id="{62FAA095-240E-4034-90CE-F4D4C8829ABA}"/>
            </a:ext>
          </a:extLst>
        </xdr:cNvPr>
        <xdr:cNvSpPr txBox="1">
          <a:spLocks noChangeArrowheads="1"/>
        </xdr:cNvSpPr>
      </xdr:nvSpPr>
      <xdr:spPr bwMode="auto">
        <a:xfrm>
          <a:off x="3657600" y="4895850"/>
          <a:ext cx="3143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歩灯2</a:t>
          </a:r>
        </a:p>
      </xdr:txBody>
    </xdr:sp>
    <xdr:clientData/>
  </xdr:twoCellAnchor>
  <xdr:twoCellAnchor>
    <xdr:from>
      <xdr:col>11</xdr:col>
      <xdr:colOff>28575</xdr:colOff>
      <xdr:row>13</xdr:row>
      <xdr:rowOff>228600</xdr:rowOff>
    </xdr:from>
    <xdr:to>
      <xdr:col>12</xdr:col>
      <xdr:colOff>66675</xdr:colOff>
      <xdr:row>13</xdr:row>
      <xdr:rowOff>390525</xdr:rowOff>
    </xdr:to>
    <xdr:sp macro="" textlink="">
      <xdr:nvSpPr>
        <xdr:cNvPr id="1163" name="Text Box 139">
          <a:extLst>
            <a:ext uri="{FF2B5EF4-FFF2-40B4-BE49-F238E27FC236}">
              <a16:creationId xmlns:a16="http://schemas.microsoft.com/office/drawing/2014/main" id="{7D77DBD7-2C78-4028-A12E-269AEFDB1956}"/>
            </a:ext>
          </a:extLst>
        </xdr:cNvPr>
        <xdr:cNvSpPr txBox="1">
          <a:spLocks noChangeArrowheads="1"/>
        </xdr:cNvSpPr>
      </xdr:nvSpPr>
      <xdr:spPr bwMode="auto">
        <a:xfrm>
          <a:off x="2876550" y="4886325"/>
          <a:ext cx="3143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歩灯2</a:t>
          </a:r>
        </a:p>
      </xdr:txBody>
    </xdr:sp>
    <xdr:clientData/>
  </xdr:twoCellAnchor>
  <xdr:twoCellAnchor>
    <xdr:from>
      <xdr:col>16</xdr:col>
      <xdr:colOff>76200</xdr:colOff>
      <xdr:row>13</xdr:row>
      <xdr:rowOff>295275</xdr:rowOff>
    </xdr:from>
    <xdr:to>
      <xdr:col>18</xdr:col>
      <xdr:colOff>238125</xdr:colOff>
      <xdr:row>13</xdr:row>
      <xdr:rowOff>495300</xdr:rowOff>
    </xdr:to>
    <xdr:sp macro="" textlink="">
      <xdr:nvSpPr>
        <xdr:cNvPr id="1165" name="Text Box 141">
          <a:extLst>
            <a:ext uri="{FF2B5EF4-FFF2-40B4-BE49-F238E27FC236}">
              <a16:creationId xmlns:a16="http://schemas.microsoft.com/office/drawing/2014/main" id="{1A1B8519-2C2B-4770-8C36-23BFBB818D1F}"/>
            </a:ext>
          </a:extLst>
        </xdr:cNvPr>
        <xdr:cNvSpPr txBox="1">
          <a:spLocks noChangeArrowheads="1"/>
        </xdr:cNvSpPr>
      </xdr:nvSpPr>
      <xdr:spPr bwMode="auto">
        <a:xfrm>
          <a:off x="4305300" y="4953000"/>
          <a:ext cx="714375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ギャップ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38100</xdr:colOff>
      <xdr:row>13</xdr:row>
      <xdr:rowOff>504825</xdr:rowOff>
    </xdr:from>
    <xdr:to>
      <xdr:col>7</xdr:col>
      <xdr:colOff>85725</xdr:colOff>
      <xdr:row>13</xdr:row>
      <xdr:rowOff>809625</xdr:rowOff>
    </xdr:to>
    <xdr:grpSp>
      <xdr:nvGrpSpPr>
        <xdr:cNvPr id="5729" name="Group 20">
          <a:extLst>
            <a:ext uri="{FF2B5EF4-FFF2-40B4-BE49-F238E27FC236}">
              <a16:creationId xmlns:a16="http://schemas.microsoft.com/office/drawing/2014/main" id="{A5805850-6553-4461-83CE-24DEFFEB7C57}"/>
            </a:ext>
          </a:extLst>
        </xdr:cNvPr>
        <xdr:cNvGrpSpPr>
          <a:grpSpLocks/>
        </xdr:cNvGrpSpPr>
      </xdr:nvGrpSpPr>
      <xdr:grpSpPr bwMode="auto">
        <a:xfrm>
          <a:off x="914400" y="5162550"/>
          <a:ext cx="914400" cy="304800"/>
          <a:chOff x="123" y="585"/>
          <a:chExt cx="105" cy="32"/>
        </a:xfrm>
      </xdr:grpSpPr>
      <xdr:sp macro="" textlink="">
        <xdr:nvSpPr>
          <xdr:cNvPr id="5755" name="Line 21">
            <a:extLst>
              <a:ext uri="{FF2B5EF4-FFF2-40B4-BE49-F238E27FC236}">
                <a16:creationId xmlns:a16="http://schemas.microsoft.com/office/drawing/2014/main" id="{9A4C842B-7BBA-4CFD-A111-F1B096A6E91E}"/>
              </a:ext>
            </a:extLst>
          </xdr:cNvPr>
          <xdr:cNvSpPr>
            <a:spLocks noChangeShapeType="1"/>
          </xdr:cNvSpPr>
        </xdr:nvSpPr>
        <xdr:spPr bwMode="auto">
          <a:xfrm>
            <a:off x="123" y="60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56" name="Freeform 22">
            <a:extLst>
              <a:ext uri="{FF2B5EF4-FFF2-40B4-BE49-F238E27FC236}">
                <a16:creationId xmlns:a16="http://schemas.microsoft.com/office/drawing/2014/main" id="{5E7837F5-B5F2-4FAD-91DC-C1690B641BCA}"/>
              </a:ext>
            </a:extLst>
          </xdr:cNvPr>
          <xdr:cNvSpPr>
            <a:spLocks/>
          </xdr:cNvSpPr>
        </xdr:nvSpPr>
        <xdr:spPr bwMode="auto">
          <a:xfrm>
            <a:off x="221" y="598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grpSp>
        <xdr:nvGrpSpPr>
          <xdr:cNvPr id="5757" name="Group 23">
            <a:extLst>
              <a:ext uri="{FF2B5EF4-FFF2-40B4-BE49-F238E27FC236}">
                <a16:creationId xmlns:a16="http://schemas.microsoft.com/office/drawing/2014/main" id="{F8023FC4-B722-442F-84E8-DD65CD8E7D93}"/>
              </a:ext>
            </a:extLst>
          </xdr:cNvPr>
          <xdr:cNvGrpSpPr>
            <a:grpSpLocks/>
          </xdr:cNvGrpSpPr>
        </xdr:nvGrpSpPr>
        <xdr:grpSpPr bwMode="auto">
          <a:xfrm>
            <a:off x="143" y="585"/>
            <a:ext cx="11" cy="16"/>
            <a:chOff x="130" y="585"/>
            <a:chExt cx="11" cy="16"/>
          </a:xfrm>
        </xdr:grpSpPr>
        <xdr:sp macro="" textlink="">
          <xdr:nvSpPr>
            <xdr:cNvPr id="5762" name="Freeform 24">
              <a:extLst>
                <a:ext uri="{FF2B5EF4-FFF2-40B4-BE49-F238E27FC236}">
                  <a16:creationId xmlns:a16="http://schemas.microsoft.com/office/drawing/2014/main" id="{6D4B8C7D-0BA9-4A4E-AF97-72ECD6FA3154}"/>
                </a:ext>
              </a:extLst>
            </xdr:cNvPr>
            <xdr:cNvSpPr>
              <a:spLocks/>
            </xdr:cNvSpPr>
          </xdr:nvSpPr>
          <xdr:spPr bwMode="auto">
            <a:xfrm>
              <a:off x="130" y="593"/>
              <a:ext cx="7" cy="8"/>
            </a:xfrm>
            <a:custGeom>
              <a:avLst/>
              <a:gdLst>
                <a:gd name="T0" fmla="*/ 0 w 203"/>
                <a:gd name="T1" fmla="*/ 0 h 199"/>
                <a:gd name="T2" fmla="*/ 0 w 203"/>
                <a:gd name="T3" fmla="*/ 0 h 199"/>
                <a:gd name="T4" fmla="*/ 0 w 203"/>
                <a:gd name="T5" fmla="*/ 0 h 199"/>
                <a:gd name="T6" fmla="*/ 0 w 203"/>
                <a:gd name="T7" fmla="*/ 0 h 199"/>
                <a:gd name="T8" fmla="*/ 0 w 203"/>
                <a:gd name="T9" fmla="*/ 0 h 199"/>
                <a:gd name="T10" fmla="*/ 0 w 203"/>
                <a:gd name="T11" fmla="*/ 0 h 199"/>
                <a:gd name="T12" fmla="*/ 0 w 203"/>
                <a:gd name="T13" fmla="*/ 0 h 199"/>
                <a:gd name="T14" fmla="*/ 0 w 203"/>
                <a:gd name="T15" fmla="*/ 0 h 199"/>
                <a:gd name="T16" fmla="*/ 0 w 203"/>
                <a:gd name="T17" fmla="*/ 0 h 199"/>
                <a:gd name="T18" fmla="*/ 0 w 203"/>
                <a:gd name="T19" fmla="*/ 0 h 199"/>
                <a:gd name="T20" fmla="*/ 0 w 203"/>
                <a:gd name="T21" fmla="*/ 0 h 199"/>
                <a:gd name="T22" fmla="*/ 0 w 203"/>
                <a:gd name="T23" fmla="*/ 0 h 199"/>
                <a:gd name="T24" fmla="*/ 0 w 203"/>
                <a:gd name="T25" fmla="*/ 0 h 199"/>
                <a:gd name="T26" fmla="*/ 0 w 203"/>
                <a:gd name="T27" fmla="*/ 0 h 199"/>
                <a:gd name="T28" fmla="*/ 0 w 203"/>
                <a:gd name="T29" fmla="*/ 0 h 199"/>
                <a:gd name="T30" fmla="*/ 0 w 203"/>
                <a:gd name="T31" fmla="*/ 0 h 199"/>
                <a:gd name="T32" fmla="*/ 0 w 203"/>
                <a:gd name="T33" fmla="*/ 0 h 199"/>
                <a:gd name="T34" fmla="*/ 0 w 203"/>
                <a:gd name="T35" fmla="*/ 0 h 199"/>
                <a:gd name="T36" fmla="*/ 0 w 203"/>
                <a:gd name="T37" fmla="*/ 0 h 199"/>
                <a:gd name="T38" fmla="*/ 0 w 203"/>
                <a:gd name="T39" fmla="*/ 0 h 199"/>
                <a:gd name="T40" fmla="*/ 0 w 203"/>
                <a:gd name="T41" fmla="*/ 0 h 199"/>
                <a:gd name="T42" fmla="*/ 0 w 203"/>
                <a:gd name="T43" fmla="*/ 0 h 199"/>
                <a:gd name="T44" fmla="*/ 0 w 203"/>
                <a:gd name="T45" fmla="*/ 0 h 199"/>
                <a:gd name="T46" fmla="*/ 0 w 203"/>
                <a:gd name="T47" fmla="*/ 0 h 199"/>
                <a:gd name="T48" fmla="*/ 0 w 203"/>
                <a:gd name="T49" fmla="*/ 0 h 199"/>
                <a:gd name="T50" fmla="*/ 0 w 203"/>
                <a:gd name="T51" fmla="*/ 0 h 199"/>
                <a:gd name="T52" fmla="*/ 0 w 203"/>
                <a:gd name="T53" fmla="*/ 0 h 199"/>
                <a:gd name="T54" fmla="*/ 0 w 203"/>
                <a:gd name="T55" fmla="*/ 0 h 199"/>
                <a:gd name="T56" fmla="*/ 0 w 203"/>
                <a:gd name="T57" fmla="*/ 0 h 199"/>
                <a:gd name="T58" fmla="*/ 0 w 203"/>
                <a:gd name="T59" fmla="*/ 0 h 199"/>
                <a:gd name="T60" fmla="*/ 0 w 203"/>
                <a:gd name="T61" fmla="*/ 0 h 199"/>
                <a:gd name="T62" fmla="*/ 0 w 203"/>
                <a:gd name="T63" fmla="*/ 0 h 199"/>
                <a:gd name="T64" fmla="*/ 0 w 203"/>
                <a:gd name="T65" fmla="*/ 0 h 199"/>
                <a:gd name="T66" fmla="*/ 0 w 203"/>
                <a:gd name="T67" fmla="*/ 0 h 199"/>
                <a:gd name="T68" fmla="*/ 0 w 203"/>
                <a:gd name="T69" fmla="*/ 0 h 199"/>
                <a:gd name="T70" fmla="*/ 0 w 203"/>
                <a:gd name="T71" fmla="*/ 0 h 199"/>
                <a:gd name="T72" fmla="*/ 0 w 203"/>
                <a:gd name="T73" fmla="*/ 0 h 199"/>
                <a:gd name="T74" fmla="*/ 0 w 203"/>
                <a:gd name="T75" fmla="*/ 0 h 199"/>
                <a:gd name="T76" fmla="*/ 0 w 203"/>
                <a:gd name="T77" fmla="*/ 0 h 199"/>
                <a:gd name="T78" fmla="*/ 0 w 203"/>
                <a:gd name="T79" fmla="*/ 0 h 199"/>
                <a:gd name="T80" fmla="*/ 0 w 203"/>
                <a:gd name="T81" fmla="*/ 0 h 199"/>
                <a:gd name="T82" fmla="*/ 0 w 203"/>
                <a:gd name="T83" fmla="*/ 0 h 199"/>
                <a:gd name="T84" fmla="*/ 0 w 203"/>
                <a:gd name="T85" fmla="*/ 0 h 199"/>
                <a:gd name="T86" fmla="*/ 0 w 203"/>
                <a:gd name="T87" fmla="*/ 0 h 199"/>
                <a:gd name="T88" fmla="*/ 0 w 203"/>
                <a:gd name="T89" fmla="*/ 0 h 199"/>
                <a:gd name="T90" fmla="*/ 0 w 203"/>
                <a:gd name="T91" fmla="*/ 0 h 199"/>
                <a:gd name="T92" fmla="*/ 0 w 203"/>
                <a:gd name="T93" fmla="*/ 0 h 199"/>
                <a:gd name="T94" fmla="*/ 0 w 203"/>
                <a:gd name="T95" fmla="*/ 0 h 199"/>
                <a:gd name="T96" fmla="*/ 0 w 203"/>
                <a:gd name="T97" fmla="*/ 0 h 199"/>
                <a:gd name="T98" fmla="*/ 0 w 203"/>
                <a:gd name="T99" fmla="*/ 0 h 199"/>
                <a:gd name="T100" fmla="*/ 0 w 203"/>
                <a:gd name="T101" fmla="*/ 0 h 199"/>
                <a:gd name="T102" fmla="*/ 0 w 203"/>
                <a:gd name="T103" fmla="*/ 0 h 199"/>
                <a:gd name="T104" fmla="*/ 0 w 203"/>
                <a:gd name="T105" fmla="*/ 0 h 199"/>
                <a:gd name="T106" fmla="*/ 0 w 203"/>
                <a:gd name="T107" fmla="*/ 0 h 199"/>
                <a:gd name="T108" fmla="*/ 0 w 203"/>
                <a:gd name="T109" fmla="*/ 0 h 199"/>
                <a:gd name="T110" fmla="*/ 0 w 203"/>
                <a:gd name="T111" fmla="*/ 0 h 199"/>
                <a:gd name="T112" fmla="*/ 0 w 203"/>
                <a:gd name="T113" fmla="*/ 0 h 199"/>
                <a:gd name="T114" fmla="*/ 0 w 203"/>
                <a:gd name="T115" fmla="*/ 0 h 199"/>
                <a:gd name="T116" fmla="*/ 0 w 203"/>
                <a:gd name="T117" fmla="*/ 0 h 199"/>
                <a:gd name="T118" fmla="*/ 0 w 203"/>
                <a:gd name="T119" fmla="*/ 0 h 199"/>
                <a:gd name="T120" fmla="*/ 0 w 203"/>
                <a:gd name="T121" fmla="*/ 0 h 199"/>
                <a:gd name="T122" fmla="*/ 0 w 20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63" name="Line 25">
              <a:extLst>
                <a:ext uri="{FF2B5EF4-FFF2-40B4-BE49-F238E27FC236}">
                  <a16:creationId xmlns:a16="http://schemas.microsoft.com/office/drawing/2014/main" id="{21C64253-F711-4AA3-86BF-7ACD052D43F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7" y="58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64" name="Freeform 26">
              <a:extLst>
                <a:ext uri="{FF2B5EF4-FFF2-40B4-BE49-F238E27FC236}">
                  <a16:creationId xmlns:a16="http://schemas.microsoft.com/office/drawing/2014/main" id="{D8CBC3A5-AD12-495F-AC0F-4921469B58D1}"/>
                </a:ext>
              </a:extLst>
            </xdr:cNvPr>
            <xdr:cNvSpPr>
              <a:spLocks/>
            </xdr:cNvSpPr>
          </xdr:nvSpPr>
          <xdr:spPr bwMode="auto">
            <a:xfrm>
              <a:off x="133" y="585"/>
              <a:ext cx="8" cy="7"/>
            </a:xfrm>
            <a:custGeom>
              <a:avLst/>
              <a:gdLst>
                <a:gd name="T0" fmla="*/ 0 w 207"/>
                <a:gd name="T1" fmla="*/ 0 h 176"/>
                <a:gd name="T2" fmla="*/ 0 w 207"/>
                <a:gd name="T3" fmla="*/ 0 h 176"/>
                <a:gd name="T4" fmla="*/ 0 w 207"/>
                <a:gd name="T5" fmla="*/ 0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758" name="Group 27">
            <a:extLst>
              <a:ext uri="{FF2B5EF4-FFF2-40B4-BE49-F238E27FC236}">
                <a16:creationId xmlns:a16="http://schemas.microsoft.com/office/drawing/2014/main" id="{B2D087E7-D515-4549-B147-293656B751D1}"/>
              </a:ext>
            </a:extLst>
          </xdr:cNvPr>
          <xdr:cNvGrpSpPr>
            <a:grpSpLocks/>
          </xdr:cNvGrpSpPr>
        </xdr:nvGrpSpPr>
        <xdr:grpSpPr bwMode="auto">
          <a:xfrm>
            <a:off x="158" y="601"/>
            <a:ext cx="12" cy="16"/>
            <a:chOff x="141" y="601"/>
            <a:chExt cx="12" cy="16"/>
          </a:xfrm>
        </xdr:grpSpPr>
        <xdr:sp macro="" textlink="">
          <xdr:nvSpPr>
            <xdr:cNvPr id="5759" name="Freeform 28">
              <a:extLst>
                <a:ext uri="{FF2B5EF4-FFF2-40B4-BE49-F238E27FC236}">
                  <a16:creationId xmlns:a16="http://schemas.microsoft.com/office/drawing/2014/main" id="{0F9D7D88-454B-450F-B705-558BA619EC8C}"/>
                </a:ext>
              </a:extLst>
            </xdr:cNvPr>
            <xdr:cNvSpPr>
              <a:spLocks/>
            </xdr:cNvSpPr>
          </xdr:nvSpPr>
          <xdr:spPr bwMode="auto">
            <a:xfrm>
              <a:off x="141" y="601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0 w 201"/>
                <a:gd name="T5" fmla="*/ 0 h 202"/>
                <a:gd name="T6" fmla="*/ 0 w 201"/>
                <a:gd name="T7" fmla="*/ 0 h 202"/>
                <a:gd name="T8" fmla="*/ 0 w 201"/>
                <a:gd name="T9" fmla="*/ 0 h 202"/>
                <a:gd name="T10" fmla="*/ 0 w 201"/>
                <a:gd name="T11" fmla="*/ 0 h 202"/>
                <a:gd name="T12" fmla="*/ 0 w 201"/>
                <a:gd name="T13" fmla="*/ 0 h 202"/>
                <a:gd name="T14" fmla="*/ 0 w 201"/>
                <a:gd name="T15" fmla="*/ 0 h 202"/>
                <a:gd name="T16" fmla="*/ 0 w 201"/>
                <a:gd name="T17" fmla="*/ 0 h 202"/>
                <a:gd name="T18" fmla="*/ 0 w 201"/>
                <a:gd name="T19" fmla="*/ 0 h 202"/>
                <a:gd name="T20" fmla="*/ 0 w 201"/>
                <a:gd name="T21" fmla="*/ 0 h 202"/>
                <a:gd name="T22" fmla="*/ 0 w 201"/>
                <a:gd name="T23" fmla="*/ 0 h 202"/>
                <a:gd name="T24" fmla="*/ 0 w 201"/>
                <a:gd name="T25" fmla="*/ 0 h 202"/>
                <a:gd name="T26" fmla="*/ 0 w 201"/>
                <a:gd name="T27" fmla="*/ 0 h 202"/>
                <a:gd name="T28" fmla="*/ 0 w 201"/>
                <a:gd name="T29" fmla="*/ 0 h 202"/>
                <a:gd name="T30" fmla="*/ 0 w 201"/>
                <a:gd name="T31" fmla="*/ 0 h 202"/>
                <a:gd name="T32" fmla="*/ 0 w 201"/>
                <a:gd name="T33" fmla="*/ 0 h 202"/>
                <a:gd name="T34" fmla="*/ 0 w 201"/>
                <a:gd name="T35" fmla="*/ 0 h 202"/>
                <a:gd name="T36" fmla="*/ 0 w 201"/>
                <a:gd name="T37" fmla="*/ 0 h 202"/>
                <a:gd name="T38" fmla="*/ 0 w 201"/>
                <a:gd name="T39" fmla="*/ 0 h 202"/>
                <a:gd name="T40" fmla="*/ 0 w 201"/>
                <a:gd name="T41" fmla="*/ 0 h 202"/>
                <a:gd name="T42" fmla="*/ 0 w 201"/>
                <a:gd name="T43" fmla="*/ 0 h 202"/>
                <a:gd name="T44" fmla="*/ 0 w 201"/>
                <a:gd name="T45" fmla="*/ 0 h 202"/>
                <a:gd name="T46" fmla="*/ 0 w 201"/>
                <a:gd name="T47" fmla="*/ 0 h 202"/>
                <a:gd name="T48" fmla="*/ 0 w 201"/>
                <a:gd name="T49" fmla="*/ 0 h 202"/>
                <a:gd name="T50" fmla="*/ 0 w 201"/>
                <a:gd name="T51" fmla="*/ 0 h 202"/>
                <a:gd name="T52" fmla="*/ 0 w 201"/>
                <a:gd name="T53" fmla="*/ 0 h 202"/>
                <a:gd name="T54" fmla="*/ 0 w 201"/>
                <a:gd name="T55" fmla="*/ 0 h 202"/>
                <a:gd name="T56" fmla="*/ 0 w 201"/>
                <a:gd name="T57" fmla="*/ 0 h 202"/>
                <a:gd name="T58" fmla="*/ 0 w 201"/>
                <a:gd name="T59" fmla="*/ 0 h 202"/>
                <a:gd name="T60" fmla="*/ 0 w 201"/>
                <a:gd name="T61" fmla="*/ 0 h 202"/>
                <a:gd name="T62" fmla="*/ 0 w 201"/>
                <a:gd name="T63" fmla="*/ 0 h 202"/>
                <a:gd name="T64" fmla="*/ 0 w 201"/>
                <a:gd name="T65" fmla="*/ 0 h 202"/>
                <a:gd name="T66" fmla="*/ 0 w 201"/>
                <a:gd name="T67" fmla="*/ 0 h 202"/>
                <a:gd name="T68" fmla="*/ 0 w 201"/>
                <a:gd name="T69" fmla="*/ 0 h 202"/>
                <a:gd name="T70" fmla="*/ 0 w 201"/>
                <a:gd name="T71" fmla="*/ 0 h 202"/>
                <a:gd name="T72" fmla="*/ 0 w 201"/>
                <a:gd name="T73" fmla="*/ 0 h 202"/>
                <a:gd name="T74" fmla="*/ 0 w 201"/>
                <a:gd name="T75" fmla="*/ 0 h 202"/>
                <a:gd name="T76" fmla="*/ 0 w 201"/>
                <a:gd name="T77" fmla="*/ 0 h 202"/>
                <a:gd name="T78" fmla="*/ 0 w 201"/>
                <a:gd name="T79" fmla="*/ 0 h 202"/>
                <a:gd name="T80" fmla="*/ 0 w 201"/>
                <a:gd name="T81" fmla="*/ 0 h 202"/>
                <a:gd name="T82" fmla="*/ 0 w 201"/>
                <a:gd name="T83" fmla="*/ 0 h 202"/>
                <a:gd name="T84" fmla="*/ 0 w 201"/>
                <a:gd name="T85" fmla="*/ 0 h 202"/>
                <a:gd name="T86" fmla="*/ 0 w 201"/>
                <a:gd name="T87" fmla="*/ 0 h 202"/>
                <a:gd name="T88" fmla="*/ 0 w 201"/>
                <a:gd name="T89" fmla="*/ 0 h 202"/>
                <a:gd name="T90" fmla="*/ 0 w 201"/>
                <a:gd name="T91" fmla="*/ 0 h 202"/>
                <a:gd name="T92" fmla="*/ 0 w 201"/>
                <a:gd name="T93" fmla="*/ 0 h 202"/>
                <a:gd name="T94" fmla="*/ 0 w 201"/>
                <a:gd name="T95" fmla="*/ 0 h 202"/>
                <a:gd name="T96" fmla="*/ 0 w 201"/>
                <a:gd name="T97" fmla="*/ 0 h 202"/>
                <a:gd name="T98" fmla="*/ 0 w 201"/>
                <a:gd name="T99" fmla="*/ 0 h 202"/>
                <a:gd name="T100" fmla="*/ 0 w 201"/>
                <a:gd name="T101" fmla="*/ 0 h 202"/>
                <a:gd name="T102" fmla="*/ 0 w 201"/>
                <a:gd name="T103" fmla="*/ 0 h 202"/>
                <a:gd name="T104" fmla="*/ 0 w 201"/>
                <a:gd name="T105" fmla="*/ 0 h 202"/>
                <a:gd name="T106" fmla="*/ 0 w 201"/>
                <a:gd name="T107" fmla="*/ 0 h 202"/>
                <a:gd name="T108" fmla="*/ 0 w 201"/>
                <a:gd name="T109" fmla="*/ 0 h 202"/>
                <a:gd name="T110" fmla="*/ 0 w 201"/>
                <a:gd name="T111" fmla="*/ 0 h 202"/>
                <a:gd name="T112" fmla="*/ 0 w 201"/>
                <a:gd name="T113" fmla="*/ 0 h 202"/>
                <a:gd name="T114" fmla="*/ 0 w 201"/>
                <a:gd name="T115" fmla="*/ 0 h 202"/>
                <a:gd name="T116" fmla="*/ 0 w 201"/>
                <a:gd name="T117" fmla="*/ 0 h 202"/>
                <a:gd name="T118" fmla="*/ 0 w 201"/>
                <a:gd name="T119" fmla="*/ 0 h 202"/>
                <a:gd name="T120" fmla="*/ 0 w 201"/>
                <a:gd name="T121" fmla="*/ 0 h 202"/>
                <a:gd name="T122" fmla="*/ 0 w 201"/>
                <a:gd name="T123" fmla="*/ 0 h 202"/>
                <a:gd name="T124" fmla="*/ 0 w 201"/>
                <a:gd name="T125" fmla="*/ 0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60" name="Line 29">
              <a:extLst>
                <a:ext uri="{FF2B5EF4-FFF2-40B4-BE49-F238E27FC236}">
                  <a16:creationId xmlns:a16="http://schemas.microsoft.com/office/drawing/2014/main" id="{B6BC01F6-1B9B-4C12-A1B9-3857DD6A4A4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49" y="608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61" name="Freeform 30">
              <a:extLst>
                <a:ext uri="{FF2B5EF4-FFF2-40B4-BE49-F238E27FC236}">
                  <a16:creationId xmlns:a16="http://schemas.microsoft.com/office/drawing/2014/main" id="{8568136E-CB8E-45CD-A2ED-2496AB0691D2}"/>
                </a:ext>
              </a:extLst>
            </xdr:cNvPr>
            <xdr:cNvSpPr>
              <a:spLocks/>
            </xdr:cNvSpPr>
          </xdr:nvSpPr>
          <xdr:spPr bwMode="auto">
            <a:xfrm>
              <a:off x="145" y="610"/>
              <a:ext cx="8" cy="7"/>
            </a:xfrm>
            <a:custGeom>
              <a:avLst/>
              <a:gdLst>
                <a:gd name="T0" fmla="*/ 0 w 208"/>
                <a:gd name="T1" fmla="*/ 0 h 177"/>
                <a:gd name="T2" fmla="*/ 0 w 208"/>
                <a:gd name="T3" fmla="*/ 0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4</xdr:col>
      <xdr:colOff>152400</xdr:colOff>
      <xdr:row>13</xdr:row>
      <xdr:rowOff>333375</xdr:rowOff>
    </xdr:from>
    <xdr:to>
      <xdr:col>6</xdr:col>
      <xdr:colOff>228600</xdr:colOff>
      <xdr:row>13</xdr:row>
      <xdr:rowOff>390525</xdr:rowOff>
    </xdr:to>
    <xdr:grpSp>
      <xdr:nvGrpSpPr>
        <xdr:cNvPr id="5730" name="Group 31">
          <a:extLst>
            <a:ext uri="{FF2B5EF4-FFF2-40B4-BE49-F238E27FC236}">
              <a16:creationId xmlns:a16="http://schemas.microsoft.com/office/drawing/2014/main" id="{7CCBFE9F-9FE0-4A51-BF8A-50A6A134F98E}"/>
            </a:ext>
          </a:extLst>
        </xdr:cNvPr>
        <xdr:cNvGrpSpPr>
          <a:grpSpLocks/>
        </xdr:cNvGrpSpPr>
      </xdr:nvGrpSpPr>
      <xdr:grpSpPr bwMode="auto">
        <a:xfrm>
          <a:off x="1028700" y="4991100"/>
          <a:ext cx="666750" cy="57150"/>
          <a:chOff x="123" y="549"/>
          <a:chExt cx="77" cy="6"/>
        </a:xfrm>
      </xdr:grpSpPr>
      <xdr:sp macro="" textlink="">
        <xdr:nvSpPr>
          <xdr:cNvPr id="5752" name="Line 32">
            <a:extLst>
              <a:ext uri="{FF2B5EF4-FFF2-40B4-BE49-F238E27FC236}">
                <a16:creationId xmlns:a16="http://schemas.microsoft.com/office/drawing/2014/main" id="{B443FC3F-54CE-4F66-98A4-0B2912C1D9B4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53" name="Freeform 33">
            <a:extLst>
              <a:ext uri="{FF2B5EF4-FFF2-40B4-BE49-F238E27FC236}">
                <a16:creationId xmlns:a16="http://schemas.microsoft.com/office/drawing/2014/main" id="{465F5869-9858-4FB7-9BFC-97D049997757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754" name="Freeform 34">
            <a:extLst>
              <a:ext uri="{FF2B5EF4-FFF2-40B4-BE49-F238E27FC236}">
                <a16:creationId xmlns:a16="http://schemas.microsoft.com/office/drawing/2014/main" id="{53F71032-DDE1-4266-AEC1-9E9488B9BB7F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28575</xdr:colOff>
      <xdr:row>13</xdr:row>
      <xdr:rowOff>876300</xdr:rowOff>
    </xdr:from>
    <xdr:to>
      <xdr:col>7</xdr:col>
      <xdr:colOff>76200</xdr:colOff>
      <xdr:row>13</xdr:row>
      <xdr:rowOff>1171575</xdr:rowOff>
    </xdr:to>
    <xdr:grpSp>
      <xdr:nvGrpSpPr>
        <xdr:cNvPr id="5731" name="Group 35">
          <a:extLst>
            <a:ext uri="{FF2B5EF4-FFF2-40B4-BE49-F238E27FC236}">
              <a16:creationId xmlns:a16="http://schemas.microsoft.com/office/drawing/2014/main" id="{E67C56E2-EC51-4072-894B-869E67F2DC2A}"/>
            </a:ext>
          </a:extLst>
        </xdr:cNvPr>
        <xdr:cNvGrpSpPr>
          <a:grpSpLocks/>
        </xdr:cNvGrpSpPr>
      </xdr:nvGrpSpPr>
      <xdr:grpSpPr bwMode="auto">
        <a:xfrm>
          <a:off x="904875" y="5534025"/>
          <a:ext cx="914400" cy="295275"/>
          <a:chOff x="122" y="624"/>
          <a:chExt cx="105" cy="31"/>
        </a:xfrm>
      </xdr:grpSpPr>
      <xdr:sp macro="" textlink="">
        <xdr:nvSpPr>
          <xdr:cNvPr id="5744" name="Line 36">
            <a:extLst>
              <a:ext uri="{FF2B5EF4-FFF2-40B4-BE49-F238E27FC236}">
                <a16:creationId xmlns:a16="http://schemas.microsoft.com/office/drawing/2014/main" id="{69D20E28-E4E2-4E20-AC71-66E9A4862203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23" y="63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45" name="Freeform 37">
            <a:extLst>
              <a:ext uri="{FF2B5EF4-FFF2-40B4-BE49-F238E27FC236}">
                <a16:creationId xmlns:a16="http://schemas.microsoft.com/office/drawing/2014/main" id="{6891FE0D-C949-465C-91A0-53BD87A8E8DA}"/>
              </a:ext>
            </a:extLst>
          </xdr:cNvPr>
          <xdr:cNvSpPr>
            <a:spLocks/>
          </xdr:cNvSpPr>
        </xdr:nvSpPr>
        <xdr:spPr bwMode="auto">
          <a:xfrm rot="10800000">
            <a:off x="122" y="636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746" name="Freeform 38">
            <a:extLst>
              <a:ext uri="{FF2B5EF4-FFF2-40B4-BE49-F238E27FC236}">
                <a16:creationId xmlns:a16="http://schemas.microsoft.com/office/drawing/2014/main" id="{4CC4BCE5-31EF-4D29-B9EE-6EC9A6AB9F37}"/>
              </a:ext>
            </a:extLst>
          </xdr:cNvPr>
          <xdr:cNvSpPr>
            <a:spLocks/>
          </xdr:cNvSpPr>
        </xdr:nvSpPr>
        <xdr:spPr bwMode="auto">
          <a:xfrm rot="10800000">
            <a:off x="202" y="639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747" name="Line 39">
            <a:extLst>
              <a:ext uri="{FF2B5EF4-FFF2-40B4-BE49-F238E27FC236}">
                <a16:creationId xmlns:a16="http://schemas.microsoft.com/office/drawing/2014/main" id="{65D4840E-3AF1-4B4C-8283-F9D8E7939B86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202" y="64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48" name="Freeform 40">
            <a:extLst>
              <a:ext uri="{FF2B5EF4-FFF2-40B4-BE49-F238E27FC236}">
                <a16:creationId xmlns:a16="http://schemas.microsoft.com/office/drawing/2014/main" id="{013DFB43-1CD7-446A-B26C-2B4F1F99DA14}"/>
              </a:ext>
            </a:extLst>
          </xdr:cNvPr>
          <xdr:cNvSpPr>
            <a:spLocks/>
          </xdr:cNvSpPr>
        </xdr:nvSpPr>
        <xdr:spPr bwMode="auto">
          <a:xfrm rot="10800000">
            <a:off x="198" y="648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749" name="Freeform 41">
            <a:extLst>
              <a:ext uri="{FF2B5EF4-FFF2-40B4-BE49-F238E27FC236}">
                <a16:creationId xmlns:a16="http://schemas.microsoft.com/office/drawing/2014/main" id="{898F9C49-05FF-4293-9B86-D04E76D70199}"/>
              </a:ext>
            </a:extLst>
          </xdr:cNvPr>
          <xdr:cNvSpPr>
            <a:spLocks/>
          </xdr:cNvSpPr>
        </xdr:nvSpPr>
        <xdr:spPr bwMode="auto">
          <a:xfrm rot="10800000">
            <a:off x="186" y="632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750" name="Line 42">
            <a:extLst>
              <a:ext uri="{FF2B5EF4-FFF2-40B4-BE49-F238E27FC236}">
                <a16:creationId xmlns:a16="http://schemas.microsoft.com/office/drawing/2014/main" id="{7CE00E58-5BAA-47CE-9064-E37DE74E2B5F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86" y="62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51" name="Freeform 43">
            <a:extLst>
              <a:ext uri="{FF2B5EF4-FFF2-40B4-BE49-F238E27FC236}">
                <a16:creationId xmlns:a16="http://schemas.microsoft.com/office/drawing/2014/main" id="{5C03401B-183F-4C4C-9A68-EDF64E6BC320}"/>
              </a:ext>
            </a:extLst>
          </xdr:cNvPr>
          <xdr:cNvSpPr>
            <a:spLocks/>
          </xdr:cNvSpPr>
        </xdr:nvSpPr>
        <xdr:spPr bwMode="auto">
          <a:xfrm rot="10800000">
            <a:off x="182" y="62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13</xdr:row>
      <xdr:rowOff>1257300</xdr:rowOff>
    </xdr:from>
    <xdr:to>
      <xdr:col>6</xdr:col>
      <xdr:colOff>228600</xdr:colOff>
      <xdr:row>13</xdr:row>
      <xdr:rowOff>1314450</xdr:rowOff>
    </xdr:to>
    <xdr:grpSp>
      <xdr:nvGrpSpPr>
        <xdr:cNvPr id="5732" name="Group 44">
          <a:extLst>
            <a:ext uri="{FF2B5EF4-FFF2-40B4-BE49-F238E27FC236}">
              <a16:creationId xmlns:a16="http://schemas.microsoft.com/office/drawing/2014/main" id="{C1E6EABB-F4F3-4D7D-93BC-FA12AB55856D}"/>
            </a:ext>
          </a:extLst>
        </xdr:cNvPr>
        <xdr:cNvGrpSpPr>
          <a:grpSpLocks/>
        </xdr:cNvGrpSpPr>
      </xdr:nvGrpSpPr>
      <xdr:grpSpPr bwMode="auto">
        <a:xfrm>
          <a:off x="1028700" y="5915025"/>
          <a:ext cx="666750" cy="57150"/>
          <a:chOff x="123" y="549"/>
          <a:chExt cx="77" cy="6"/>
        </a:xfrm>
      </xdr:grpSpPr>
      <xdr:sp macro="" textlink="">
        <xdr:nvSpPr>
          <xdr:cNvPr id="5741" name="Line 45">
            <a:extLst>
              <a:ext uri="{FF2B5EF4-FFF2-40B4-BE49-F238E27FC236}">
                <a16:creationId xmlns:a16="http://schemas.microsoft.com/office/drawing/2014/main" id="{38A5EB58-0365-44B1-8F57-D6F95F0D8C6E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42" name="Freeform 46">
            <a:extLst>
              <a:ext uri="{FF2B5EF4-FFF2-40B4-BE49-F238E27FC236}">
                <a16:creationId xmlns:a16="http://schemas.microsoft.com/office/drawing/2014/main" id="{45F86E50-7039-42B8-89D8-96BE5A7D69F5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743" name="Freeform 47">
            <a:extLst>
              <a:ext uri="{FF2B5EF4-FFF2-40B4-BE49-F238E27FC236}">
                <a16:creationId xmlns:a16="http://schemas.microsoft.com/office/drawing/2014/main" id="{6A7AB38D-043F-49A8-A7DB-85C7C7168D55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28575</xdr:colOff>
      <xdr:row>13</xdr:row>
      <xdr:rowOff>190500</xdr:rowOff>
    </xdr:from>
    <xdr:to>
      <xdr:col>6</xdr:col>
      <xdr:colOff>152400</xdr:colOff>
      <xdr:row>13</xdr:row>
      <xdr:rowOff>352425</xdr:rowOff>
    </xdr:to>
    <xdr:sp macro="" textlink="">
      <xdr:nvSpPr>
        <xdr:cNvPr id="1156" name="Text Box 132">
          <a:extLst>
            <a:ext uri="{FF2B5EF4-FFF2-40B4-BE49-F238E27FC236}">
              <a16:creationId xmlns:a16="http://schemas.microsoft.com/office/drawing/2014/main" id="{AD16D393-EC8F-48E3-93F6-8E89E8A5EB83}"/>
            </a:ext>
          </a:extLst>
        </xdr:cNvPr>
        <xdr:cNvSpPr txBox="1">
          <a:spLocks noChangeArrowheads="1"/>
        </xdr:cNvSpPr>
      </xdr:nvSpPr>
      <xdr:spPr bwMode="auto">
        <a:xfrm>
          <a:off x="1219200" y="4848225"/>
          <a:ext cx="400050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21.6m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7</xdr:col>
      <xdr:colOff>0</xdr:colOff>
      <xdr:row>13</xdr:row>
      <xdr:rowOff>1219200</xdr:rowOff>
    </xdr:from>
    <xdr:to>
      <xdr:col>8</xdr:col>
      <xdr:colOff>47625</xdr:colOff>
      <xdr:row>13</xdr:row>
      <xdr:rowOff>1381125</xdr:rowOff>
    </xdr:to>
    <xdr:sp macro="" textlink="">
      <xdr:nvSpPr>
        <xdr:cNvPr id="1160" name="Text Box 136">
          <a:extLst>
            <a:ext uri="{FF2B5EF4-FFF2-40B4-BE49-F238E27FC236}">
              <a16:creationId xmlns:a16="http://schemas.microsoft.com/office/drawing/2014/main" id="{72AA6155-059F-4A19-A4EB-ED2005D6DA94}"/>
            </a:ext>
          </a:extLst>
        </xdr:cNvPr>
        <xdr:cNvSpPr txBox="1">
          <a:spLocks noChangeArrowheads="1"/>
        </xdr:cNvSpPr>
      </xdr:nvSpPr>
      <xdr:spPr bwMode="auto">
        <a:xfrm>
          <a:off x="1743075" y="5876925"/>
          <a:ext cx="323850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歩灯2</a:t>
          </a:r>
        </a:p>
      </xdr:txBody>
    </xdr:sp>
    <xdr:clientData/>
  </xdr:twoCellAnchor>
  <xdr:twoCellAnchor>
    <xdr:from>
      <xdr:col>7</xdr:col>
      <xdr:colOff>19050</xdr:colOff>
      <xdr:row>13</xdr:row>
      <xdr:rowOff>295275</xdr:rowOff>
    </xdr:from>
    <xdr:to>
      <xdr:col>8</xdr:col>
      <xdr:colOff>66675</xdr:colOff>
      <xdr:row>13</xdr:row>
      <xdr:rowOff>457200</xdr:rowOff>
    </xdr:to>
    <xdr:sp macro="" textlink="">
      <xdr:nvSpPr>
        <xdr:cNvPr id="1161" name="Text Box 137">
          <a:extLst>
            <a:ext uri="{FF2B5EF4-FFF2-40B4-BE49-F238E27FC236}">
              <a16:creationId xmlns:a16="http://schemas.microsoft.com/office/drawing/2014/main" id="{B2E668C5-3316-4641-89D4-3AA87DDE36D1}"/>
            </a:ext>
          </a:extLst>
        </xdr:cNvPr>
        <xdr:cNvSpPr txBox="1">
          <a:spLocks noChangeArrowheads="1"/>
        </xdr:cNvSpPr>
      </xdr:nvSpPr>
      <xdr:spPr bwMode="auto">
        <a:xfrm>
          <a:off x="1762125" y="4953000"/>
          <a:ext cx="323850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歩灯2</a:t>
          </a:r>
        </a:p>
      </xdr:txBody>
    </xdr:sp>
    <xdr:clientData/>
  </xdr:twoCellAnchor>
  <xdr:twoCellAnchor>
    <xdr:from>
      <xdr:col>5</xdr:col>
      <xdr:colOff>28575</xdr:colOff>
      <xdr:row>13</xdr:row>
      <xdr:rowOff>495300</xdr:rowOff>
    </xdr:from>
    <xdr:to>
      <xdr:col>8</xdr:col>
      <xdr:colOff>133350</xdr:colOff>
      <xdr:row>13</xdr:row>
      <xdr:rowOff>714375</xdr:rowOff>
    </xdr:to>
    <xdr:sp macro="" textlink="">
      <xdr:nvSpPr>
        <xdr:cNvPr id="1166" name="Text Box 142">
          <a:extLst>
            <a:ext uri="{FF2B5EF4-FFF2-40B4-BE49-F238E27FC236}">
              <a16:creationId xmlns:a16="http://schemas.microsoft.com/office/drawing/2014/main" id="{BFD65A13-F290-4CC4-9EAC-CB411344A1E2}"/>
            </a:ext>
          </a:extLst>
        </xdr:cNvPr>
        <xdr:cNvSpPr txBox="1">
          <a:spLocks noChangeArrowheads="1"/>
        </xdr:cNvSpPr>
      </xdr:nvSpPr>
      <xdr:spPr bwMode="auto">
        <a:xfrm>
          <a:off x="1219200" y="5153025"/>
          <a:ext cx="9334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高度化ジレンマ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0</xdr:colOff>
      <xdr:row>13</xdr:row>
      <xdr:rowOff>1133475</xdr:rowOff>
    </xdr:from>
    <xdr:to>
      <xdr:col>7</xdr:col>
      <xdr:colOff>104775</xdr:colOff>
      <xdr:row>13</xdr:row>
      <xdr:rowOff>1352550</xdr:rowOff>
    </xdr:to>
    <xdr:sp macro="" textlink="">
      <xdr:nvSpPr>
        <xdr:cNvPr id="1167" name="Text Box 143">
          <a:extLst>
            <a:ext uri="{FF2B5EF4-FFF2-40B4-BE49-F238E27FC236}">
              <a16:creationId xmlns:a16="http://schemas.microsoft.com/office/drawing/2014/main" id="{2D1C0EA9-CA13-46BB-920E-4A686A4B2521}"/>
            </a:ext>
          </a:extLst>
        </xdr:cNvPr>
        <xdr:cNvSpPr txBox="1">
          <a:spLocks noChangeArrowheads="1"/>
        </xdr:cNvSpPr>
      </xdr:nvSpPr>
      <xdr:spPr bwMode="auto">
        <a:xfrm>
          <a:off x="876300" y="5791200"/>
          <a:ext cx="97155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高度化ジレンマ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57150</xdr:colOff>
      <xdr:row>13</xdr:row>
      <xdr:rowOff>1152525</xdr:rowOff>
    </xdr:from>
    <xdr:to>
      <xdr:col>17</xdr:col>
      <xdr:colOff>9525</xdr:colOff>
      <xdr:row>13</xdr:row>
      <xdr:rowOff>1323975</xdr:rowOff>
    </xdr:to>
    <xdr:sp macro="" textlink="">
      <xdr:nvSpPr>
        <xdr:cNvPr id="1168" name="Text Box 144">
          <a:extLst>
            <a:ext uri="{FF2B5EF4-FFF2-40B4-BE49-F238E27FC236}">
              <a16:creationId xmlns:a16="http://schemas.microsoft.com/office/drawing/2014/main" id="{24A1E141-900E-46CF-96A8-D3543FA5228A}"/>
            </a:ext>
          </a:extLst>
        </xdr:cNvPr>
        <xdr:cNvSpPr txBox="1">
          <a:spLocks noChangeArrowheads="1"/>
        </xdr:cNvSpPr>
      </xdr:nvSpPr>
      <xdr:spPr bwMode="auto">
        <a:xfrm>
          <a:off x="4010025" y="5810250"/>
          <a:ext cx="504825" cy="171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ギャップ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95250</xdr:colOff>
      <xdr:row>6</xdr:row>
      <xdr:rowOff>1304925</xdr:rowOff>
    </xdr:from>
    <xdr:to>
      <xdr:col>8</xdr:col>
      <xdr:colOff>209550</xdr:colOff>
      <xdr:row>7</xdr:row>
      <xdr:rowOff>9525</xdr:rowOff>
    </xdr:to>
    <xdr:sp macro="" textlink="">
      <xdr:nvSpPr>
        <xdr:cNvPr id="1169" name="Text Box 145">
          <a:extLst>
            <a:ext uri="{FF2B5EF4-FFF2-40B4-BE49-F238E27FC236}">
              <a16:creationId xmlns:a16="http://schemas.microsoft.com/office/drawing/2014/main" id="{47BF6E2D-7606-4444-9A00-F2791B0E8A47}"/>
            </a:ext>
          </a:extLst>
        </xdr:cNvPr>
        <xdr:cNvSpPr txBox="1">
          <a:spLocks noChangeArrowheads="1"/>
        </xdr:cNvSpPr>
      </xdr:nvSpPr>
      <xdr:spPr bwMode="auto">
        <a:xfrm>
          <a:off x="95250" y="2714625"/>
          <a:ext cx="2133600" cy="5810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高度化ジレンマ感応</a:t>
          </a:r>
        </a:p>
        <a:p>
          <a:pPr algn="l" rtl="0">
            <a:lnSpc>
              <a:spcPts val="6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ノミナル値　１ＰＲ＝５秒　１Ｙ＝３秒</a:t>
          </a:r>
        </a:p>
        <a:p>
          <a:pPr algn="l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Ｔｓ＝４秒　Ｔｅ＝７秒　単位青＝０．１秒</a:t>
          </a:r>
        </a:p>
        <a:p>
          <a:pPr algn="l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クリアランス変動許容時間-０秒～＋２秒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  <a:p>
          <a:pPr algn="l" rtl="0">
            <a:lnSpc>
              <a:spcPts val="8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8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95250</xdr:colOff>
      <xdr:row>7</xdr:row>
      <xdr:rowOff>9525</xdr:rowOff>
    </xdr:from>
    <xdr:to>
      <xdr:col>8</xdr:col>
      <xdr:colOff>209550</xdr:colOff>
      <xdr:row>9</xdr:row>
      <xdr:rowOff>19050</xdr:rowOff>
    </xdr:to>
    <xdr:sp macro="" textlink="">
      <xdr:nvSpPr>
        <xdr:cNvPr id="1170" name="Text Box 146">
          <a:extLst>
            <a:ext uri="{FF2B5EF4-FFF2-40B4-BE49-F238E27FC236}">
              <a16:creationId xmlns:a16="http://schemas.microsoft.com/office/drawing/2014/main" id="{8B96AA78-7DD3-4736-8F0F-74B57152B966}"/>
            </a:ext>
          </a:extLst>
        </xdr:cNvPr>
        <xdr:cNvSpPr txBox="1">
          <a:spLocks noChangeArrowheads="1"/>
        </xdr:cNvSpPr>
      </xdr:nvSpPr>
      <xdr:spPr bwMode="auto">
        <a:xfrm>
          <a:off x="95250" y="3295650"/>
          <a:ext cx="2133600" cy="4667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ギャップ感応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Ｔｓ＝１５秒（保証時間＝５秒）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Ｔｅ＝０秒　単位青＝４秒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"/>
  <sheetViews>
    <sheetView tabSelected="1" view="pageBreakPreview" zoomScale="115" zoomScaleNormal="100" zoomScaleSheetLayoutView="115" workbookViewId="0">
      <selection activeCell="V2" sqref="V2:X3"/>
    </sheetView>
  </sheetViews>
  <sheetFormatPr defaultRowHeight="12" x14ac:dyDescent="0.15"/>
  <cols>
    <col min="1" max="1" width="7.5" style="56" bestFit="1" customWidth="1"/>
    <col min="2" max="2" width="2.25" style="61" bestFit="1" customWidth="1"/>
    <col min="3" max="3" width="5.25" style="56" bestFit="1" customWidth="1"/>
    <col min="4" max="4" width="2.25" style="58" bestFit="1" customWidth="1"/>
    <col min="5" max="24" width="4.125" style="38" customWidth="1"/>
    <col min="25" max="26" width="9" style="38"/>
    <col min="27" max="27" width="9.375" style="38" bestFit="1" customWidth="1"/>
    <col min="28" max="16384" width="9" style="38"/>
  </cols>
  <sheetData>
    <row r="1" spans="1:30" ht="15" customHeight="1" x14ac:dyDescent="0.15">
      <c r="A1" s="98" t="s">
        <v>0</v>
      </c>
      <c r="B1" s="127"/>
      <c r="C1" s="127"/>
      <c r="D1" s="127"/>
      <c r="E1" s="99"/>
      <c r="F1" s="131" t="s">
        <v>62</v>
      </c>
      <c r="G1" s="132"/>
      <c r="H1" s="135" t="s">
        <v>60</v>
      </c>
      <c r="I1" s="135"/>
      <c r="J1" s="135"/>
      <c r="K1" s="135"/>
      <c r="L1" s="127" t="s">
        <v>61</v>
      </c>
      <c r="M1" s="99"/>
      <c r="N1" s="137" t="s">
        <v>55</v>
      </c>
      <c r="O1" s="99"/>
      <c r="P1" s="138">
        <v>46065</v>
      </c>
      <c r="Q1" s="139"/>
      <c r="R1" s="139"/>
      <c r="S1" s="140"/>
      <c r="T1" s="95" t="s">
        <v>3</v>
      </c>
      <c r="U1" s="95"/>
      <c r="V1" s="95" t="s">
        <v>79</v>
      </c>
      <c r="W1" s="95"/>
      <c r="X1" s="95"/>
    </row>
    <row r="2" spans="1:30" ht="7.5" customHeight="1" x14ac:dyDescent="0.15">
      <c r="A2" s="128"/>
      <c r="B2" s="129"/>
      <c r="C2" s="129"/>
      <c r="D2" s="129"/>
      <c r="E2" s="130"/>
      <c r="F2" s="133"/>
      <c r="G2" s="134"/>
      <c r="H2" s="136"/>
      <c r="I2" s="136"/>
      <c r="J2" s="136"/>
      <c r="K2" s="136"/>
      <c r="L2" s="129"/>
      <c r="M2" s="130"/>
      <c r="N2" s="108"/>
      <c r="O2" s="110"/>
      <c r="P2" s="141"/>
      <c r="Q2" s="142"/>
      <c r="R2" s="142"/>
      <c r="S2" s="143"/>
      <c r="T2" s="98" t="s">
        <v>6</v>
      </c>
      <c r="U2" s="99"/>
      <c r="V2" s="102">
        <v>46023</v>
      </c>
      <c r="W2" s="103"/>
      <c r="X2" s="104"/>
    </row>
    <row r="3" spans="1:30" ht="7.5" customHeight="1" x14ac:dyDescent="0.15">
      <c r="A3" s="108" t="s">
        <v>4</v>
      </c>
      <c r="B3" s="109"/>
      <c r="C3" s="109"/>
      <c r="D3" s="109"/>
      <c r="E3" s="110"/>
      <c r="F3" s="112" t="s">
        <v>63</v>
      </c>
      <c r="G3" s="113"/>
      <c r="H3" s="116" t="s">
        <v>60</v>
      </c>
      <c r="I3" s="116"/>
      <c r="J3" s="116"/>
      <c r="K3" s="116"/>
      <c r="L3" s="118" t="s">
        <v>74</v>
      </c>
      <c r="M3" s="119"/>
      <c r="N3" s="108"/>
      <c r="O3" s="110"/>
      <c r="P3" s="122">
        <v>0.11666666666666665</v>
      </c>
      <c r="Q3" s="123"/>
      <c r="R3" s="123"/>
      <c r="S3" s="126" t="s">
        <v>56</v>
      </c>
      <c r="T3" s="100"/>
      <c r="U3" s="101"/>
      <c r="V3" s="105"/>
      <c r="W3" s="106"/>
      <c r="X3" s="107"/>
    </row>
    <row r="4" spans="1:30" ht="15" customHeight="1" x14ac:dyDescent="0.15">
      <c r="A4" s="100"/>
      <c r="B4" s="111"/>
      <c r="C4" s="111"/>
      <c r="D4" s="111"/>
      <c r="E4" s="101"/>
      <c r="F4" s="114"/>
      <c r="G4" s="115"/>
      <c r="H4" s="117"/>
      <c r="I4" s="117"/>
      <c r="J4" s="117"/>
      <c r="K4" s="117"/>
      <c r="L4" s="120"/>
      <c r="M4" s="121"/>
      <c r="N4" s="100"/>
      <c r="O4" s="101"/>
      <c r="P4" s="124"/>
      <c r="Q4" s="125"/>
      <c r="R4" s="125"/>
      <c r="S4" s="101"/>
      <c r="T4" s="95" t="s">
        <v>57</v>
      </c>
      <c r="U4" s="95"/>
      <c r="V4" s="95" t="s">
        <v>78</v>
      </c>
      <c r="W4" s="95"/>
      <c r="X4" s="95"/>
      <c r="Z4" s="77" t="s">
        <v>73</v>
      </c>
      <c r="AA4" s="78">
        <v>1689</v>
      </c>
    </row>
    <row r="5" spans="1:30" ht="18" customHeight="1" x14ac:dyDescent="0.15">
      <c r="A5" s="96"/>
      <c r="B5" s="97"/>
      <c r="C5" s="97"/>
      <c r="D5" s="97"/>
      <c r="E5" s="49"/>
      <c r="F5" s="49"/>
      <c r="G5" s="49"/>
      <c r="H5" s="49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1"/>
      <c r="Z5" s="39"/>
      <c r="AA5" s="39"/>
      <c r="AB5" s="39"/>
    </row>
    <row r="6" spans="1:30" ht="18" customHeight="1" x14ac:dyDescent="0.15">
      <c r="A6" s="87"/>
      <c r="B6" s="88"/>
      <c r="C6" s="88"/>
      <c r="D6" s="88"/>
      <c r="X6" s="52"/>
    </row>
    <row r="7" spans="1:30" ht="18" customHeight="1" x14ac:dyDescent="0.15">
      <c r="A7" s="87"/>
      <c r="B7" s="88"/>
      <c r="C7" s="88"/>
      <c r="D7" s="88"/>
      <c r="X7" s="52"/>
    </row>
    <row r="8" spans="1:30" ht="18" customHeight="1" x14ac:dyDescent="0.15">
      <c r="A8" s="87"/>
      <c r="B8" s="88"/>
      <c r="C8" s="88"/>
      <c r="D8" s="88"/>
      <c r="X8" s="52"/>
    </row>
    <row r="9" spans="1:30" ht="147.75" customHeight="1" x14ac:dyDescent="0.15">
      <c r="A9" s="87"/>
      <c r="B9" s="88"/>
      <c r="C9" s="88"/>
      <c r="D9" s="88"/>
      <c r="X9" s="52"/>
    </row>
    <row r="10" spans="1:30" ht="18" customHeight="1" x14ac:dyDescent="0.15">
      <c r="A10" s="87"/>
      <c r="B10" s="88"/>
      <c r="C10" s="88"/>
      <c r="D10" s="88"/>
      <c r="X10" s="52"/>
    </row>
    <row r="11" spans="1:30" ht="18" customHeight="1" x14ac:dyDescent="0.15">
      <c r="A11" s="89"/>
      <c r="B11" s="90"/>
      <c r="C11" s="88"/>
      <c r="D11" s="88"/>
      <c r="X11" s="52"/>
    </row>
    <row r="12" spans="1:30" ht="18" customHeight="1" x14ac:dyDescent="0.15">
      <c r="A12" s="89"/>
      <c r="B12" s="90"/>
      <c r="C12" s="88"/>
      <c r="D12" s="88"/>
      <c r="X12" s="52"/>
      <c r="Z12" s="38">
        <v>50</v>
      </c>
      <c r="AA12" s="38">
        <f>Z12/3.6</f>
        <v>13.888888888888889</v>
      </c>
      <c r="AC12" s="79">
        <v>52.4</v>
      </c>
      <c r="AD12" s="79">
        <f>AC12/AA12</f>
        <v>3.7727999999999997</v>
      </c>
    </row>
    <row r="13" spans="1:30" ht="18" customHeight="1" x14ac:dyDescent="0.15">
      <c r="A13" s="91"/>
      <c r="B13" s="92"/>
      <c r="C13" s="93"/>
      <c r="D13" s="93"/>
      <c r="E13" s="53"/>
      <c r="F13" s="53"/>
      <c r="G13" s="53"/>
      <c r="H13" s="53"/>
      <c r="I13" s="53"/>
      <c r="J13" s="53"/>
      <c r="K13" s="53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80"/>
      <c r="Z13" s="38">
        <v>50</v>
      </c>
      <c r="AA13" s="38">
        <f>Z13/3.6</f>
        <v>13.888888888888889</v>
      </c>
      <c r="AC13" s="79">
        <v>50.1</v>
      </c>
      <c r="AD13" s="79">
        <f>AC13/AA13</f>
        <v>3.6072000000000002</v>
      </c>
    </row>
    <row r="14" spans="1:30" s="39" customFormat="1" ht="18" customHeight="1" x14ac:dyDescent="0.15">
      <c r="A14" s="94" t="s">
        <v>7</v>
      </c>
      <c r="B14" s="94"/>
      <c r="C14" s="94"/>
      <c r="D14" s="94"/>
      <c r="E14" s="43">
        <v>1</v>
      </c>
      <c r="F14" s="43">
        <v>2</v>
      </c>
      <c r="G14" s="43">
        <v>3</v>
      </c>
      <c r="H14" s="43">
        <v>4</v>
      </c>
      <c r="I14" s="43">
        <v>5</v>
      </c>
      <c r="J14" s="43">
        <v>6</v>
      </c>
      <c r="K14" s="43">
        <v>7</v>
      </c>
      <c r="L14" s="43">
        <v>8</v>
      </c>
      <c r="M14" s="43">
        <v>9</v>
      </c>
      <c r="N14" s="43">
        <v>10</v>
      </c>
      <c r="O14" s="43">
        <v>11</v>
      </c>
      <c r="P14" s="43">
        <v>12</v>
      </c>
      <c r="Q14" s="43">
        <v>13</v>
      </c>
      <c r="R14" s="64">
        <v>14</v>
      </c>
      <c r="S14" s="43">
        <v>15</v>
      </c>
      <c r="T14" s="43">
        <v>16</v>
      </c>
      <c r="U14" s="43">
        <v>17</v>
      </c>
      <c r="V14" s="43">
        <v>18</v>
      </c>
      <c r="W14" s="43">
        <v>19</v>
      </c>
      <c r="X14" s="43">
        <v>20</v>
      </c>
    </row>
    <row r="15" spans="1:30" s="56" customFormat="1" ht="18" customHeight="1" x14ac:dyDescent="0.15">
      <c r="A15" s="94" t="s">
        <v>8</v>
      </c>
      <c r="B15" s="94"/>
      <c r="C15" s="94"/>
      <c r="D15" s="94"/>
      <c r="E15" s="65" t="s">
        <v>9</v>
      </c>
      <c r="F15" s="65" t="s">
        <v>10</v>
      </c>
      <c r="G15" s="65" t="s">
        <v>42</v>
      </c>
      <c r="H15" s="65" t="s">
        <v>11</v>
      </c>
      <c r="I15" s="65" t="s">
        <v>12</v>
      </c>
      <c r="J15" s="65" t="s">
        <v>11</v>
      </c>
      <c r="K15" s="65" t="s">
        <v>13</v>
      </c>
      <c r="L15" s="65" t="s">
        <v>14</v>
      </c>
      <c r="M15" s="65" t="s">
        <v>15</v>
      </c>
      <c r="N15" s="65" t="s">
        <v>43</v>
      </c>
      <c r="O15" s="65" t="s">
        <v>16</v>
      </c>
      <c r="P15" s="65" t="s">
        <v>17</v>
      </c>
      <c r="Q15" s="65" t="s">
        <v>16</v>
      </c>
      <c r="R15" s="66" t="s">
        <v>18</v>
      </c>
      <c r="S15" s="67"/>
      <c r="T15" s="67"/>
      <c r="U15" s="67"/>
      <c r="V15" s="67"/>
      <c r="W15" s="67"/>
      <c r="X15" s="67"/>
    </row>
    <row r="16" spans="1:30" s="56" customFormat="1" ht="125.1" customHeight="1" x14ac:dyDescent="0.15">
      <c r="A16" s="81"/>
      <c r="B16" s="82"/>
      <c r="C16" s="82"/>
      <c r="D16" s="83"/>
      <c r="E16" s="68"/>
      <c r="F16" s="69"/>
      <c r="G16" s="69"/>
      <c r="H16" s="70"/>
      <c r="I16" s="68"/>
      <c r="J16" s="69"/>
      <c r="K16" s="70"/>
      <c r="L16" s="68"/>
      <c r="M16" s="69"/>
      <c r="N16" s="69"/>
      <c r="O16" s="70"/>
      <c r="P16" s="68"/>
      <c r="Q16" s="69"/>
      <c r="R16" s="70"/>
      <c r="S16" s="69"/>
      <c r="T16" s="69"/>
      <c r="U16" s="69"/>
      <c r="V16" s="69"/>
      <c r="W16" s="69"/>
      <c r="X16" s="70"/>
      <c r="Y16" s="57"/>
    </row>
    <row r="17" spans="1:32" ht="18" customHeight="1" x14ac:dyDescent="0.15">
      <c r="A17" s="81" t="s">
        <v>76</v>
      </c>
      <c r="B17" s="82"/>
      <c r="C17" s="82" t="s">
        <v>20</v>
      </c>
      <c r="D17" s="83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45"/>
      <c r="T17" s="45"/>
      <c r="U17" s="45"/>
      <c r="V17" s="45"/>
      <c r="W17" s="45"/>
      <c r="X17" s="45"/>
    </row>
    <row r="18" spans="1:32" ht="18" customHeight="1" x14ac:dyDescent="0.15">
      <c r="A18" s="81" t="s">
        <v>21</v>
      </c>
      <c r="B18" s="82"/>
      <c r="C18" s="82" t="s">
        <v>22</v>
      </c>
      <c r="D18" s="83"/>
      <c r="E18" s="45"/>
      <c r="F18" s="45"/>
      <c r="G18" s="72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</row>
    <row r="19" spans="1:32" ht="18" customHeight="1" x14ac:dyDescent="0.15">
      <c r="A19" s="81" t="s">
        <v>39</v>
      </c>
      <c r="B19" s="82"/>
      <c r="C19" s="82" t="s">
        <v>23</v>
      </c>
      <c r="D19" s="83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</row>
    <row r="20" spans="1:32" ht="18" customHeight="1" x14ac:dyDescent="0.15">
      <c r="A20" s="81" t="s">
        <v>77</v>
      </c>
      <c r="B20" s="82"/>
      <c r="C20" s="82" t="s">
        <v>25</v>
      </c>
      <c r="D20" s="83"/>
      <c r="E20" s="45"/>
      <c r="F20" s="45"/>
      <c r="G20" s="45"/>
      <c r="H20" s="71"/>
      <c r="I20" s="71"/>
      <c r="J20" s="45"/>
      <c r="K20" s="72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</row>
    <row r="21" spans="1:32" ht="18" customHeight="1" x14ac:dyDescent="0.15">
      <c r="A21" s="84" t="s">
        <v>26</v>
      </c>
      <c r="B21" s="85"/>
      <c r="C21" s="85" t="s">
        <v>27</v>
      </c>
      <c r="D21" s="86"/>
      <c r="E21" s="73"/>
      <c r="F21" s="73"/>
      <c r="G21" s="73"/>
      <c r="H21" s="73"/>
      <c r="I21" s="73"/>
      <c r="J21" s="73"/>
      <c r="K21" s="73"/>
      <c r="L21" s="73"/>
      <c r="M21" s="73"/>
      <c r="N21" s="72"/>
      <c r="O21" s="73"/>
      <c r="P21" s="73"/>
      <c r="Q21" s="73"/>
      <c r="R21" s="73"/>
      <c r="S21" s="45"/>
      <c r="T21" s="45"/>
      <c r="U21" s="45"/>
      <c r="V21" s="45"/>
      <c r="W21" s="45"/>
      <c r="X21" s="45"/>
    </row>
    <row r="22" spans="1:32" ht="18" customHeight="1" x14ac:dyDescent="0.15">
      <c r="A22" s="81" t="s">
        <v>40</v>
      </c>
      <c r="B22" s="82"/>
      <c r="C22" s="82" t="s">
        <v>28</v>
      </c>
      <c r="D22" s="83"/>
      <c r="E22" s="74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 spans="1:32" ht="18" customHeight="1" x14ac:dyDescent="0.15">
      <c r="A23" s="81"/>
      <c r="B23" s="82"/>
      <c r="C23" s="82"/>
      <c r="D23" s="83"/>
      <c r="E23" s="74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 spans="1:32" ht="18" customHeight="1" x14ac:dyDescent="0.15">
      <c r="A24" s="81"/>
      <c r="B24" s="82"/>
      <c r="C24" s="82"/>
      <c r="D24" s="83"/>
      <c r="E24" s="74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 spans="1:32" ht="18" customHeight="1" x14ac:dyDescent="0.15">
      <c r="A25" s="81"/>
      <c r="B25" s="82"/>
      <c r="C25" s="82"/>
      <c r="D25" s="83"/>
      <c r="E25" s="74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</row>
    <row r="26" spans="1:32" ht="18" customHeight="1" x14ac:dyDescent="0.15">
      <c r="A26" s="81"/>
      <c r="B26" s="82"/>
      <c r="C26" s="82"/>
      <c r="D26" s="83"/>
      <c r="E26" s="74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</row>
    <row r="27" spans="1:32" ht="18" customHeight="1" x14ac:dyDescent="0.15">
      <c r="A27" s="81"/>
      <c r="B27" s="82"/>
      <c r="C27" s="82"/>
      <c r="D27" s="83"/>
      <c r="E27" s="74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</row>
    <row r="28" spans="1:32" ht="18" customHeight="1" x14ac:dyDescent="0.15">
      <c r="A28" s="81"/>
      <c r="B28" s="82"/>
      <c r="C28" s="82"/>
      <c r="D28" s="83"/>
      <c r="E28" s="74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</row>
    <row r="29" spans="1:32" ht="18" customHeight="1" x14ac:dyDescent="0.15">
      <c r="A29" s="81"/>
      <c r="B29" s="82"/>
      <c r="C29" s="82"/>
      <c r="D29" s="83"/>
      <c r="E29" s="74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</row>
    <row r="30" spans="1:32" ht="18" customHeight="1" x14ac:dyDescent="0.15">
      <c r="A30" s="81"/>
      <c r="B30" s="82"/>
      <c r="C30" s="82"/>
      <c r="D30" s="83"/>
      <c r="E30" s="74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</row>
    <row r="31" spans="1:32" ht="18" customHeight="1" x14ac:dyDescent="0.15">
      <c r="A31" s="81"/>
      <c r="B31" s="82"/>
      <c r="C31" s="82"/>
      <c r="D31" s="83"/>
      <c r="E31" s="74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Z31" s="75"/>
    </row>
    <row r="32" spans="1:32" ht="18" customHeight="1" x14ac:dyDescent="0.15">
      <c r="A32" s="81"/>
      <c r="B32" s="82"/>
      <c r="C32" s="82"/>
      <c r="D32" s="83"/>
      <c r="E32" s="74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Z32" s="39"/>
      <c r="AA32" s="39"/>
      <c r="AB32" s="39"/>
      <c r="AC32" s="39"/>
      <c r="AD32" s="39"/>
      <c r="AE32" s="39"/>
      <c r="AF32" s="39"/>
    </row>
    <row r="33" spans="1:32" ht="18" customHeight="1" x14ac:dyDescent="0.15">
      <c r="A33" s="81"/>
      <c r="B33" s="82"/>
      <c r="C33" s="82"/>
      <c r="D33" s="8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62"/>
      <c r="S33" s="62"/>
      <c r="T33" s="62"/>
      <c r="U33" s="62"/>
      <c r="V33" s="62"/>
      <c r="W33" s="62"/>
      <c r="X33" s="63"/>
    </row>
    <row r="34" spans="1:32" ht="18" customHeight="1" x14ac:dyDescent="0.15">
      <c r="A34" s="81" t="s">
        <v>72</v>
      </c>
      <c r="B34" s="82"/>
      <c r="C34" s="82"/>
      <c r="D34" s="83"/>
      <c r="E34" s="43" t="s">
        <v>64</v>
      </c>
      <c r="F34" s="43"/>
      <c r="G34" s="43"/>
      <c r="H34" s="43"/>
      <c r="I34" s="43" t="s">
        <v>75</v>
      </c>
      <c r="J34" s="43"/>
      <c r="K34" s="43"/>
      <c r="L34" s="43" t="s">
        <v>64</v>
      </c>
      <c r="M34" s="43"/>
      <c r="N34" s="43"/>
      <c r="O34" s="43"/>
      <c r="P34" s="43" t="s">
        <v>65</v>
      </c>
      <c r="Q34" s="43"/>
      <c r="R34" s="62"/>
      <c r="S34" s="62"/>
      <c r="T34" s="62"/>
      <c r="U34" s="62"/>
      <c r="V34" s="62"/>
      <c r="W34" s="62"/>
      <c r="X34" s="63" t="s">
        <v>66</v>
      </c>
      <c r="AA34" s="76"/>
      <c r="AB34" s="76"/>
      <c r="AC34" s="76"/>
      <c r="AD34" s="76"/>
      <c r="AE34" s="76"/>
      <c r="AF34" s="76"/>
    </row>
    <row r="35" spans="1:32" ht="18" customHeight="1" x14ac:dyDescent="0.15">
      <c r="A35" s="40" t="s">
        <v>58</v>
      </c>
      <c r="B35" s="41"/>
      <c r="C35" s="42"/>
      <c r="D35" s="59"/>
      <c r="E35" s="43">
        <v>109</v>
      </c>
      <c r="F35" s="43"/>
      <c r="G35" s="43"/>
      <c r="H35" s="43"/>
      <c r="I35" s="43">
        <v>109</v>
      </c>
      <c r="J35" s="43"/>
      <c r="K35" s="43"/>
      <c r="L35" s="44">
        <v>109</v>
      </c>
      <c r="M35" s="43"/>
      <c r="N35" s="43"/>
      <c r="O35" s="43"/>
      <c r="P35" s="43">
        <v>109</v>
      </c>
      <c r="Q35" s="43"/>
      <c r="R35" s="43"/>
      <c r="S35" s="43"/>
      <c r="T35" s="43"/>
      <c r="U35" s="45"/>
      <c r="V35" s="45"/>
      <c r="W35" s="45"/>
      <c r="X35" s="45"/>
      <c r="Z35" s="39">
        <v>130</v>
      </c>
      <c r="AA35" s="39">
        <f>Z35-INT(Z35/8)-3</f>
        <v>111</v>
      </c>
    </row>
    <row r="36" spans="1:32" ht="18" customHeight="1" x14ac:dyDescent="0.15">
      <c r="A36" s="46" t="s">
        <v>59</v>
      </c>
      <c r="B36" s="47" t="s">
        <v>30</v>
      </c>
      <c r="C36" s="48">
        <f>SUM(E36:X36)</f>
        <v>81</v>
      </c>
      <c r="D36" s="60" t="s">
        <v>31</v>
      </c>
      <c r="E36" s="43">
        <v>14</v>
      </c>
      <c r="F36" s="43">
        <v>8</v>
      </c>
      <c r="G36" s="43">
        <v>5</v>
      </c>
      <c r="H36" s="43">
        <v>3</v>
      </c>
      <c r="I36" s="43">
        <v>5</v>
      </c>
      <c r="J36" s="43">
        <v>2</v>
      </c>
      <c r="K36" s="43">
        <v>4</v>
      </c>
      <c r="L36" s="43">
        <v>16</v>
      </c>
      <c r="M36" s="43">
        <v>8</v>
      </c>
      <c r="N36" s="43">
        <v>2</v>
      </c>
      <c r="O36" s="43">
        <v>3</v>
      </c>
      <c r="P36" s="43">
        <v>5</v>
      </c>
      <c r="Q36" s="43">
        <v>2</v>
      </c>
      <c r="R36" s="43">
        <v>4</v>
      </c>
      <c r="S36" s="43"/>
      <c r="T36" s="43"/>
      <c r="U36" s="45"/>
      <c r="V36" s="45"/>
      <c r="W36" s="45"/>
      <c r="X36" s="45"/>
      <c r="Z36" s="39">
        <v>150</v>
      </c>
      <c r="AA36" s="39">
        <f>Z36-INT(Z36/8)-3</f>
        <v>129</v>
      </c>
    </row>
    <row r="37" spans="1:32" ht="18" customHeight="1" x14ac:dyDescent="0.15">
      <c r="A37" s="46" t="s">
        <v>29</v>
      </c>
      <c r="B37" s="47" t="s">
        <v>30</v>
      </c>
      <c r="C37" s="48">
        <f>SUM(E37:X37)</f>
        <v>150</v>
      </c>
      <c r="D37" s="60" t="s">
        <v>31</v>
      </c>
      <c r="E37" s="43">
        <v>41</v>
      </c>
      <c r="F37" s="43">
        <v>8</v>
      </c>
      <c r="G37" s="43">
        <v>5</v>
      </c>
      <c r="H37" s="43">
        <v>3</v>
      </c>
      <c r="I37" s="43">
        <v>12</v>
      </c>
      <c r="J37" s="43">
        <v>2</v>
      </c>
      <c r="K37" s="43">
        <v>4</v>
      </c>
      <c r="L37" s="43">
        <v>44</v>
      </c>
      <c r="M37" s="43">
        <v>8</v>
      </c>
      <c r="N37" s="43">
        <v>2</v>
      </c>
      <c r="O37" s="43">
        <v>3</v>
      </c>
      <c r="P37" s="43">
        <v>12</v>
      </c>
      <c r="Q37" s="43">
        <v>2</v>
      </c>
      <c r="R37" s="43">
        <v>4</v>
      </c>
      <c r="S37" s="43"/>
      <c r="T37" s="43"/>
      <c r="U37" s="43"/>
      <c r="V37" s="43"/>
      <c r="W37" s="43"/>
      <c r="X37" s="43"/>
    </row>
    <row r="38" spans="1:32" ht="18" customHeight="1" x14ac:dyDescent="0.15">
      <c r="A38" s="81" t="s">
        <v>32</v>
      </c>
      <c r="B38" s="82"/>
      <c r="C38" s="82"/>
      <c r="D38" s="83"/>
      <c r="E38" s="43">
        <v>110</v>
      </c>
      <c r="F38" s="43">
        <v>110</v>
      </c>
      <c r="G38" s="43">
        <v>110</v>
      </c>
      <c r="H38" s="43">
        <v>10</v>
      </c>
      <c r="I38" s="43">
        <v>110</v>
      </c>
      <c r="J38" s="43">
        <v>10</v>
      </c>
      <c r="K38" s="43">
        <v>10</v>
      </c>
      <c r="L38" s="43">
        <v>110</v>
      </c>
      <c r="M38" s="43">
        <v>110</v>
      </c>
      <c r="N38" s="43">
        <v>110</v>
      </c>
      <c r="O38" s="43">
        <v>10</v>
      </c>
      <c r="P38" s="43">
        <v>110</v>
      </c>
      <c r="Q38" s="43">
        <v>10</v>
      </c>
      <c r="R38" s="43">
        <v>10</v>
      </c>
      <c r="S38" s="43"/>
      <c r="T38" s="43"/>
      <c r="U38" s="43"/>
      <c r="V38" s="43"/>
      <c r="W38" s="43"/>
      <c r="X38" s="43"/>
    </row>
    <row r="39" spans="1:32" ht="18" customHeight="1" x14ac:dyDescent="0.15">
      <c r="A39" s="81" t="s">
        <v>33</v>
      </c>
      <c r="B39" s="82"/>
      <c r="C39" s="82"/>
      <c r="D39" s="83"/>
      <c r="E39" s="43">
        <v>6</v>
      </c>
      <c r="F39" s="43">
        <v>0.95</v>
      </c>
      <c r="G39" s="43">
        <v>0.95</v>
      </c>
      <c r="H39" s="43">
        <v>0.95</v>
      </c>
      <c r="I39" s="43">
        <v>0.95</v>
      </c>
      <c r="J39" s="43">
        <v>0.95</v>
      </c>
      <c r="K39" s="43">
        <v>0.95</v>
      </c>
      <c r="L39" s="43">
        <v>6</v>
      </c>
      <c r="M39" s="43">
        <v>0.95</v>
      </c>
      <c r="N39" s="43">
        <v>0.95</v>
      </c>
      <c r="O39" s="43">
        <v>0.95</v>
      </c>
      <c r="P39" s="43">
        <v>0.95</v>
      </c>
      <c r="Q39" s="43">
        <v>0.95</v>
      </c>
      <c r="R39" s="43">
        <v>0.95</v>
      </c>
      <c r="S39" s="43"/>
      <c r="T39" s="43"/>
      <c r="U39" s="43"/>
      <c r="V39" s="43"/>
      <c r="W39" s="43"/>
      <c r="X39" s="43"/>
    </row>
    <row r="40" spans="1:32" ht="18" customHeight="1" x14ac:dyDescent="0.15">
      <c r="A40" s="81" t="s">
        <v>34</v>
      </c>
      <c r="B40" s="82"/>
      <c r="C40" s="82"/>
      <c r="D40" s="8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</sheetData>
  <mergeCells count="76">
    <mergeCell ref="T1:U1"/>
    <mergeCell ref="V1:X1"/>
    <mergeCell ref="T2:U3"/>
    <mergeCell ref="V2:X3"/>
    <mergeCell ref="A3:E4"/>
    <mergeCell ref="F3:G4"/>
    <mergeCell ref="H3:K4"/>
    <mergeCell ref="L3:M4"/>
    <mergeCell ref="P3:R4"/>
    <mergeCell ref="S3:S4"/>
    <mergeCell ref="A1:E2"/>
    <mergeCell ref="F1:G2"/>
    <mergeCell ref="H1:K2"/>
    <mergeCell ref="L1:M2"/>
    <mergeCell ref="N1:O4"/>
    <mergeCell ref="P1:S2"/>
    <mergeCell ref="T4:U4"/>
    <mergeCell ref="V4:X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7:B17"/>
    <mergeCell ref="C17:D17"/>
    <mergeCell ref="A10:B10"/>
    <mergeCell ref="C10:D10"/>
    <mergeCell ref="A11:B11"/>
    <mergeCell ref="C11:D11"/>
    <mergeCell ref="A12:B12"/>
    <mergeCell ref="C12:D12"/>
    <mergeCell ref="A13:B13"/>
    <mergeCell ref="C13:D13"/>
    <mergeCell ref="A14:D14"/>
    <mergeCell ref="A15:D15"/>
    <mergeCell ref="A16:D16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D33"/>
    <mergeCell ref="A34:D34"/>
    <mergeCell ref="A38:D38"/>
    <mergeCell ref="A39:D39"/>
    <mergeCell ref="A40:D40"/>
  </mergeCells>
  <phoneticPr fontId="3"/>
  <pageMargins left="0.78740157480314965" right="0" top="0.39370078740157483" bottom="0.19685039370078741" header="0.23622047244094491" footer="0.31496062992125984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0"/>
  <sheetViews>
    <sheetView view="pageBreakPreview" topLeftCell="A17" zoomScaleNormal="100" zoomScaleSheetLayoutView="100" workbookViewId="0">
      <selection sqref="A1:E2"/>
    </sheetView>
  </sheetViews>
  <sheetFormatPr defaultRowHeight="12" x14ac:dyDescent="0.15"/>
  <cols>
    <col min="1" max="1" width="7.5" style="56" bestFit="1" customWidth="1"/>
    <col min="2" max="2" width="2.25" style="61" bestFit="1" customWidth="1"/>
    <col min="3" max="3" width="5.25" style="56" bestFit="1" customWidth="1"/>
    <col min="4" max="4" width="2.25" style="58" bestFit="1" customWidth="1"/>
    <col min="5" max="24" width="4.125" style="38" customWidth="1"/>
    <col min="25" max="26" width="9" style="38"/>
    <col min="27" max="27" width="9.375" style="38" bestFit="1" customWidth="1"/>
    <col min="28" max="16384" width="9" style="38"/>
  </cols>
  <sheetData>
    <row r="1" spans="1:28" ht="15" customHeight="1" x14ac:dyDescent="0.15">
      <c r="A1" s="98" t="s">
        <v>0</v>
      </c>
      <c r="B1" s="127"/>
      <c r="C1" s="127"/>
      <c r="D1" s="127"/>
      <c r="E1" s="99"/>
      <c r="F1" s="131" t="s">
        <v>62</v>
      </c>
      <c r="G1" s="132"/>
      <c r="H1" s="135" t="s">
        <v>60</v>
      </c>
      <c r="I1" s="135"/>
      <c r="J1" s="135"/>
      <c r="K1" s="135"/>
      <c r="L1" s="127" t="s">
        <v>61</v>
      </c>
      <c r="M1" s="99"/>
      <c r="N1" s="137" t="s">
        <v>55</v>
      </c>
      <c r="O1" s="99"/>
      <c r="P1" s="138">
        <v>38133</v>
      </c>
      <c r="Q1" s="139"/>
      <c r="R1" s="139"/>
      <c r="S1" s="140"/>
      <c r="T1" s="95" t="s">
        <v>3</v>
      </c>
      <c r="U1" s="95"/>
      <c r="V1" s="95" t="s">
        <v>44</v>
      </c>
      <c r="W1" s="95"/>
      <c r="X1" s="95"/>
    </row>
    <row r="2" spans="1:28" ht="7.5" customHeight="1" x14ac:dyDescent="0.15">
      <c r="A2" s="128"/>
      <c r="B2" s="129"/>
      <c r="C2" s="129"/>
      <c r="D2" s="129"/>
      <c r="E2" s="130"/>
      <c r="F2" s="133"/>
      <c r="G2" s="134"/>
      <c r="H2" s="136"/>
      <c r="I2" s="136"/>
      <c r="J2" s="136"/>
      <c r="K2" s="136"/>
      <c r="L2" s="129"/>
      <c r="M2" s="130"/>
      <c r="N2" s="108"/>
      <c r="O2" s="110"/>
      <c r="P2" s="141"/>
      <c r="Q2" s="142"/>
      <c r="R2" s="142"/>
      <c r="S2" s="143"/>
      <c r="T2" s="98" t="s">
        <v>6</v>
      </c>
      <c r="U2" s="99"/>
      <c r="V2" s="102">
        <v>37987</v>
      </c>
      <c r="W2" s="103"/>
      <c r="X2" s="104"/>
    </row>
    <row r="3" spans="1:28" ht="7.5" customHeight="1" x14ac:dyDescent="0.15">
      <c r="A3" s="108" t="s">
        <v>4</v>
      </c>
      <c r="B3" s="109"/>
      <c r="C3" s="109"/>
      <c r="D3" s="109"/>
      <c r="E3" s="110"/>
      <c r="F3" s="112" t="s">
        <v>63</v>
      </c>
      <c r="G3" s="113"/>
      <c r="H3" s="116" t="s">
        <v>60</v>
      </c>
      <c r="I3" s="116"/>
      <c r="J3" s="116"/>
      <c r="K3" s="116"/>
      <c r="L3" s="118" t="s">
        <v>41</v>
      </c>
      <c r="M3" s="119"/>
      <c r="N3" s="108"/>
      <c r="O3" s="110"/>
      <c r="P3" s="122" t="s">
        <v>70</v>
      </c>
      <c r="Q3" s="123"/>
      <c r="R3" s="123"/>
      <c r="S3" s="126" t="s">
        <v>56</v>
      </c>
      <c r="T3" s="100"/>
      <c r="U3" s="101"/>
      <c r="V3" s="105"/>
      <c r="W3" s="106"/>
      <c r="X3" s="107"/>
    </row>
    <row r="4" spans="1:28" ht="15" customHeight="1" x14ac:dyDescent="0.15">
      <c r="A4" s="100"/>
      <c r="B4" s="111"/>
      <c r="C4" s="111"/>
      <c r="D4" s="111"/>
      <c r="E4" s="101"/>
      <c r="F4" s="114"/>
      <c r="G4" s="115"/>
      <c r="H4" s="117"/>
      <c r="I4" s="117"/>
      <c r="J4" s="117"/>
      <c r="K4" s="117"/>
      <c r="L4" s="120"/>
      <c r="M4" s="121"/>
      <c r="N4" s="100"/>
      <c r="O4" s="101"/>
      <c r="P4" s="124"/>
      <c r="Q4" s="125"/>
      <c r="R4" s="125"/>
      <c r="S4" s="101"/>
      <c r="T4" s="95" t="s">
        <v>57</v>
      </c>
      <c r="U4" s="95"/>
      <c r="V4" s="95" t="s">
        <v>71</v>
      </c>
      <c r="W4" s="95"/>
      <c r="X4" s="95"/>
    </row>
    <row r="5" spans="1:28" ht="18" customHeight="1" x14ac:dyDescent="0.15">
      <c r="A5" s="96"/>
      <c r="B5" s="97"/>
      <c r="C5" s="97"/>
      <c r="D5" s="97"/>
      <c r="E5" s="49"/>
      <c r="F5" s="49"/>
      <c r="G5" s="49"/>
      <c r="H5" s="49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1"/>
      <c r="Z5" s="39"/>
      <c r="AA5" s="39"/>
      <c r="AB5" s="39"/>
    </row>
    <row r="6" spans="1:28" ht="18" customHeight="1" x14ac:dyDescent="0.15">
      <c r="A6" s="87"/>
      <c r="B6" s="88"/>
      <c r="C6" s="88"/>
      <c r="D6" s="88"/>
      <c r="X6" s="52"/>
    </row>
    <row r="7" spans="1:28" ht="18" customHeight="1" x14ac:dyDescent="0.15">
      <c r="A7" s="87"/>
      <c r="B7" s="88"/>
      <c r="C7" s="88"/>
      <c r="D7" s="88"/>
      <c r="X7" s="52"/>
    </row>
    <row r="8" spans="1:28" ht="18" customHeight="1" x14ac:dyDescent="0.15">
      <c r="A8" s="87"/>
      <c r="B8" s="88"/>
      <c r="C8" s="88"/>
      <c r="D8" s="88"/>
      <c r="X8" s="52"/>
    </row>
    <row r="9" spans="1:28" ht="147.75" customHeight="1" x14ac:dyDescent="0.15">
      <c r="A9" s="87"/>
      <c r="B9" s="88"/>
      <c r="C9" s="88"/>
      <c r="D9" s="88"/>
      <c r="X9" s="52"/>
    </row>
    <row r="10" spans="1:28" ht="18" customHeight="1" x14ac:dyDescent="0.15">
      <c r="A10" s="87"/>
      <c r="B10" s="88"/>
      <c r="C10" s="88"/>
      <c r="D10" s="88"/>
      <c r="X10" s="52"/>
    </row>
    <row r="11" spans="1:28" ht="18" customHeight="1" x14ac:dyDescent="0.15">
      <c r="A11" s="89"/>
      <c r="B11" s="90"/>
      <c r="C11" s="88"/>
      <c r="D11" s="88"/>
      <c r="X11" s="52"/>
    </row>
    <row r="12" spans="1:28" ht="18" customHeight="1" x14ac:dyDescent="0.15">
      <c r="A12" s="89"/>
      <c r="B12" s="90"/>
      <c r="C12" s="88"/>
      <c r="D12" s="88"/>
      <c r="X12" s="52"/>
    </row>
    <row r="13" spans="1:28" ht="18" customHeight="1" x14ac:dyDescent="0.15">
      <c r="A13" s="91"/>
      <c r="B13" s="92"/>
      <c r="C13" s="93"/>
      <c r="D13" s="93"/>
      <c r="E13" s="53"/>
      <c r="F13" s="53"/>
      <c r="G13" s="53"/>
      <c r="H13" s="53"/>
      <c r="I13" s="53"/>
      <c r="J13" s="53"/>
      <c r="K13" s="53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5"/>
    </row>
    <row r="14" spans="1:28" s="39" customFormat="1" ht="18" customHeight="1" x14ac:dyDescent="0.15">
      <c r="A14" s="94" t="s">
        <v>7</v>
      </c>
      <c r="B14" s="94"/>
      <c r="C14" s="94"/>
      <c r="D14" s="94"/>
      <c r="E14" s="43">
        <v>1</v>
      </c>
      <c r="F14" s="43">
        <v>2</v>
      </c>
      <c r="G14" s="43">
        <v>3</v>
      </c>
      <c r="H14" s="43">
        <v>4</v>
      </c>
      <c r="I14" s="43">
        <v>5</v>
      </c>
      <c r="J14" s="43">
        <v>6</v>
      </c>
      <c r="K14" s="43">
        <v>7</v>
      </c>
      <c r="L14" s="43">
        <v>8</v>
      </c>
      <c r="M14" s="43">
        <v>9</v>
      </c>
      <c r="N14" s="43">
        <v>10</v>
      </c>
      <c r="O14" s="43">
        <v>11</v>
      </c>
      <c r="P14" s="43">
        <v>12</v>
      </c>
      <c r="Q14" s="43">
        <v>13</v>
      </c>
      <c r="R14" s="64">
        <v>14</v>
      </c>
      <c r="S14" s="43">
        <v>15</v>
      </c>
      <c r="T14" s="43">
        <v>16</v>
      </c>
      <c r="U14" s="43">
        <v>17</v>
      </c>
      <c r="V14" s="43">
        <v>18</v>
      </c>
      <c r="W14" s="43">
        <v>19</v>
      </c>
      <c r="X14" s="43">
        <v>20</v>
      </c>
    </row>
    <row r="15" spans="1:28" s="56" customFormat="1" ht="18" customHeight="1" x14ac:dyDescent="0.15">
      <c r="A15" s="94" t="s">
        <v>8</v>
      </c>
      <c r="B15" s="94"/>
      <c r="C15" s="94"/>
      <c r="D15" s="94"/>
      <c r="E15" s="65" t="s">
        <v>9</v>
      </c>
      <c r="F15" s="65" t="s">
        <v>10</v>
      </c>
      <c r="G15" s="65" t="s">
        <v>42</v>
      </c>
      <c r="H15" s="65" t="s">
        <v>11</v>
      </c>
      <c r="I15" s="65" t="s">
        <v>12</v>
      </c>
      <c r="J15" s="65" t="s">
        <v>11</v>
      </c>
      <c r="K15" s="65" t="s">
        <v>13</v>
      </c>
      <c r="L15" s="65" t="s">
        <v>14</v>
      </c>
      <c r="M15" s="65" t="s">
        <v>15</v>
      </c>
      <c r="N15" s="65" t="s">
        <v>43</v>
      </c>
      <c r="O15" s="65" t="s">
        <v>16</v>
      </c>
      <c r="P15" s="65" t="s">
        <v>17</v>
      </c>
      <c r="Q15" s="65" t="s">
        <v>16</v>
      </c>
      <c r="R15" s="66" t="s">
        <v>18</v>
      </c>
      <c r="S15" s="67"/>
      <c r="T15" s="67"/>
      <c r="U15" s="67"/>
      <c r="V15" s="67"/>
      <c r="W15" s="67"/>
      <c r="X15" s="67"/>
    </row>
    <row r="16" spans="1:28" s="56" customFormat="1" ht="125.1" customHeight="1" x14ac:dyDescent="0.15">
      <c r="A16" s="81"/>
      <c r="B16" s="82"/>
      <c r="C16" s="82"/>
      <c r="D16" s="83"/>
      <c r="E16" s="68"/>
      <c r="F16" s="69"/>
      <c r="G16" s="69"/>
      <c r="H16" s="70"/>
      <c r="I16" s="68"/>
      <c r="J16" s="69"/>
      <c r="K16" s="70"/>
      <c r="L16" s="68"/>
      <c r="M16" s="69"/>
      <c r="N16" s="69"/>
      <c r="O16" s="70"/>
      <c r="P16" s="68"/>
      <c r="Q16" s="69"/>
      <c r="R16" s="70"/>
      <c r="S16" s="69"/>
      <c r="T16" s="69"/>
      <c r="U16" s="69"/>
      <c r="V16" s="69"/>
      <c r="W16" s="69"/>
      <c r="X16" s="70"/>
      <c r="Y16" s="57"/>
    </row>
    <row r="17" spans="1:32" ht="18" customHeight="1" x14ac:dyDescent="0.15">
      <c r="A17" s="81" t="s">
        <v>19</v>
      </c>
      <c r="B17" s="82"/>
      <c r="C17" s="82" t="s">
        <v>20</v>
      </c>
      <c r="D17" s="83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45"/>
      <c r="T17" s="45"/>
      <c r="U17" s="45"/>
      <c r="V17" s="45"/>
      <c r="W17" s="45"/>
      <c r="X17" s="45"/>
    </row>
    <row r="18" spans="1:32" ht="18" customHeight="1" x14ac:dyDescent="0.15">
      <c r="A18" s="81" t="s">
        <v>21</v>
      </c>
      <c r="B18" s="82"/>
      <c r="C18" s="82" t="s">
        <v>22</v>
      </c>
      <c r="D18" s="83"/>
      <c r="E18" s="45"/>
      <c r="F18" s="45"/>
      <c r="G18" s="72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</row>
    <row r="19" spans="1:32" ht="18" customHeight="1" x14ac:dyDescent="0.15">
      <c r="A19" s="81" t="s">
        <v>39</v>
      </c>
      <c r="B19" s="82"/>
      <c r="C19" s="82" t="s">
        <v>23</v>
      </c>
      <c r="D19" s="83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</row>
    <row r="20" spans="1:32" ht="18" customHeight="1" x14ac:dyDescent="0.15">
      <c r="A20" s="81" t="s">
        <v>24</v>
      </c>
      <c r="B20" s="82"/>
      <c r="C20" s="82" t="s">
        <v>25</v>
      </c>
      <c r="D20" s="83"/>
      <c r="E20" s="45"/>
      <c r="F20" s="45"/>
      <c r="G20" s="45"/>
      <c r="H20" s="71"/>
      <c r="I20" s="71"/>
      <c r="J20" s="45"/>
      <c r="K20" s="72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</row>
    <row r="21" spans="1:32" ht="18" customHeight="1" x14ac:dyDescent="0.15">
      <c r="A21" s="84" t="s">
        <v>26</v>
      </c>
      <c r="B21" s="85"/>
      <c r="C21" s="85" t="s">
        <v>27</v>
      </c>
      <c r="D21" s="86"/>
      <c r="E21" s="73"/>
      <c r="F21" s="73"/>
      <c r="G21" s="73"/>
      <c r="H21" s="73"/>
      <c r="I21" s="73"/>
      <c r="J21" s="73"/>
      <c r="K21" s="73"/>
      <c r="L21" s="73"/>
      <c r="M21" s="73"/>
      <c r="N21" s="72"/>
      <c r="O21" s="73"/>
      <c r="P21" s="73"/>
      <c r="Q21" s="73"/>
      <c r="R21" s="73"/>
      <c r="S21" s="45"/>
      <c r="T21" s="45"/>
      <c r="U21" s="45"/>
      <c r="V21" s="45"/>
      <c r="W21" s="45"/>
      <c r="X21" s="45"/>
    </row>
    <row r="22" spans="1:32" ht="18" customHeight="1" x14ac:dyDescent="0.15">
      <c r="A22" s="81" t="s">
        <v>40</v>
      </c>
      <c r="B22" s="82"/>
      <c r="C22" s="82" t="s">
        <v>28</v>
      </c>
      <c r="D22" s="83"/>
      <c r="E22" s="74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 spans="1:32" ht="18" customHeight="1" x14ac:dyDescent="0.15">
      <c r="A23" s="81"/>
      <c r="B23" s="82"/>
      <c r="C23" s="82"/>
      <c r="D23" s="83"/>
      <c r="E23" s="74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 spans="1:32" ht="18" customHeight="1" x14ac:dyDescent="0.15">
      <c r="A24" s="81"/>
      <c r="B24" s="82"/>
      <c r="C24" s="82"/>
      <c r="D24" s="83"/>
      <c r="E24" s="74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 spans="1:32" ht="18" customHeight="1" x14ac:dyDescent="0.15">
      <c r="A25" s="81"/>
      <c r="B25" s="82"/>
      <c r="C25" s="82"/>
      <c r="D25" s="83"/>
      <c r="E25" s="74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</row>
    <row r="26" spans="1:32" ht="18" customHeight="1" x14ac:dyDescent="0.15">
      <c r="A26" s="81"/>
      <c r="B26" s="82"/>
      <c r="C26" s="82"/>
      <c r="D26" s="83"/>
      <c r="E26" s="74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</row>
    <row r="27" spans="1:32" ht="18" customHeight="1" x14ac:dyDescent="0.15">
      <c r="A27" s="81"/>
      <c r="B27" s="82"/>
      <c r="C27" s="82"/>
      <c r="D27" s="83"/>
      <c r="E27" s="74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</row>
    <row r="28" spans="1:32" ht="18" customHeight="1" x14ac:dyDescent="0.15">
      <c r="A28" s="81"/>
      <c r="B28" s="82"/>
      <c r="C28" s="82"/>
      <c r="D28" s="83"/>
      <c r="E28" s="74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</row>
    <row r="29" spans="1:32" ht="18" customHeight="1" x14ac:dyDescent="0.15">
      <c r="A29" s="81"/>
      <c r="B29" s="82"/>
      <c r="C29" s="82"/>
      <c r="D29" s="83"/>
      <c r="E29" s="74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</row>
    <row r="30" spans="1:32" ht="18" customHeight="1" x14ac:dyDescent="0.15">
      <c r="A30" s="81"/>
      <c r="B30" s="82"/>
      <c r="C30" s="82"/>
      <c r="D30" s="83"/>
      <c r="E30" s="74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</row>
    <row r="31" spans="1:32" ht="18" customHeight="1" x14ac:dyDescent="0.15">
      <c r="A31" s="81"/>
      <c r="B31" s="82"/>
      <c r="C31" s="82"/>
      <c r="D31" s="83"/>
      <c r="E31" s="74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Z31" s="75"/>
    </row>
    <row r="32" spans="1:32" ht="18" customHeight="1" x14ac:dyDescent="0.15">
      <c r="A32" s="144"/>
      <c r="B32" s="145"/>
      <c r="C32" s="145"/>
      <c r="D32" s="146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Z32" s="39"/>
      <c r="AA32" s="39"/>
      <c r="AB32" s="39"/>
      <c r="AC32" s="39"/>
      <c r="AD32" s="39"/>
      <c r="AE32" s="39"/>
      <c r="AF32" s="39"/>
    </row>
    <row r="33" spans="1:32" ht="18" customHeight="1" x14ac:dyDescent="0.15">
      <c r="A33" s="40" t="s">
        <v>58</v>
      </c>
      <c r="B33" s="41"/>
      <c r="C33" s="42"/>
      <c r="D33" s="59"/>
      <c r="E33" s="43">
        <v>109</v>
      </c>
      <c r="F33" s="43"/>
      <c r="G33" s="43"/>
      <c r="H33" s="43"/>
      <c r="I33" s="43">
        <v>109</v>
      </c>
      <c r="J33" s="43"/>
      <c r="K33" s="43"/>
      <c r="L33" s="44">
        <v>109</v>
      </c>
      <c r="M33" s="43"/>
      <c r="N33" s="43"/>
      <c r="O33" s="43"/>
      <c r="P33" s="43">
        <v>109</v>
      </c>
      <c r="Q33" s="43"/>
      <c r="R33" s="43"/>
      <c r="S33" s="43"/>
      <c r="T33" s="43"/>
      <c r="U33" s="45"/>
      <c r="V33" s="45"/>
      <c r="W33" s="45"/>
      <c r="X33" s="45"/>
    </row>
    <row r="34" spans="1:32" ht="18" customHeight="1" x14ac:dyDescent="0.15">
      <c r="A34" s="46" t="s">
        <v>59</v>
      </c>
      <c r="B34" s="47" t="s">
        <v>30</v>
      </c>
      <c r="C34" s="48">
        <f>SUM(E34:X34)</f>
        <v>80</v>
      </c>
      <c r="D34" s="60" t="s">
        <v>31</v>
      </c>
      <c r="E34" s="43">
        <v>14</v>
      </c>
      <c r="F34" s="43">
        <v>8</v>
      </c>
      <c r="G34" s="43">
        <v>5</v>
      </c>
      <c r="H34" s="43">
        <v>3</v>
      </c>
      <c r="I34" s="43">
        <v>5</v>
      </c>
      <c r="J34" s="43">
        <v>2</v>
      </c>
      <c r="K34" s="43">
        <v>4</v>
      </c>
      <c r="L34" s="43">
        <v>15</v>
      </c>
      <c r="M34" s="43">
        <v>8</v>
      </c>
      <c r="N34" s="43">
        <v>2</v>
      </c>
      <c r="O34" s="43">
        <v>3</v>
      </c>
      <c r="P34" s="43">
        <v>5</v>
      </c>
      <c r="Q34" s="43">
        <v>2</v>
      </c>
      <c r="R34" s="43">
        <v>4</v>
      </c>
      <c r="S34" s="43"/>
      <c r="T34" s="43"/>
      <c r="U34" s="45"/>
      <c r="V34" s="45"/>
      <c r="W34" s="45"/>
      <c r="X34" s="45"/>
      <c r="AA34" s="76"/>
      <c r="AB34" s="76"/>
      <c r="AC34" s="76"/>
      <c r="AD34" s="76"/>
      <c r="AE34" s="76"/>
      <c r="AF34" s="76"/>
    </row>
    <row r="35" spans="1:32" ht="18" customHeight="1" x14ac:dyDescent="0.15">
      <c r="A35" s="81" t="s">
        <v>69</v>
      </c>
      <c r="B35" s="82"/>
      <c r="C35" s="82"/>
      <c r="D35" s="83"/>
      <c r="E35" s="43" t="s">
        <v>64</v>
      </c>
      <c r="F35" s="43"/>
      <c r="G35" s="43" t="s">
        <v>65</v>
      </c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62"/>
      <c r="S35" s="62"/>
      <c r="T35" s="62"/>
      <c r="U35" s="62"/>
      <c r="V35" s="62"/>
      <c r="W35" s="62"/>
      <c r="X35" s="63" t="s">
        <v>68</v>
      </c>
      <c r="Z35" s="39">
        <v>150</v>
      </c>
      <c r="AA35" s="39">
        <f>Z35-INT(Z35/8)-3</f>
        <v>129</v>
      </c>
    </row>
    <row r="36" spans="1:32" ht="18" customHeight="1" x14ac:dyDescent="0.15">
      <c r="A36" s="81" t="s">
        <v>67</v>
      </c>
      <c r="B36" s="82"/>
      <c r="C36" s="82"/>
      <c r="D36" s="83"/>
      <c r="E36" s="43"/>
      <c r="F36" s="43"/>
      <c r="G36" s="43"/>
      <c r="H36" s="43"/>
      <c r="I36" s="43" t="s">
        <v>64</v>
      </c>
      <c r="J36" s="43"/>
      <c r="K36" s="43"/>
      <c r="L36" s="43" t="s">
        <v>64</v>
      </c>
      <c r="M36" s="43"/>
      <c r="N36" s="43"/>
      <c r="O36" s="43"/>
      <c r="P36" s="43" t="s">
        <v>65</v>
      </c>
      <c r="Q36" s="43"/>
      <c r="R36" s="62"/>
      <c r="S36" s="62"/>
      <c r="T36" s="62"/>
      <c r="U36" s="62"/>
      <c r="V36" s="62"/>
      <c r="W36" s="62"/>
      <c r="X36" s="63" t="s">
        <v>66</v>
      </c>
      <c r="Z36" s="39">
        <v>110</v>
      </c>
      <c r="AA36" s="39">
        <f>Z36-INT(Z36/8)-3</f>
        <v>94</v>
      </c>
    </row>
    <row r="37" spans="1:32" ht="18" customHeight="1" x14ac:dyDescent="0.15">
      <c r="A37" s="46" t="s">
        <v>29</v>
      </c>
      <c r="B37" s="47" t="s">
        <v>30</v>
      </c>
      <c r="C37" s="48">
        <f>SUM(E37:X37)</f>
        <v>150</v>
      </c>
      <c r="D37" s="60" t="s">
        <v>31</v>
      </c>
      <c r="E37" s="43">
        <v>47</v>
      </c>
      <c r="F37" s="43">
        <v>8</v>
      </c>
      <c r="G37" s="43">
        <v>5</v>
      </c>
      <c r="H37" s="43">
        <v>3</v>
      </c>
      <c r="I37" s="43">
        <v>9</v>
      </c>
      <c r="J37" s="43">
        <v>2</v>
      </c>
      <c r="K37" s="43">
        <v>4</v>
      </c>
      <c r="L37" s="43">
        <v>40</v>
      </c>
      <c r="M37" s="43">
        <v>8</v>
      </c>
      <c r="N37" s="43">
        <v>2</v>
      </c>
      <c r="O37" s="43">
        <v>3</v>
      </c>
      <c r="P37" s="43">
        <v>13</v>
      </c>
      <c r="Q37" s="43">
        <v>2</v>
      </c>
      <c r="R37" s="43">
        <v>4</v>
      </c>
      <c r="S37" s="43"/>
      <c r="T37" s="43"/>
      <c r="U37" s="43"/>
      <c r="V37" s="43"/>
      <c r="W37" s="43"/>
      <c r="X37" s="43"/>
    </row>
    <row r="38" spans="1:32" ht="18" customHeight="1" x14ac:dyDescent="0.15">
      <c r="A38" s="81" t="s">
        <v>32</v>
      </c>
      <c r="B38" s="82"/>
      <c r="C38" s="82"/>
      <c r="D38" s="83"/>
      <c r="E38" s="43">
        <v>110</v>
      </c>
      <c r="F38" s="43">
        <v>110</v>
      </c>
      <c r="G38" s="43">
        <v>110</v>
      </c>
      <c r="H38" s="43">
        <v>10</v>
      </c>
      <c r="I38" s="43">
        <v>110</v>
      </c>
      <c r="J38" s="43">
        <v>10</v>
      </c>
      <c r="K38" s="43">
        <v>10</v>
      </c>
      <c r="L38" s="43">
        <v>110</v>
      </c>
      <c r="M38" s="43">
        <v>110</v>
      </c>
      <c r="N38" s="43">
        <v>110</v>
      </c>
      <c r="O38" s="43">
        <v>10</v>
      </c>
      <c r="P38" s="43">
        <v>110</v>
      </c>
      <c r="Q38" s="43">
        <v>10</v>
      </c>
      <c r="R38" s="43">
        <v>10</v>
      </c>
      <c r="S38" s="43"/>
      <c r="T38" s="43"/>
      <c r="U38" s="43"/>
      <c r="V38" s="43"/>
      <c r="W38" s="43"/>
      <c r="X38" s="43"/>
    </row>
    <row r="39" spans="1:32" ht="18" customHeight="1" x14ac:dyDescent="0.15">
      <c r="A39" s="81" t="s">
        <v>33</v>
      </c>
      <c r="B39" s="82"/>
      <c r="C39" s="82"/>
      <c r="D39" s="83"/>
      <c r="E39" s="43">
        <v>6</v>
      </c>
      <c r="F39" s="43">
        <v>0.95</v>
      </c>
      <c r="G39" s="43">
        <v>0.95</v>
      </c>
      <c r="H39" s="43">
        <v>0.95</v>
      </c>
      <c r="I39" s="43">
        <v>0.95</v>
      </c>
      <c r="J39" s="43">
        <v>0.95</v>
      </c>
      <c r="K39" s="43">
        <v>0.95</v>
      </c>
      <c r="L39" s="43">
        <v>6</v>
      </c>
      <c r="M39" s="43">
        <v>0.95</v>
      </c>
      <c r="N39" s="43">
        <v>0.95</v>
      </c>
      <c r="O39" s="43">
        <v>0.95</v>
      </c>
      <c r="P39" s="43">
        <v>0.95</v>
      </c>
      <c r="Q39" s="43">
        <v>0.95</v>
      </c>
      <c r="R39" s="43">
        <v>0.95</v>
      </c>
      <c r="S39" s="43"/>
      <c r="T39" s="43"/>
      <c r="U39" s="43"/>
      <c r="V39" s="43"/>
      <c r="W39" s="43"/>
      <c r="X39" s="43"/>
    </row>
    <row r="40" spans="1:32" ht="18" customHeight="1" x14ac:dyDescent="0.15">
      <c r="A40" s="81" t="s">
        <v>34</v>
      </c>
      <c r="B40" s="82"/>
      <c r="C40" s="82"/>
      <c r="D40" s="8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</sheetData>
  <mergeCells count="76">
    <mergeCell ref="V1:X1"/>
    <mergeCell ref="T4:U4"/>
    <mergeCell ref="V4:X4"/>
    <mergeCell ref="L1:M2"/>
    <mergeCell ref="N1:O4"/>
    <mergeCell ref="P1:S2"/>
    <mergeCell ref="T1:U1"/>
    <mergeCell ref="T2:U3"/>
    <mergeCell ref="V2:X3"/>
    <mergeCell ref="S3:S4"/>
    <mergeCell ref="L3:M4"/>
    <mergeCell ref="P3:R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8:B18"/>
    <mergeCell ref="C18:D18"/>
    <mergeCell ref="A11:B11"/>
    <mergeCell ref="C11:D11"/>
    <mergeCell ref="A12:B12"/>
    <mergeCell ref="C12:D12"/>
    <mergeCell ref="A13:B13"/>
    <mergeCell ref="C13:D13"/>
    <mergeCell ref="A14:D14"/>
    <mergeCell ref="A15:D15"/>
    <mergeCell ref="A16:D16"/>
    <mergeCell ref="A17:B17"/>
    <mergeCell ref="C17:D17"/>
    <mergeCell ref="C27:D27"/>
    <mergeCell ref="A19:B19"/>
    <mergeCell ref="C19:D19"/>
    <mergeCell ref="A20:B20"/>
    <mergeCell ref="C20:D20"/>
    <mergeCell ref="A21:B21"/>
    <mergeCell ref="C21:D21"/>
    <mergeCell ref="A38:D38"/>
    <mergeCell ref="A39:D39"/>
    <mergeCell ref="A40:D40"/>
    <mergeCell ref="A1:E2"/>
    <mergeCell ref="F1:G2"/>
    <mergeCell ref="A32:B32"/>
    <mergeCell ref="C32:D32"/>
    <mergeCell ref="A25:B25"/>
    <mergeCell ref="A31:B31"/>
    <mergeCell ref="C31:D31"/>
    <mergeCell ref="A36:D36"/>
    <mergeCell ref="A35:D35"/>
    <mergeCell ref="A28:B28"/>
    <mergeCell ref="C28:D28"/>
    <mergeCell ref="A29:B29"/>
    <mergeCell ref="C29:D29"/>
    <mergeCell ref="A30:B30"/>
    <mergeCell ref="C30:D30"/>
    <mergeCell ref="H1:K2"/>
    <mergeCell ref="A23:B23"/>
    <mergeCell ref="C23:D23"/>
    <mergeCell ref="A24:B24"/>
    <mergeCell ref="C24:D24"/>
    <mergeCell ref="A22:B22"/>
    <mergeCell ref="C22:D22"/>
    <mergeCell ref="A3:E4"/>
    <mergeCell ref="F3:G4"/>
    <mergeCell ref="H3:K4"/>
    <mergeCell ref="C25:D25"/>
    <mergeCell ref="A26:B26"/>
    <mergeCell ref="C26:D26"/>
    <mergeCell ref="A27:B27"/>
  </mergeCells>
  <phoneticPr fontId="3"/>
  <pageMargins left="0.78740157480314965" right="0" top="0.39370078740157483" bottom="0.19685039370078741" header="0.23622047244094491" footer="0.31496062992125984"/>
  <pageSetup paperSize="9" scale="9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8"/>
  <dimension ref="A1:AB29"/>
  <sheetViews>
    <sheetView zoomScaleNormal="100" workbookViewId="0">
      <selection activeCell="V2" sqref="V2:X2"/>
    </sheetView>
  </sheetViews>
  <sheetFormatPr defaultRowHeight="11.25" x14ac:dyDescent="0.15"/>
  <cols>
    <col min="1" max="1" width="5.125" style="32" customWidth="1"/>
    <col min="2" max="2" width="0.875" style="32" customWidth="1"/>
    <col min="3" max="3" width="4.625" style="32" customWidth="1"/>
    <col min="4" max="4" width="0.875" style="32" customWidth="1"/>
    <col min="5" max="5" width="4.125" style="2" customWidth="1"/>
    <col min="6" max="24" width="3.625" style="2" customWidth="1"/>
    <col min="25" max="16384" width="9" style="2"/>
  </cols>
  <sheetData>
    <row r="1" spans="1:28" ht="20.100000000000001" customHeight="1" x14ac:dyDescent="0.15">
      <c r="A1" s="155" t="s">
        <v>0</v>
      </c>
      <c r="B1" s="155"/>
      <c r="C1" s="155"/>
      <c r="D1" s="155"/>
      <c r="E1" s="155"/>
      <c r="F1" s="159" t="s">
        <v>37</v>
      </c>
      <c r="G1" s="160"/>
      <c r="H1" s="153" t="s">
        <v>1</v>
      </c>
      <c r="I1" s="154"/>
      <c r="J1" s="154"/>
      <c r="K1" s="154"/>
      <c r="L1" s="154"/>
      <c r="M1" s="154"/>
      <c r="N1" s="169" t="s">
        <v>2</v>
      </c>
      <c r="O1" s="169"/>
      <c r="P1" s="170">
        <v>38133</v>
      </c>
      <c r="Q1" s="171"/>
      <c r="R1" s="171"/>
      <c r="S1" s="171"/>
      <c r="T1" s="152" t="s">
        <v>3</v>
      </c>
      <c r="U1" s="152"/>
      <c r="V1" s="168" t="s">
        <v>44</v>
      </c>
      <c r="W1" s="168"/>
      <c r="X1" s="168"/>
    </row>
    <row r="2" spans="1:28" ht="20.100000000000001" customHeight="1" x14ac:dyDescent="0.15">
      <c r="A2" s="156" t="s">
        <v>4</v>
      </c>
      <c r="B2" s="156"/>
      <c r="C2" s="156"/>
      <c r="D2" s="156"/>
      <c r="E2" s="156"/>
      <c r="F2" s="157" t="s">
        <v>47</v>
      </c>
      <c r="G2" s="158"/>
      <c r="H2" s="33" t="s">
        <v>1</v>
      </c>
      <c r="I2" s="33"/>
      <c r="J2" s="33"/>
      <c r="K2" s="33"/>
      <c r="L2" s="34" t="s">
        <v>48</v>
      </c>
      <c r="M2" s="35"/>
      <c r="N2" s="156" t="s">
        <v>5</v>
      </c>
      <c r="O2" s="156"/>
      <c r="P2" s="149" t="s">
        <v>54</v>
      </c>
      <c r="Q2" s="150"/>
      <c r="R2" s="151"/>
      <c r="S2" s="37" t="s">
        <v>49</v>
      </c>
      <c r="T2" s="152" t="s">
        <v>6</v>
      </c>
      <c r="U2" s="152"/>
      <c r="V2" s="168">
        <v>2004.1</v>
      </c>
      <c r="W2" s="168"/>
      <c r="X2" s="168"/>
      <c r="Z2" s="5"/>
      <c r="AA2" s="5"/>
      <c r="AB2" s="5"/>
    </row>
    <row r="3" spans="1:28" ht="18" customHeight="1" x14ac:dyDescent="0.15">
      <c r="A3" s="161"/>
      <c r="B3" s="162"/>
      <c r="C3" s="162"/>
      <c r="D3" s="162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Z3" s="9"/>
      <c r="AA3" s="9"/>
      <c r="AB3" s="9"/>
    </row>
    <row r="4" spans="1:28" ht="18" customHeight="1" x14ac:dyDescent="0.15">
      <c r="A4" s="147"/>
      <c r="B4" s="148"/>
      <c r="C4" s="148"/>
      <c r="D4" s="148"/>
      <c r="X4" s="10"/>
    </row>
    <row r="5" spans="1:28" ht="18" customHeight="1" x14ac:dyDescent="0.15">
      <c r="A5" s="147"/>
      <c r="B5" s="148"/>
      <c r="C5" s="148"/>
      <c r="D5" s="148"/>
      <c r="X5" s="10"/>
    </row>
    <row r="6" spans="1:28" ht="18" customHeight="1" x14ac:dyDescent="0.15">
      <c r="A6" s="147"/>
      <c r="B6" s="148"/>
      <c r="C6" s="148"/>
      <c r="D6" s="148"/>
      <c r="X6" s="10"/>
    </row>
    <row r="7" spans="1:28" ht="147.75" customHeight="1" x14ac:dyDescent="0.15">
      <c r="A7" s="147"/>
      <c r="B7" s="148"/>
      <c r="C7" s="148"/>
      <c r="D7" s="148"/>
      <c r="X7" s="10"/>
    </row>
    <row r="8" spans="1:28" ht="18" customHeight="1" x14ac:dyDescent="0.15">
      <c r="A8" s="147"/>
      <c r="B8" s="148"/>
      <c r="C8" s="148"/>
      <c r="D8" s="148"/>
      <c r="X8" s="10"/>
    </row>
    <row r="9" spans="1:28" ht="18" customHeight="1" x14ac:dyDescent="0.15">
      <c r="A9" s="166"/>
      <c r="B9" s="167"/>
      <c r="C9" s="148"/>
      <c r="D9" s="148"/>
      <c r="X9" s="10"/>
    </row>
    <row r="10" spans="1:28" ht="18" customHeight="1" x14ac:dyDescent="0.15">
      <c r="A10" s="166"/>
      <c r="B10" s="167"/>
      <c r="C10" s="148"/>
      <c r="D10" s="148"/>
      <c r="X10" s="10"/>
    </row>
    <row r="11" spans="1:28" ht="18" customHeight="1" x14ac:dyDescent="0.15">
      <c r="A11" s="158"/>
      <c r="B11" s="173"/>
      <c r="C11" s="180"/>
      <c r="D11" s="180"/>
      <c r="E11" s="11"/>
      <c r="F11" s="11"/>
      <c r="G11" s="11"/>
      <c r="H11" s="11"/>
      <c r="I11" s="11"/>
      <c r="J11" s="11"/>
      <c r="K11" s="11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3"/>
    </row>
    <row r="12" spans="1:28" s="14" customFormat="1" ht="18" customHeight="1" x14ac:dyDescent="0.15">
      <c r="A12" s="172" t="s">
        <v>7</v>
      </c>
      <c r="B12" s="172"/>
      <c r="C12" s="172"/>
      <c r="D12" s="172"/>
      <c r="E12" s="1">
        <v>1</v>
      </c>
      <c r="F12" s="1">
        <v>2</v>
      </c>
      <c r="G12" s="1">
        <v>3</v>
      </c>
      <c r="H12" s="1">
        <v>4</v>
      </c>
      <c r="I12" s="1">
        <v>5</v>
      </c>
      <c r="J12" s="1">
        <v>6</v>
      </c>
      <c r="K12" s="1">
        <v>7</v>
      </c>
      <c r="L12" s="1">
        <v>8</v>
      </c>
      <c r="M12" s="1">
        <v>9</v>
      </c>
      <c r="N12" s="1">
        <v>10</v>
      </c>
      <c r="O12" s="1">
        <v>11</v>
      </c>
      <c r="P12" s="1">
        <v>12</v>
      </c>
      <c r="Q12" s="1">
        <v>13</v>
      </c>
      <c r="R12" s="13">
        <v>14</v>
      </c>
      <c r="S12" s="1">
        <v>15</v>
      </c>
      <c r="T12" s="1">
        <v>16</v>
      </c>
      <c r="U12" s="1">
        <v>17</v>
      </c>
      <c r="V12" s="1">
        <v>18</v>
      </c>
      <c r="W12" s="1">
        <v>19</v>
      </c>
      <c r="X12" s="1">
        <v>20</v>
      </c>
    </row>
    <row r="13" spans="1:28" s="18" customFormat="1" ht="18" customHeight="1" x14ac:dyDescent="0.15">
      <c r="A13" s="172" t="s">
        <v>8</v>
      </c>
      <c r="B13" s="172"/>
      <c r="C13" s="172"/>
      <c r="D13" s="172"/>
      <c r="E13" s="15" t="s">
        <v>9</v>
      </c>
      <c r="F13" s="15" t="s">
        <v>10</v>
      </c>
      <c r="G13" s="15" t="s">
        <v>50</v>
      </c>
      <c r="H13" s="15" t="s">
        <v>11</v>
      </c>
      <c r="I13" s="15" t="s">
        <v>12</v>
      </c>
      <c r="J13" s="15" t="s">
        <v>11</v>
      </c>
      <c r="K13" s="15" t="s">
        <v>13</v>
      </c>
      <c r="L13" s="15" t="s">
        <v>14</v>
      </c>
      <c r="M13" s="15" t="s">
        <v>15</v>
      </c>
      <c r="N13" s="15" t="s">
        <v>51</v>
      </c>
      <c r="O13" s="15" t="s">
        <v>16</v>
      </c>
      <c r="P13" s="15" t="s">
        <v>17</v>
      </c>
      <c r="Q13" s="15" t="s">
        <v>16</v>
      </c>
      <c r="R13" s="16" t="s">
        <v>18</v>
      </c>
      <c r="S13" s="17"/>
      <c r="T13" s="17"/>
      <c r="U13" s="17"/>
      <c r="V13" s="17"/>
      <c r="W13" s="17"/>
      <c r="X13" s="17"/>
    </row>
    <row r="14" spans="1:28" s="18" customFormat="1" ht="125.1" customHeight="1" x14ac:dyDescent="0.15">
      <c r="A14" s="165"/>
      <c r="B14" s="163"/>
      <c r="C14" s="163"/>
      <c r="D14" s="164"/>
      <c r="E14" s="19"/>
      <c r="F14" s="20"/>
      <c r="G14" s="20"/>
      <c r="H14" s="21"/>
      <c r="I14" s="19"/>
      <c r="J14" s="20"/>
      <c r="K14" s="21"/>
      <c r="L14" s="19"/>
      <c r="M14" s="20"/>
      <c r="N14" s="20"/>
      <c r="O14" s="21"/>
      <c r="P14" s="19"/>
      <c r="Q14" s="20"/>
      <c r="R14" s="21"/>
      <c r="S14" s="20"/>
      <c r="T14" s="20"/>
      <c r="U14" s="20"/>
      <c r="V14" s="20"/>
      <c r="W14" s="20"/>
      <c r="X14" s="21"/>
      <c r="Y14" s="22"/>
    </row>
    <row r="15" spans="1:28" ht="18" customHeight="1" x14ac:dyDescent="0.15">
      <c r="A15" s="165" t="s">
        <v>19</v>
      </c>
      <c r="B15" s="163"/>
      <c r="C15" s="163" t="s">
        <v>20</v>
      </c>
      <c r="D15" s="164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4"/>
      <c r="T15" s="24"/>
      <c r="U15" s="24"/>
      <c r="V15" s="24"/>
      <c r="W15" s="24"/>
      <c r="X15" s="24"/>
    </row>
    <row r="16" spans="1:28" ht="18" customHeight="1" x14ac:dyDescent="0.15">
      <c r="A16" s="165" t="s">
        <v>21</v>
      </c>
      <c r="B16" s="163"/>
      <c r="C16" s="163" t="s">
        <v>22</v>
      </c>
      <c r="D16" s="164"/>
      <c r="E16" s="24"/>
      <c r="F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spans="1:24" ht="18" customHeight="1" x14ac:dyDescent="0.15">
      <c r="A17" s="165" t="s">
        <v>52</v>
      </c>
      <c r="B17" s="163"/>
      <c r="C17" s="163" t="s">
        <v>23</v>
      </c>
      <c r="D17" s="16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spans="1:24" ht="18" customHeight="1" x14ac:dyDescent="0.15">
      <c r="A18" s="165" t="s">
        <v>24</v>
      </c>
      <c r="B18" s="163"/>
      <c r="C18" s="163" t="s">
        <v>25</v>
      </c>
      <c r="D18" s="164"/>
      <c r="E18" s="24"/>
      <c r="F18" s="24"/>
      <c r="G18" s="24"/>
      <c r="H18" s="23"/>
      <c r="I18" s="23"/>
      <c r="J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spans="1:24" ht="18" customHeight="1" x14ac:dyDescent="0.15">
      <c r="A19" s="161" t="s">
        <v>26</v>
      </c>
      <c r="B19" s="162"/>
      <c r="C19" s="162" t="s">
        <v>27</v>
      </c>
      <c r="D19" s="184"/>
      <c r="E19" s="25"/>
      <c r="F19" s="25"/>
      <c r="G19" s="25"/>
      <c r="H19" s="25"/>
      <c r="I19" s="25"/>
      <c r="J19" s="25"/>
      <c r="K19" s="25"/>
      <c r="L19" s="25"/>
      <c r="M19" s="25"/>
      <c r="O19" s="25"/>
      <c r="P19" s="25"/>
      <c r="Q19" s="25"/>
      <c r="R19" s="25"/>
      <c r="S19" s="24"/>
      <c r="T19" s="24"/>
      <c r="U19" s="24"/>
      <c r="V19" s="24"/>
      <c r="W19" s="24"/>
      <c r="X19" s="24"/>
    </row>
    <row r="20" spans="1:24" ht="18" customHeight="1" x14ac:dyDescent="0.15">
      <c r="A20" s="165" t="s">
        <v>53</v>
      </c>
      <c r="B20" s="163"/>
      <c r="C20" s="163" t="s">
        <v>28</v>
      </c>
      <c r="D20" s="164"/>
      <c r="E20" s="26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spans="1:24" ht="18" customHeight="1" x14ac:dyDescent="0.15">
      <c r="A21" s="181"/>
      <c r="B21" s="182"/>
      <c r="C21" s="182"/>
      <c r="D21" s="183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spans="1:24" ht="18" customHeight="1" x14ac:dyDescent="0.15">
      <c r="A22" s="174"/>
      <c r="B22" s="175"/>
      <c r="C22" s="175"/>
      <c r="D22" s="176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spans="1:24" ht="18" customHeight="1" x14ac:dyDescent="0.15">
      <c r="A23" s="174"/>
      <c r="B23" s="175"/>
      <c r="C23" s="175"/>
      <c r="D23" s="176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spans="1:24" ht="18" customHeight="1" x14ac:dyDescent="0.15">
      <c r="A24" s="174"/>
      <c r="B24" s="175"/>
      <c r="C24" s="175"/>
      <c r="D24" s="176"/>
      <c r="E24" s="24"/>
      <c r="F24" s="24"/>
      <c r="G24" s="24"/>
      <c r="H24" s="27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spans="1:24" ht="18" customHeight="1" x14ac:dyDescent="0.15">
      <c r="A25" s="174"/>
      <c r="B25" s="175"/>
      <c r="C25" s="175"/>
      <c r="D25" s="176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spans="1:24" ht="18" customHeight="1" x14ac:dyDescent="0.15">
      <c r="A26" s="28" t="s">
        <v>29</v>
      </c>
      <c r="B26" s="29" t="s">
        <v>30</v>
      </c>
      <c r="C26" s="30">
        <f>SUM(E26:X26)</f>
        <v>150</v>
      </c>
      <c r="D26" s="31" t="s">
        <v>31</v>
      </c>
      <c r="E26" s="1">
        <v>47</v>
      </c>
      <c r="F26" s="1">
        <v>8</v>
      </c>
      <c r="G26" s="1">
        <v>5</v>
      </c>
      <c r="H26" s="1">
        <v>3</v>
      </c>
      <c r="I26" s="1">
        <v>9</v>
      </c>
      <c r="J26" s="1">
        <v>2</v>
      </c>
      <c r="K26" s="1">
        <v>4</v>
      </c>
      <c r="L26" s="1">
        <v>40</v>
      </c>
      <c r="M26" s="1">
        <v>8</v>
      </c>
      <c r="N26" s="1">
        <v>2</v>
      </c>
      <c r="O26" s="1">
        <v>3</v>
      </c>
      <c r="P26" s="1">
        <v>13</v>
      </c>
      <c r="Q26" s="1">
        <v>2</v>
      </c>
      <c r="R26" s="1">
        <v>4</v>
      </c>
      <c r="S26" s="1"/>
      <c r="T26" s="1"/>
      <c r="U26" s="1"/>
      <c r="V26" s="1"/>
      <c r="W26" s="1"/>
      <c r="X26" s="1"/>
    </row>
    <row r="27" spans="1:24" ht="18" customHeight="1" x14ac:dyDescent="0.15">
      <c r="A27" s="177" t="s">
        <v>32</v>
      </c>
      <c r="B27" s="178"/>
      <c r="C27" s="178"/>
      <c r="D27" s="179"/>
      <c r="E27" s="4">
        <v>110</v>
      </c>
      <c r="F27" s="4">
        <v>110</v>
      </c>
      <c r="G27" s="4">
        <v>110</v>
      </c>
      <c r="H27" s="4">
        <v>10</v>
      </c>
      <c r="I27" s="4">
        <v>110</v>
      </c>
      <c r="J27" s="4">
        <v>10</v>
      </c>
      <c r="K27" s="4">
        <v>10</v>
      </c>
      <c r="L27" s="4">
        <v>110</v>
      </c>
      <c r="M27" s="4">
        <v>110</v>
      </c>
      <c r="N27" s="4">
        <v>110</v>
      </c>
      <c r="O27" s="4">
        <v>10</v>
      </c>
      <c r="P27" s="4">
        <v>110</v>
      </c>
      <c r="Q27" s="4">
        <v>10</v>
      </c>
      <c r="R27" s="4">
        <v>10</v>
      </c>
      <c r="S27" s="4"/>
      <c r="T27" s="4"/>
      <c r="U27" s="4"/>
      <c r="V27" s="4"/>
      <c r="W27" s="4"/>
      <c r="X27" s="4"/>
    </row>
    <row r="28" spans="1:24" ht="18" customHeight="1" x14ac:dyDescent="0.15">
      <c r="A28" s="177" t="s">
        <v>33</v>
      </c>
      <c r="B28" s="178"/>
      <c r="C28" s="178"/>
      <c r="D28" s="179"/>
      <c r="E28" s="4">
        <v>6</v>
      </c>
      <c r="F28" s="4">
        <v>0.95</v>
      </c>
      <c r="G28" s="4">
        <v>0.95</v>
      </c>
      <c r="H28" s="4">
        <v>0.95</v>
      </c>
      <c r="I28" s="4">
        <v>0.95</v>
      </c>
      <c r="J28" s="4">
        <v>0.95</v>
      </c>
      <c r="K28" s="4">
        <v>0.95</v>
      </c>
      <c r="L28" s="4">
        <v>6</v>
      </c>
      <c r="M28" s="4">
        <v>0.95</v>
      </c>
      <c r="N28" s="4">
        <v>0.95</v>
      </c>
      <c r="O28" s="4">
        <v>0.95</v>
      </c>
      <c r="P28" s="4">
        <v>0.95</v>
      </c>
      <c r="Q28" s="4">
        <v>0.95</v>
      </c>
      <c r="R28" s="4">
        <v>0.95</v>
      </c>
      <c r="S28" s="4"/>
      <c r="T28" s="4"/>
      <c r="U28" s="4"/>
      <c r="V28" s="4"/>
      <c r="W28" s="4"/>
      <c r="X28" s="4"/>
    </row>
    <row r="29" spans="1:24" ht="18" customHeight="1" x14ac:dyDescent="0.15">
      <c r="A29" s="177" t="s">
        <v>34</v>
      </c>
      <c r="B29" s="178"/>
      <c r="C29" s="178"/>
      <c r="D29" s="179"/>
      <c r="E29" s="4" t="s">
        <v>35</v>
      </c>
      <c r="F29" s="4" t="s">
        <v>36</v>
      </c>
      <c r="G29" s="4" t="s">
        <v>36</v>
      </c>
      <c r="H29" s="4" t="s">
        <v>36</v>
      </c>
      <c r="I29" s="4" t="s">
        <v>36</v>
      </c>
      <c r="J29" s="4" t="s">
        <v>36</v>
      </c>
      <c r="K29" s="4" t="s">
        <v>36</v>
      </c>
      <c r="L29" s="4" t="s">
        <v>36</v>
      </c>
      <c r="M29" s="4" t="s">
        <v>35</v>
      </c>
      <c r="N29" s="4" t="s">
        <v>35</v>
      </c>
      <c r="O29" s="4" t="s">
        <v>35</v>
      </c>
      <c r="P29" s="4" t="s">
        <v>35</v>
      </c>
      <c r="Q29" s="4" t="s">
        <v>35</v>
      </c>
      <c r="R29" s="4" t="s">
        <v>35</v>
      </c>
      <c r="S29" s="4"/>
      <c r="T29" s="4"/>
      <c r="U29" s="4"/>
      <c r="V29" s="4"/>
      <c r="W29" s="4"/>
      <c r="X29" s="4"/>
    </row>
  </sheetData>
  <mergeCells count="59">
    <mergeCell ref="A22:B22"/>
    <mergeCell ref="C22:D22"/>
    <mergeCell ref="A8:B8"/>
    <mergeCell ref="C8:D8"/>
    <mergeCell ref="A17:B17"/>
    <mergeCell ref="A19:B19"/>
    <mergeCell ref="A15:B15"/>
    <mergeCell ref="C15:D15"/>
    <mergeCell ref="A20:B20"/>
    <mergeCell ref="A14:D14"/>
    <mergeCell ref="A10:B10"/>
    <mergeCell ref="C11:D11"/>
    <mergeCell ref="C20:D20"/>
    <mergeCell ref="A21:B21"/>
    <mergeCell ref="C21:D21"/>
    <mergeCell ref="C19:D19"/>
    <mergeCell ref="A23:B23"/>
    <mergeCell ref="C23:D23"/>
    <mergeCell ref="A29:D29"/>
    <mergeCell ref="A25:B25"/>
    <mergeCell ref="C25:D25"/>
    <mergeCell ref="A28:D28"/>
    <mergeCell ref="A27:D27"/>
    <mergeCell ref="A24:B24"/>
    <mergeCell ref="C24:D24"/>
    <mergeCell ref="C18:D18"/>
    <mergeCell ref="A18:B18"/>
    <mergeCell ref="A9:B9"/>
    <mergeCell ref="V1:X1"/>
    <mergeCell ref="V2:X2"/>
    <mergeCell ref="N1:O1"/>
    <mergeCell ref="N2:O2"/>
    <mergeCell ref="P1:S1"/>
    <mergeCell ref="A16:B16"/>
    <mergeCell ref="C16:D16"/>
    <mergeCell ref="T2:U2"/>
    <mergeCell ref="C9:D9"/>
    <mergeCell ref="A12:D12"/>
    <mergeCell ref="A13:D13"/>
    <mergeCell ref="A11:B11"/>
    <mergeCell ref="C17:D17"/>
    <mergeCell ref="T1:U1"/>
    <mergeCell ref="A4:B4"/>
    <mergeCell ref="H1:M1"/>
    <mergeCell ref="A1:E1"/>
    <mergeCell ref="A2:E2"/>
    <mergeCell ref="F2:G2"/>
    <mergeCell ref="F1:G1"/>
    <mergeCell ref="A3:B3"/>
    <mergeCell ref="C3:D3"/>
    <mergeCell ref="C4:D4"/>
    <mergeCell ref="A6:B6"/>
    <mergeCell ref="P2:R2"/>
    <mergeCell ref="C10:D10"/>
    <mergeCell ref="A5:B5"/>
    <mergeCell ref="C5:D5"/>
    <mergeCell ref="A7:B7"/>
    <mergeCell ref="C6:D6"/>
    <mergeCell ref="C7:D7"/>
  </mergeCells>
  <phoneticPr fontId="3"/>
  <pageMargins left="0.98425196850393704" right="0.11811023622047245" top="1.0236220472440944" bottom="0.98425196850393704" header="0.23622047244094491" footer="0.31496062992125984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7"/>
  <dimension ref="A1:AB29"/>
  <sheetViews>
    <sheetView zoomScaleNormal="100" workbookViewId="0">
      <selection activeCell="Y1" sqref="Y1"/>
    </sheetView>
  </sheetViews>
  <sheetFormatPr defaultRowHeight="11.25" x14ac:dyDescent="0.15"/>
  <cols>
    <col min="1" max="1" width="5.125" style="32" customWidth="1"/>
    <col min="2" max="2" width="0.875" style="32" customWidth="1"/>
    <col min="3" max="3" width="4.625" style="32" customWidth="1"/>
    <col min="4" max="4" width="0.875" style="32" customWidth="1"/>
    <col min="5" max="5" width="4.125" style="2" customWidth="1"/>
    <col min="6" max="24" width="3.625" style="2" customWidth="1"/>
    <col min="25" max="16384" width="9" style="2"/>
  </cols>
  <sheetData>
    <row r="1" spans="1:28" ht="20.100000000000001" customHeight="1" x14ac:dyDescent="0.15">
      <c r="A1" s="155" t="s">
        <v>0</v>
      </c>
      <c r="B1" s="155"/>
      <c r="C1" s="155"/>
      <c r="D1" s="155"/>
      <c r="E1" s="155"/>
      <c r="F1" s="159" t="s">
        <v>37</v>
      </c>
      <c r="G1" s="160"/>
      <c r="H1" s="153" t="s">
        <v>1</v>
      </c>
      <c r="I1" s="154"/>
      <c r="J1" s="154"/>
      <c r="K1" s="154"/>
      <c r="L1" s="154"/>
      <c r="M1" s="154"/>
      <c r="N1" s="169" t="s">
        <v>2</v>
      </c>
      <c r="O1" s="169"/>
      <c r="P1" s="186">
        <v>38058</v>
      </c>
      <c r="Q1" s="187"/>
      <c r="R1" s="187"/>
      <c r="S1" s="187"/>
      <c r="T1" s="152" t="s">
        <v>3</v>
      </c>
      <c r="U1" s="152"/>
      <c r="V1" s="185" t="s">
        <v>44</v>
      </c>
      <c r="W1" s="185"/>
      <c r="X1" s="185"/>
    </row>
    <row r="2" spans="1:28" ht="20.100000000000001" customHeight="1" x14ac:dyDescent="0.15">
      <c r="A2" s="156" t="s">
        <v>4</v>
      </c>
      <c r="B2" s="156"/>
      <c r="C2" s="156"/>
      <c r="D2" s="156"/>
      <c r="E2" s="156"/>
      <c r="F2" s="157" t="s">
        <v>38</v>
      </c>
      <c r="G2" s="158"/>
      <c r="H2" s="33" t="s">
        <v>1</v>
      </c>
      <c r="I2" s="33"/>
      <c r="J2" s="33"/>
      <c r="K2" s="33"/>
      <c r="L2" s="34" t="s">
        <v>41</v>
      </c>
      <c r="M2" s="35"/>
      <c r="N2" s="156" t="s">
        <v>5</v>
      </c>
      <c r="O2" s="156"/>
      <c r="P2" s="188" t="s">
        <v>45</v>
      </c>
      <c r="Q2" s="189"/>
      <c r="R2" s="190"/>
      <c r="S2" s="36" t="s">
        <v>46</v>
      </c>
      <c r="T2" s="152" t="s">
        <v>6</v>
      </c>
      <c r="U2" s="152"/>
      <c r="V2" s="185">
        <v>2004.1</v>
      </c>
      <c r="W2" s="185"/>
      <c r="X2" s="185"/>
      <c r="Z2" s="5"/>
      <c r="AA2" s="5"/>
      <c r="AB2" s="5"/>
    </row>
    <row r="3" spans="1:28" ht="18" customHeight="1" x14ac:dyDescent="0.15">
      <c r="A3" s="161"/>
      <c r="B3" s="162"/>
      <c r="C3" s="162"/>
      <c r="D3" s="162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Z3" s="9"/>
      <c r="AA3" s="9"/>
      <c r="AB3" s="9"/>
    </row>
    <row r="4" spans="1:28" ht="18" customHeight="1" x14ac:dyDescent="0.15">
      <c r="A4" s="147"/>
      <c r="B4" s="148"/>
      <c r="C4" s="148"/>
      <c r="D4" s="148"/>
      <c r="X4" s="10"/>
    </row>
    <row r="5" spans="1:28" ht="18" customHeight="1" x14ac:dyDescent="0.15">
      <c r="A5" s="147"/>
      <c r="B5" s="148"/>
      <c r="C5" s="148"/>
      <c r="D5" s="148"/>
      <c r="X5" s="10"/>
    </row>
    <row r="6" spans="1:28" ht="18" customHeight="1" x14ac:dyDescent="0.15">
      <c r="A6" s="147"/>
      <c r="B6" s="148"/>
      <c r="C6" s="148"/>
      <c r="D6" s="148"/>
      <c r="X6" s="10"/>
    </row>
    <row r="7" spans="1:28" ht="147.75" customHeight="1" x14ac:dyDescent="0.15">
      <c r="A7" s="147"/>
      <c r="B7" s="148"/>
      <c r="C7" s="148"/>
      <c r="D7" s="148"/>
      <c r="X7" s="10"/>
    </row>
    <row r="8" spans="1:28" ht="18" customHeight="1" x14ac:dyDescent="0.15">
      <c r="A8" s="147"/>
      <c r="B8" s="148"/>
      <c r="C8" s="148"/>
      <c r="D8" s="148"/>
      <c r="X8" s="10"/>
    </row>
    <row r="9" spans="1:28" ht="18" customHeight="1" x14ac:dyDescent="0.15">
      <c r="A9" s="166"/>
      <c r="B9" s="167"/>
      <c r="C9" s="148"/>
      <c r="D9" s="148"/>
      <c r="X9" s="10"/>
    </row>
    <row r="10" spans="1:28" ht="18" customHeight="1" x14ac:dyDescent="0.15">
      <c r="A10" s="166"/>
      <c r="B10" s="167"/>
      <c r="C10" s="148"/>
      <c r="D10" s="148"/>
      <c r="X10" s="10"/>
    </row>
    <row r="11" spans="1:28" ht="18" customHeight="1" x14ac:dyDescent="0.15">
      <c r="A11" s="158"/>
      <c r="B11" s="173"/>
      <c r="C11" s="180"/>
      <c r="D11" s="180"/>
      <c r="E11" s="11"/>
      <c r="F11" s="11"/>
      <c r="G11" s="11"/>
      <c r="H11" s="11"/>
      <c r="I11" s="11"/>
      <c r="J11" s="11"/>
      <c r="K11" s="11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3"/>
    </row>
    <row r="12" spans="1:28" s="14" customFormat="1" ht="18" customHeight="1" x14ac:dyDescent="0.15">
      <c r="A12" s="172" t="s">
        <v>7</v>
      </c>
      <c r="B12" s="172"/>
      <c r="C12" s="172"/>
      <c r="D12" s="172"/>
      <c r="E12" s="1">
        <v>1</v>
      </c>
      <c r="F12" s="1">
        <v>2</v>
      </c>
      <c r="G12" s="1">
        <v>3</v>
      </c>
      <c r="H12" s="1">
        <v>4</v>
      </c>
      <c r="I12" s="1">
        <v>5</v>
      </c>
      <c r="J12" s="1">
        <v>6</v>
      </c>
      <c r="K12" s="1">
        <v>7</v>
      </c>
      <c r="L12" s="1">
        <v>8</v>
      </c>
      <c r="M12" s="1">
        <v>9</v>
      </c>
      <c r="N12" s="1">
        <v>10</v>
      </c>
      <c r="O12" s="1">
        <v>11</v>
      </c>
      <c r="P12" s="1">
        <v>12</v>
      </c>
      <c r="Q12" s="1">
        <v>13</v>
      </c>
      <c r="R12" s="13">
        <v>14</v>
      </c>
      <c r="S12" s="1">
        <v>15</v>
      </c>
      <c r="T12" s="1">
        <v>16</v>
      </c>
      <c r="U12" s="1">
        <v>17</v>
      </c>
      <c r="V12" s="1">
        <v>18</v>
      </c>
      <c r="W12" s="1">
        <v>19</v>
      </c>
      <c r="X12" s="1">
        <v>20</v>
      </c>
    </row>
    <row r="13" spans="1:28" s="18" customFormat="1" ht="18" customHeight="1" x14ac:dyDescent="0.15">
      <c r="A13" s="172" t="s">
        <v>8</v>
      </c>
      <c r="B13" s="172"/>
      <c r="C13" s="172"/>
      <c r="D13" s="172"/>
      <c r="E13" s="15" t="s">
        <v>9</v>
      </c>
      <c r="F13" s="15" t="s">
        <v>10</v>
      </c>
      <c r="G13" s="15" t="s">
        <v>42</v>
      </c>
      <c r="H13" s="15" t="s">
        <v>11</v>
      </c>
      <c r="I13" s="15" t="s">
        <v>12</v>
      </c>
      <c r="J13" s="15" t="s">
        <v>11</v>
      </c>
      <c r="K13" s="15" t="s">
        <v>13</v>
      </c>
      <c r="L13" s="15" t="s">
        <v>14</v>
      </c>
      <c r="M13" s="15" t="s">
        <v>15</v>
      </c>
      <c r="N13" s="15" t="s">
        <v>43</v>
      </c>
      <c r="O13" s="15" t="s">
        <v>16</v>
      </c>
      <c r="P13" s="15" t="s">
        <v>17</v>
      </c>
      <c r="Q13" s="15" t="s">
        <v>16</v>
      </c>
      <c r="R13" s="16" t="s">
        <v>18</v>
      </c>
      <c r="S13" s="17"/>
      <c r="T13" s="17"/>
      <c r="U13" s="17"/>
      <c r="V13" s="17"/>
      <c r="W13" s="17"/>
      <c r="X13" s="17"/>
    </row>
    <row r="14" spans="1:28" s="18" customFormat="1" ht="125.1" customHeight="1" x14ac:dyDescent="0.15">
      <c r="A14" s="165"/>
      <c r="B14" s="163"/>
      <c r="C14" s="163"/>
      <c r="D14" s="164"/>
      <c r="E14" s="19"/>
      <c r="F14" s="20"/>
      <c r="G14" s="20"/>
      <c r="H14" s="21"/>
      <c r="I14" s="19"/>
      <c r="J14" s="20"/>
      <c r="K14" s="21"/>
      <c r="L14" s="19"/>
      <c r="M14" s="20"/>
      <c r="N14" s="20"/>
      <c r="O14" s="21"/>
      <c r="P14" s="19"/>
      <c r="Q14" s="20"/>
      <c r="R14" s="21"/>
      <c r="S14" s="20"/>
      <c r="T14" s="20"/>
      <c r="U14" s="20"/>
      <c r="V14" s="20"/>
      <c r="W14" s="20"/>
      <c r="X14" s="21"/>
      <c r="Y14" s="22"/>
    </row>
    <row r="15" spans="1:28" ht="18" customHeight="1" x14ac:dyDescent="0.15">
      <c r="A15" s="165" t="s">
        <v>19</v>
      </c>
      <c r="B15" s="163"/>
      <c r="C15" s="163" t="s">
        <v>20</v>
      </c>
      <c r="D15" s="164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4"/>
      <c r="T15" s="24"/>
      <c r="U15" s="24"/>
      <c r="V15" s="24"/>
      <c r="W15" s="24"/>
      <c r="X15" s="24"/>
    </row>
    <row r="16" spans="1:28" ht="18" customHeight="1" x14ac:dyDescent="0.15">
      <c r="A16" s="165" t="s">
        <v>21</v>
      </c>
      <c r="B16" s="163"/>
      <c r="C16" s="163" t="s">
        <v>22</v>
      </c>
      <c r="D16" s="164"/>
      <c r="E16" s="24"/>
      <c r="F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spans="1:24" ht="18" customHeight="1" x14ac:dyDescent="0.15">
      <c r="A17" s="165" t="s">
        <v>39</v>
      </c>
      <c r="B17" s="163"/>
      <c r="C17" s="163" t="s">
        <v>23</v>
      </c>
      <c r="D17" s="16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spans="1:24" ht="18" customHeight="1" x14ac:dyDescent="0.15">
      <c r="A18" s="165" t="s">
        <v>24</v>
      </c>
      <c r="B18" s="163"/>
      <c r="C18" s="163" t="s">
        <v>25</v>
      </c>
      <c r="D18" s="164"/>
      <c r="E18" s="24"/>
      <c r="F18" s="24"/>
      <c r="G18" s="24"/>
      <c r="H18" s="23"/>
      <c r="I18" s="23"/>
      <c r="J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spans="1:24" ht="18" customHeight="1" x14ac:dyDescent="0.15">
      <c r="A19" s="161" t="s">
        <v>26</v>
      </c>
      <c r="B19" s="162"/>
      <c r="C19" s="162" t="s">
        <v>27</v>
      </c>
      <c r="D19" s="184"/>
      <c r="E19" s="25"/>
      <c r="F19" s="25"/>
      <c r="G19" s="25"/>
      <c r="H19" s="25"/>
      <c r="I19" s="25"/>
      <c r="J19" s="25"/>
      <c r="K19" s="25"/>
      <c r="L19" s="25"/>
      <c r="M19" s="25"/>
      <c r="O19" s="25"/>
      <c r="P19" s="25"/>
      <c r="Q19" s="25"/>
      <c r="R19" s="25"/>
      <c r="S19" s="24"/>
      <c r="T19" s="24"/>
      <c r="U19" s="24"/>
      <c r="V19" s="24"/>
      <c r="W19" s="24"/>
      <c r="X19" s="24"/>
    </row>
    <row r="20" spans="1:24" ht="18" customHeight="1" x14ac:dyDescent="0.15">
      <c r="A20" s="165" t="s">
        <v>40</v>
      </c>
      <c r="B20" s="163"/>
      <c r="C20" s="163" t="s">
        <v>28</v>
      </c>
      <c r="D20" s="164"/>
      <c r="E20" s="26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spans="1:24" ht="18" customHeight="1" x14ac:dyDescent="0.15">
      <c r="A21" s="181"/>
      <c r="B21" s="182"/>
      <c r="C21" s="182"/>
      <c r="D21" s="183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spans="1:24" ht="18" customHeight="1" x14ac:dyDescent="0.15">
      <c r="A22" s="174"/>
      <c r="B22" s="175"/>
      <c r="C22" s="175"/>
      <c r="D22" s="176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spans="1:24" ht="18" customHeight="1" x14ac:dyDescent="0.15">
      <c r="A23" s="174"/>
      <c r="B23" s="175"/>
      <c r="C23" s="175"/>
      <c r="D23" s="176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spans="1:24" ht="18" customHeight="1" x14ac:dyDescent="0.15">
      <c r="A24" s="174"/>
      <c r="B24" s="175"/>
      <c r="C24" s="175"/>
      <c r="D24" s="176"/>
      <c r="E24" s="24"/>
      <c r="F24" s="24"/>
      <c r="G24" s="24"/>
      <c r="H24" s="27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spans="1:24" ht="18" customHeight="1" x14ac:dyDescent="0.15">
      <c r="A25" s="174"/>
      <c r="B25" s="175"/>
      <c r="C25" s="175"/>
      <c r="D25" s="176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spans="1:24" ht="18" customHeight="1" x14ac:dyDescent="0.15">
      <c r="A26" s="28" t="s">
        <v>29</v>
      </c>
      <c r="B26" s="29" t="s">
        <v>30</v>
      </c>
      <c r="C26" s="30">
        <f>SUM(E26:X26)</f>
        <v>150</v>
      </c>
      <c r="D26" s="31" t="s">
        <v>31</v>
      </c>
      <c r="E26" s="1">
        <v>47</v>
      </c>
      <c r="F26" s="1">
        <v>8</v>
      </c>
      <c r="G26" s="1">
        <v>5</v>
      </c>
      <c r="H26" s="1">
        <v>3</v>
      </c>
      <c r="I26" s="1">
        <v>9</v>
      </c>
      <c r="J26" s="1">
        <v>2</v>
      </c>
      <c r="K26" s="1">
        <v>4</v>
      </c>
      <c r="L26" s="1">
        <v>40</v>
      </c>
      <c r="M26" s="1">
        <v>8</v>
      </c>
      <c r="N26" s="1">
        <v>2</v>
      </c>
      <c r="O26" s="1">
        <v>3</v>
      </c>
      <c r="P26" s="1">
        <v>13</v>
      </c>
      <c r="Q26" s="1">
        <v>2</v>
      </c>
      <c r="R26" s="1">
        <v>4</v>
      </c>
      <c r="S26" s="1"/>
      <c r="T26" s="1"/>
      <c r="U26" s="1"/>
      <c r="V26" s="1"/>
      <c r="W26" s="1"/>
      <c r="X26" s="1"/>
    </row>
    <row r="27" spans="1:24" ht="18" customHeight="1" x14ac:dyDescent="0.15">
      <c r="A27" s="177" t="s">
        <v>32</v>
      </c>
      <c r="B27" s="178"/>
      <c r="C27" s="178"/>
      <c r="D27" s="179"/>
      <c r="E27" s="4">
        <v>110</v>
      </c>
      <c r="F27" s="4">
        <v>110</v>
      </c>
      <c r="G27" s="4">
        <v>110</v>
      </c>
      <c r="H27" s="4">
        <v>10</v>
      </c>
      <c r="I27" s="4">
        <v>110</v>
      </c>
      <c r="J27" s="4">
        <v>10</v>
      </c>
      <c r="K27" s="4">
        <v>10</v>
      </c>
      <c r="L27" s="4">
        <v>110</v>
      </c>
      <c r="M27" s="4">
        <v>110</v>
      </c>
      <c r="N27" s="4">
        <v>110</v>
      </c>
      <c r="O27" s="4">
        <v>10</v>
      </c>
      <c r="P27" s="4">
        <v>110</v>
      </c>
      <c r="Q27" s="4">
        <v>10</v>
      </c>
      <c r="R27" s="4">
        <v>10</v>
      </c>
      <c r="S27" s="4"/>
      <c r="T27" s="4"/>
      <c r="U27" s="4"/>
      <c r="V27" s="4"/>
      <c r="W27" s="4"/>
      <c r="X27" s="4"/>
    </row>
    <row r="28" spans="1:24" ht="18" customHeight="1" x14ac:dyDescent="0.15">
      <c r="A28" s="177" t="s">
        <v>33</v>
      </c>
      <c r="B28" s="178"/>
      <c r="C28" s="178"/>
      <c r="D28" s="179"/>
      <c r="E28" s="4">
        <v>6</v>
      </c>
      <c r="F28" s="4">
        <v>0.95</v>
      </c>
      <c r="G28" s="4">
        <v>0.95</v>
      </c>
      <c r="H28" s="4">
        <v>0.95</v>
      </c>
      <c r="I28" s="4">
        <v>0.95</v>
      </c>
      <c r="J28" s="4">
        <v>0.95</v>
      </c>
      <c r="K28" s="4">
        <v>0.95</v>
      </c>
      <c r="L28" s="4">
        <v>6</v>
      </c>
      <c r="M28" s="4">
        <v>0.95</v>
      </c>
      <c r="N28" s="4">
        <v>0.95</v>
      </c>
      <c r="O28" s="4">
        <v>0.95</v>
      </c>
      <c r="P28" s="4">
        <v>0.95</v>
      </c>
      <c r="Q28" s="4">
        <v>0.95</v>
      </c>
      <c r="R28" s="4">
        <v>0.95</v>
      </c>
      <c r="S28" s="4"/>
      <c r="T28" s="4"/>
      <c r="U28" s="4"/>
      <c r="V28" s="4"/>
      <c r="W28" s="4"/>
      <c r="X28" s="4"/>
    </row>
    <row r="29" spans="1:24" ht="18" customHeight="1" x14ac:dyDescent="0.15">
      <c r="A29" s="177" t="s">
        <v>34</v>
      </c>
      <c r="B29" s="178"/>
      <c r="C29" s="178"/>
      <c r="D29" s="179"/>
      <c r="E29" s="4" t="s">
        <v>35</v>
      </c>
      <c r="F29" s="4" t="s">
        <v>36</v>
      </c>
      <c r="G29" s="4" t="s">
        <v>36</v>
      </c>
      <c r="H29" s="4" t="s">
        <v>36</v>
      </c>
      <c r="I29" s="4" t="s">
        <v>36</v>
      </c>
      <c r="J29" s="4" t="s">
        <v>36</v>
      </c>
      <c r="K29" s="4" t="s">
        <v>36</v>
      </c>
      <c r="L29" s="4" t="s">
        <v>36</v>
      </c>
      <c r="M29" s="4" t="s">
        <v>35</v>
      </c>
      <c r="N29" s="4" t="s">
        <v>35</v>
      </c>
      <c r="O29" s="4" t="s">
        <v>35</v>
      </c>
      <c r="P29" s="4" t="s">
        <v>35</v>
      </c>
      <c r="Q29" s="4" t="s">
        <v>35</v>
      </c>
      <c r="R29" s="4" t="s">
        <v>35</v>
      </c>
      <c r="S29" s="4"/>
      <c r="T29" s="4"/>
      <c r="U29" s="4"/>
      <c r="V29" s="4"/>
      <c r="W29" s="4"/>
      <c r="X29" s="4"/>
    </row>
  </sheetData>
  <mergeCells count="59">
    <mergeCell ref="H1:M1"/>
    <mergeCell ref="A3:B3"/>
    <mergeCell ref="C3:D3"/>
    <mergeCell ref="A1:E1"/>
    <mergeCell ref="A2:E2"/>
    <mergeCell ref="F2:G2"/>
    <mergeCell ref="F1:G1"/>
    <mergeCell ref="V1:X1"/>
    <mergeCell ref="V2:X2"/>
    <mergeCell ref="N1:O1"/>
    <mergeCell ref="N2:O2"/>
    <mergeCell ref="P1:S1"/>
    <mergeCell ref="P2:R2"/>
    <mergeCell ref="T1:U1"/>
    <mergeCell ref="T2:U2"/>
    <mergeCell ref="A15:B15"/>
    <mergeCell ref="C15:D15"/>
    <mergeCell ref="A4:B4"/>
    <mergeCell ref="A18:B18"/>
    <mergeCell ref="C8:D8"/>
    <mergeCell ref="A11:B11"/>
    <mergeCell ref="A9:B9"/>
    <mergeCell ref="A14:D14"/>
    <mergeCell ref="C9:D9"/>
    <mergeCell ref="A12:D12"/>
    <mergeCell ref="A13:D13"/>
    <mergeCell ref="C10:D10"/>
    <mergeCell ref="C4:D4"/>
    <mergeCell ref="A10:B10"/>
    <mergeCell ref="C11:D11"/>
    <mergeCell ref="A6:B6"/>
    <mergeCell ref="C6:D6"/>
    <mergeCell ref="A5:B5"/>
    <mergeCell ref="C5:D5"/>
    <mergeCell ref="A7:B7"/>
    <mergeCell ref="C7:D7"/>
    <mergeCell ref="A8:B8"/>
    <mergeCell ref="A29:D29"/>
    <mergeCell ref="A25:B25"/>
    <mergeCell ref="C25:D25"/>
    <mergeCell ref="A28:D28"/>
    <mergeCell ref="A27:D27"/>
    <mergeCell ref="A16:B16"/>
    <mergeCell ref="C16:D16"/>
    <mergeCell ref="A21:B21"/>
    <mergeCell ref="C21:D21"/>
    <mergeCell ref="A17:B17"/>
    <mergeCell ref="C17:D17"/>
    <mergeCell ref="C18:D18"/>
    <mergeCell ref="A20:B20"/>
    <mergeCell ref="C20:D20"/>
    <mergeCell ref="A24:B24"/>
    <mergeCell ref="C24:D24"/>
    <mergeCell ref="C19:D19"/>
    <mergeCell ref="A22:B22"/>
    <mergeCell ref="C22:D22"/>
    <mergeCell ref="A19:B19"/>
    <mergeCell ref="A23:B23"/>
    <mergeCell ref="C23:D23"/>
  </mergeCells>
  <phoneticPr fontId="3"/>
  <pageMargins left="0.98425196850393704" right="0.11811023622047245" top="1.0236220472440944" bottom="0.98425196850393704" header="0.23622047244094491" footer="0.31496062992125984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2026-02-12</vt:lpstr>
      <vt:lpstr>2004-05-26（書式改訂）</vt:lpstr>
      <vt:lpstr>2004.05.26 070025</vt:lpstr>
      <vt:lpstr>070025</vt:lpstr>
      <vt:lpstr>'2004-05-26（書式改訂）'!Print_Area</vt:lpstr>
      <vt:lpstr>'2026-02-12'!Print_Area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hamada</dc:creator>
  <cp:lastModifiedBy>空久保　直哉</cp:lastModifiedBy>
  <cp:lastPrinted>2026-03-02T08:05:45Z</cp:lastPrinted>
  <dcterms:created xsi:type="dcterms:W3CDTF">2003-04-03T01:20:57Z</dcterms:created>
  <dcterms:modified xsi:type="dcterms:W3CDTF">2026-03-02T08:05:46Z</dcterms:modified>
</cp:coreProperties>
</file>