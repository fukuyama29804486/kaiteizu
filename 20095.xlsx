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C1C4B0FD-0AD3-4AD7-96F6-05FAB7310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2" sheetId="2" r:id="rId1"/>
    <sheet name="250095" sheetId="1" r:id="rId2"/>
  </sheets>
  <definedNames>
    <definedName name="_xlnm.Print_Area" localSheetId="0">'2026-02-12'!$A$1:$X$38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<sst xmlns="http://schemas.openxmlformats.org/spreadsheetml/2006/main" count="104" uniqueCount="62">
  <si>
    <t>規制番号　名称</t>
    <rPh sb="0" eb="2">
      <t>キセイ</t>
    </rPh>
    <rPh sb="2" eb="4">
      <t>バンゴウ</t>
    </rPh>
    <rPh sb="5" eb="7">
      <t>メイショウ</t>
    </rPh>
    <phoneticPr fontId="1"/>
  </si>
  <si>
    <t>運　用</t>
    <rPh sb="0" eb="1">
      <t>ウン</t>
    </rPh>
    <rPh sb="2" eb="3">
      <t>ヨウ</t>
    </rPh>
    <phoneticPr fontId="1"/>
  </si>
  <si>
    <t>H.13年10月30日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</si>
  <si>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</si>
  <si>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</si>
  <si>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</si>
  <si>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</si>
  <si>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</si>
  <si>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</si>
  <si>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</si>
  <si>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</si>
  <si>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</si>
  <si>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</si>
  <si>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</si>
  <si>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</si>
  <si>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</si>
  <si>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</si>
  <si>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</si>
  <si>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</si>
  <si>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2-0095 </t>
    <phoneticPr fontId="1"/>
  </si>
  <si>
    <t>相生橋西詰</t>
    <phoneticPr fontId="1"/>
  </si>
  <si>
    <t>1B0932</t>
    <phoneticPr fontId="1"/>
  </si>
  <si>
    <t xml:space="preserve">250095 </t>
    <phoneticPr fontId="1"/>
  </si>
  <si>
    <t>相生橋西詰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</si>
  <si>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</si>
  <si>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</si>
  <si>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</si>
  <si>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</si>
  <si>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</si>
  <si>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</si>
  <si>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</si>
  <si>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</si>
  <si>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</si>
  <si>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</si>
  <si>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</si>
  <si>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</si>
  <si>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</si>
  <si>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</si>
  <si>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</si>
  <si>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</si>
  <si>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</si>
  <si>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</si>
  <si>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</si>
  <si>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</si>
  <si>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</si>
  <si>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</si>
  <si>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</si>
  <si>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（ＵＣ形）</t>
    <rPh sb="3" eb="4">
      <t>カタチ</t>
    </rPh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</si>
  <si>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</si>
  <si>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</si>
  <si>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</si>
  <si>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</si>
  <si>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相生橋西詰</t>
    <rPh sb="0" eb="2">
      <t>アイオイ</t>
    </rPh>
    <rPh sb="2" eb="3">
      <t>バシ</t>
    </rPh>
    <rPh sb="3" eb="4">
      <t>ニシ</t>
    </rPh>
    <rPh sb="4" eb="5">
      <t>ヅメ</t>
    </rPh>
    <phoneticPr fontId="1"/>
  </si>
  <si>
    <t>02-0095</t>
    <phoneticPr fontId="1"/>
  </si>
  <si>
    <t>20095</t>
    <phoneticPr fontId="1"/>
  </si>
  <si>
    <t>(UD-TTR)</t>
    <phoneticPr fontId="1"/>
  </si>
  <si>
    <t>ＰＵ</t>
    <phoneticPr fontId="1"/>
  </si>
  <si>
    <t>ＰＬ</t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</si>
  <si>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</si>
  <si>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</si>
  <si>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</si>
  <si>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K0000007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</si>
</sst>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10" fillId="0" borderId="9" xfId="0" applyNumberFormat="1" applyFont="1" applyBorder="1" applyAlignment="1">
      <alignment horizontal="right" vertical="center"/>
    </xf>
    <xf numFmtId="176" fontId="10" fillId="0" borderId="7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181" fontId="8" fillId="0" borderId="0" xfId="0" applyNumberFormat="1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3" xfId="0" applyNumberFormat="1" applyFont="1" applyBorder="1" applyAlignment="1">
      <alignment horizontal="center" vertical="center"/>
    </xf>
    <xf numFmtId="180" fontId="8" fillId="0" borderId="24" xfId="0" applyNumberFormat="1" applyFont="1" applyBorder="1" applyAlignment="1">
      <alignment horizontal="center" vertical="center"/>
    </xf>
    <xf numFmtId="180" fontId="8" fillId="0" borderId="11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5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9" fontId="8" fillId="0" borderId="15" xfId="0" quotePrefix="1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vertical="center"/>
    </xf>
    <xf numFmtId="49" fontId="8" fillId="0" borderId="15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right" vertical="center"/>
    </xf>
    <xf numFmtId="32" fontId="2" fillId="0" borderId="12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4</xdr:row>
      <xdr:rowOff>204209</xdr:rowOff>
    </xdr:from>
    <xdr:to>
      <xdr:col>23</xdr:col>
      <xdr:colOff>110102</xdr:colOff>
      <xdr:row>14</xdr:row>
      <xdr:rowOff>28576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9CD91E67-040B-4CA7-B2E1-EB34F24A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4" y="775709"/>
          <a:ext cx="6815703" cy="3758192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90D40F9-9999-4488-8F77-C34720614327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17</xdr:row>
      <xdr:rowOff>476250</xdr:rowOff>
    </xdr:from>
    <xdr:to>
      <xdr:col>8</xdr:col>
      <xdr:colOff>28575</xdr:colOff>
      <xdr:row>17</xdr:row>
      <xdr:rowOff>781050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96C99EB-7CD7-4722-B17F-80CD2A9775BA}"/>
            </a:ext>
          </a:extLst>
        </xdr:cNvPr>
        <xdr:cNvGrpSpPr>
          <a:grpSpLocks/>
        </xdr:cNvGrpSpPr>
      </xdr:nvGrpSpPr>
      <xdr:grpSpPr bwMode="auto">
        <a:xfrm>
          <a:off x="1600200" y="5667375"/>
          <a:ext cx="1000125" cy="304800"/>
          <a:chOff x="110" y="567"/>
          <a:chExt cx="105" cy="32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F081AFA6-4E6B-4382-909E-0D42344E92E1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C1E4C692-DE91-433F-8969-EAE272F55C25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2D745582-58DA-48E4-A1E5-8F411C737F05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665517F8-CF60-46F3-8F3E-3F8AFE75C414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82B5EEC2-9175-47B4-BBB4-1E7987CAE42C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9289A7D8-D27F-493E-8D21-D63990E92E09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9BF4F7E3-3FB0-4100-AF91-5D9C976B7D02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12A68703-92FC-4C3E-9D26-3DC10C52A7EE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9435B2D-47F4-48E6-B903-563387AF0C7F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13" name="Freeform 12">
          <a:extLst>
            <a:ext uri="{FF2B5EF4-FFF2-40B4-BE49-F238E27FC236}">
              <a16:creationId xmlns:a16="http://schemas.microsoft.com/office/drawing/2014/main" id="{125E4066-9C17-41C4-99FD-AD0E743E6709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7574E4B8-09E2-44AE-9288-FAD32D63C362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35E5FCAA-1A4E-49EE-B8A1-FB2E7A19673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022FAE7F-75E2-47E3-ABA1-B8E45EA127E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E791F1A8-25D8-492B-BA92-B7AF6AEB1DE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41CA6B2F-1529-4569-A46A-0D9426A7EE7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5CD8BE40-993D-4D3F-B2CA-3F60F19165BE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0B3C8B59-494F-4110-A2BD-976CC80F5F4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39F8807A-11C3-434D-A934-326A3D0EE47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F3AB4C23-E9BB-49AC-8F64-F75F1A83E966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E4E6028-5418-4FDC-BB9E-3D2CFBE6466F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418DCF88-BDF9-42B8-96AC-1E20607D78D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92D4210B-7D25-4EA2-83E7-94B5B83907B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819150</xdr:rowOff>
    </xdr:from>
    <xdr:to>
      <xdr:col>8</xdr:col>
      <xdr:colOff>28575</xdr:colOff>
      <xdr:row>17</xdr:row>
      <xdr:rowOff>1114425</xdr:rowOff>
    </xdr:to>
    <xdr:grpSp>
      <xdr:nvGrpSpPr>
        <xdr:cNvPr id="26" name="Group 99">
          <a:extLst>
            <a:ext uri="{FF2B5EF4-FFF2-40B4-BE49-F238E27FC236}">
              <a16:creationId xmlns:a16="http://schemas.microsoft.com/office/drawing/2014/main" id="{CFF26D0C-A499-4C99-81E5-BF5C662BCE91}"/>
            </a:ext>
          </a:extLst>
        </xdr:cNvPr>
        <xdr:cNvGrpSpPr>
          <a:grpSpLocks/>
        </xdr:cNvGrpSpPr>
      </xdr:nvGrpSpPr>
      <xdr:grpSpPr bwMode="auto">
        <a:xfrm>
          <a:off x="1590675" y="6010275"/>
          <a:ext cx="1009650" cy="295275"/>
          <a:chOff x="124" y="623"/>
          <a:chExt cx="106" cy="31"/>
        </a:xfrm>
      </xdr:grpSpPr>
      <xdr:sp macro="" textlink="">
        <xdr:nvSpPr>
          <xdr:cNvPr id="27" name="Line 30">
            <a:extLst>
              <a:ext uri="{FF2B5EF4-FFF2-40B4-BE49-F238E27FC236}">
                <a16:creationId xmlns:a16="http://schemas.microsoft.com/office/drawing/2014/main" id="{9736E57C-57AF-4F99-9308-A827C11DB6F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Freeform 31">
            <a:extLst>
              <a:ext uri="{FF2B5EF4-FFF2-40B4-BE49-F238E27FC236}">
                <a16:creationId xmlns:a16="http://schemas.microsoft.com/office/drawing/2014/main" id="{43A9743F-6D5E-4108-B45E-C428652A09D2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Freeform 32">
            <a:extLst>
              <a:ext uri="{FF2B5EF4-FFF2-40B4-BE49-F238E27FC236}">
                <a16:creationId xmlns:a16="http://schemas.microsoft.com/office/drawing/2014/main" id="{9E6AC701-4468-463F-B694-258C6C110D8B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" name="Line 33">
            <a:extLst>
              <a:ext uri="{FF2B5EF4-FFF2-40B4-BE49-F238E27FC236}">
                <a16:creationId xmlns:a16="http://schemas.microsoft.com/office/drawing/2014/main" id="{65B6CB7E-5980-4695-A99B-5FD8150AB29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Freeform 34">
            <a:extLst>
              <a:ext uri="{FF2B5EF4-FFF2-40B4-BE49-F238E27FC236}">
                <a16:creationId xmlns:a16="http://schemas.microsoft.com/office/drawing/2014/main" id="{339BD6C0-D688-478F-B18F-776A9A4BBF1F}"/>
              </a:ext>
            </a:extLst>
          </xdr:cNvPr>
          <xdr:cNvSpPr>
            <a:spLocks/>
          </xdr:cNvSpPr>
        </xdr:nvSpPr>
        <xdr:spPr bwMode="auto">
          <a:xfrm rot="-10800000">
            <a:off x="194" y="64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" name="Freeform 35">
            <a:extLst>
              <a:ext uri="{FF2B5EF4-FFF2-40B4-BE49-F238E27FC236}">
                <a16:creationId xmlns:a16="http://schemas.microsoft.com/office/drawing/2014/main" id="{8345B140-A5D1-4608-8C40-A17557624184}"/>
              </a:ext>
            </a:extLst>
          </xdr:cNvPr>
          <xdr:cNvSpPr>
            <a:spLocks/>
          </xdr:cNvSpPr>
        </xdr:nvSpPr>
        <xdr:spPr bwMode="auto">
          <a:xfrm rot="-10800000">
            <a:off x="187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Line 36">
            <a:extLst>
              <a:ext uri="{FF2B5EF4-FFF2-40B4-BE49-F238E27FC236}">
                <a16:creationId xmlns:a16="http://schemas.microsoft.com/office/drawing/2014/main" id="{116ADEED-1F25-4668-8151-8E921A0F8E2E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Freeform 37">
            <a:extLst>
              <a:ext uri="{FF2B5EF4-FFF2-40B4-BE49-F238E27FC236}">
                <a16:creationId xmlns:a16="http://schemas.microsoft.com/office/drawing/2014/main" id="{38C42048-2CF3-4E87-8959-29B18739095B}"/>
              </a:ext>
            </a:extLst>
          </xdr:cNvPr>
          <xdr:cNvSpPr>
            <a:spLocks/>
          </xdr:cNvSpPr>
        </xdr:nvSpPr>
        <xdr:spPr bwMode="auto">
          <a:xfrm rot="-10800000">
            <a:off x="183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1200150</xdr:rowOff>
    </xdr:from>
    <xdr:to>
      <xdr:col>7</xdr:col>
      <xdr:colOff>200025</xdr:colOff>
      <xdr:row>17</xdr:row>
      <xdr:rowOff>1257300</xdr:rowOff>
    </xdr:to>
    <xdr:grpSp>
      <xdr:nvGrpSpPr>
        <xdr:cNvPr id="35" name="Group 38">
          <a:extLst>
            <a:ext uri="{FF2B5EF4-FFF2-40B4-BE49-F238E27FC236}">
              <a16:creationId xmlns:a16="http://schemas.microsoft.com/office/drawing/2014/main" id="{BD36EDA8-0442-41C8-B6AF-3057C8B36841}"/>
            </a:ext>
          </a:extLst>
        </xdr:cNvPr>
        <xdr:cNvGrpSpPr>
          <a:grpSpLocks/>
        </xdr:cNvGrpSpPr>
      </xdr:nvGrpSpPr>
      <xdr:grpSpPr bwMode="auto">
        <a:xfrm>
          <a:off x="1724025" y="6391275"/>
          <a:ext cx="733425" cy="57150"/>
          <a:chOff x="123" y="549"/>
          <a:chExt cx="77" cy="6"/>
        </a:xfrm>
      </xdr:grpSpPr>
      <xdr:sp macro="" textlink="">
        <xdr:nvSpPr>
          <xdr:cNvPr id="36" name="Line 39">
            <a:extLst>
              <a:ext uri="{FF2B5EF4-FFF2-40B4-BE49-F238E27FC236}">
                <a16:creationId xmlns:a16="http://schemas.microsoft.com/office/drawing/2014/main" id="{D26D113E-DECB-40C4-91CD-8F52F03E165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Freeform 40">
            <a:extLst>
              <a:ext uri="{FF2B5EF4-FFF2-40B4-BE49-F238E27FC236}">
                <a16:creationId xmlns:a16="http://schemas.microsoft.com/office/drawing/2014/main" id="{BBB43CA6-58AE-4261-B83D-92D7EECCD9A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" name="Freeform 41">
            <a:extLst>
              <a:ext uri="{FF2B5EF4-FFF2-40B4-BE49-F238E27FC236}">
                <a16:creationId xmlns:a16="http://schemas.microsoft.com/office/drawing/2014/main" id="{28C342D2-173A-4849-BB1D-9CD535DE92E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17</xdr:row>
      <xdr:rowOff>285750</xdr:rowOff>
    </xdr:from>
    <xdr:to>
      <xdr:col>11</xdr:col>
      <xdr:colOff>152400</xdr:colOff>
      <xdr:row>17</xdr:row>
      <xdr:rowOff>1295400</xdr:rowOff>
    </xdr:to>
    <xdr:grpSp>
      <xdr:nvGrpSpPr>
        <xdr:cNvPr id="39" name="Group 100">
          <a:extLst>
            <a:ext uri="{FF2B5EF4-FFF2-40B4-BE49-F238E27FC236}">
              <a16:creationId xmlns:a16="http://schemas.microsoft.com/office/drawing/2014/main" id="{A5F90DFB-6568-46BD-872B-821006FA9236}"/>
            </a:ext>
          </a:extLst>
        </xdr:cNvPr>
        <xdr:cNvGrpSpPr>
          <a:grpSpLocks/>
        </xdr:cNvGrpSpPr>
      </xdr:nvGrpSpPr>
      <xdr:grpSpPr bwMode="auto">
        <a:xfrm>
          <a:off x="3362325" y="5476875"/>
          <a:ext cx="304800" cy="1009650"/>
          <a:chOff x="305" y="567"/>
          <a:chExt cx="32" cy="106"/>
        </a:xfrm>
      </xdr:grpSpPr>
      <xdr:sp macro="" textlink="">
        <xdr:nvSpPr>
          <xdr:cNvPr id="40" name="Line 43">
            <a:extLst>
              <a:ext uri="{FF2B5EF4-FFF2-40B4-BE49-F238E27FC236}">
                <a16:creationId xmlns:a16="http://schemas.microsoft.com/office/drawing/2014/main" id="{B6AF5D3D-E9D6-4307-A9C6-333965AC7196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44">
            <a:extLst>
              <a:ext uri="{FF2B5EF4-FFF2-40B4-BE49-F238E27FC236}">
                <a16:creationId xmlns:a16="http://schemas.microsoft.com/office/drawing/2014/main" id="{29BBEB1F-1DCB-4F02-A865-EBC325DB223A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45">
            <a:extLst>
              <a:ext uri="{FF2B5EF4-FFF2-40B4-BE49-F238E27FC236}">
                <a16:creationId xmlns:a16="http://schemas.microsoft.com/office/drawing/2014/main" id="{2E138200-8ECE-49CC-B7F0-2401E47A207E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" name="Line 46">
            <a:extLst>
              <a:ext uri="{FF2B5EF4-FFF2-40B4-BE49-F238E27FC236}">
                <a16:creationId xmlns:a16="http://schemas.microsoft.com/office/drawing/2014/main" id="{D9275355-0C60-4DB9-91B0-15DCC603A98D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Freeform 47">
            <a:extLst>
              <a:ext uri="{FF2B5EF4-FFF2-40B4-BE49-F238E27FC236}">
                <a16:creationId xmlns:a16="http://schemas.microsoft.com/office/drawing/2014/main" id="{6A007A8B-7F9A-4CE6-BD76-EE2CCBBCB431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Freeform 48">
            <a:extLst>
              <a:ext uri="{FF2B5EF4-FFF2-40B4-BE49-F238E27FC236}">
                <a16:creationId xmlns:a16="http://schemas.microsoft.com/office/drawing/2014/main" id="{9265DC0E-AFBC-485E-AF12-8EA33564300C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Line 49">
            <a:extLst>
              <a:ext uri="{FF2B5EF4-FFF2-40B4-BE49-F238E27FC236}">
                <a16:creationId xmlns:a16="http://schemas.microsoft.com/office/drawing/2014/main" id="{2096B776-87BD-4166-9860-AB69A4042A42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Freeform 50">
            <a:extLst>
              <a:ext uri="{FF2B5EF4-FFF2-40B4-BE49-F238E27FC236}">
                <a16:creationId xmlns:a16="http://schemas.microsoft.com/office/drawing/2014/main" id="{7A6C176E-E1B5-4B5A-BE5B-621FC06B96E8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285750</xdr:colOff>
      <xdr:row>17</xdr:row>
      <xdr:rowOff>409575</xdr:rowOff>
    </xdr:from>
    <xdr:to>
      <xdr:col>13</xdr:col>
      <xdr:colOff>28575</xdr:colOff>
      <xdr:row>17</xdr:row>
      <xdr:rowOff>1143000</xdr:rowOff>
    </xdr:to>
    <xdr:grpSp>
      <xdr:nvGrpSpPr>
        <xdr:cNvPr id="48" name="Group 51">
          <a:extLst>
            <a:ext uri="{FF2B5EF4-FFF2-40B4-BE49-F238E27FC236}">
              <a16:creationId xmlns:a16="http://schemas.microsoft.com/office/drawing/2014/main" id="{F210C21B-D812-4620-AB4E-8DFA46575427}"/>
            </a:ext>
          </a:extLst>
        </xdr:cNvPr>
        <xdr:cNvGrpSpPr>
          <a:grpSpLocks/>
        </xdr:cNvGrpSpPr>
      </xdr:nvGrpSpPr>
      <xdr:grpSpPr bwMode="auto">
        <a:xfrm rot="5400000">
          <a:off x="3776662" y="5938838"/>
          <a:ext cx="733425" cy="57150"/>
          <a:chOff x="123" y="549"/>
          <a:chExt cx="77" cy="6"/>
        </a:xfrm>
      </xdr:grpSpPr>
      <xdr:sp macro="" textlink="">
        <xdr:nvSpPr>
          <xdr:cNvPr id="49" name="Line 52">
            <a:extLst>
              <a:ext uri="{FF2B5EF4-FFF2-40B4-BE49-F238E27FC236}">
                <a16:creationId xmlns:a16="http://schemas.microsoft.com/office/drawing/2014/main" id="{42D8AA6A-9F64-40EA-A778-3C1B502C3FA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53">
            <a:extLst>
              <a:ext uri="{FF2B5EF4-FFF2-40B4-BE49-F238E27FC236}">
                <a16:creationId xmlns:a16="http://schemas.microsoft.com/office/drawing/2014/main" id="{C8DB3396-D84D-46F6-A3B2-2D22187A159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Freeform 54">
            <a:extLst>
              <a:ext uri="{FF2B5EF4-FFF2-40B4-BE49-F238E27FC236}">
                <a16:creationId xmlns:a16="http://schemas.microsoft.com/office/drawing/2014/main" id="{BD752CC0-21D3-47FD-BF85-4AFA046B7A87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17</xdr:row>
      <xdr:rowOff>304800</xdr:rowOff>
    </xdr:from>
    <xdr:to>
      <xdr:col>12</xdr:col>
      <xdr:colOff>161925</xdr:colOff>
      <xdr:row>17</xdr:row>
      <xdr:rowOff>1304925</xdr:rowOff>
    </xdr:to>
    <xdr:grpSp>
      <xdr:nvGrpSpPr>
        <xdr:cNvPr id="52" name="Group 55">
          <a:extLst>
            <a:ext uri="{FF2B5EF4-FFF2-40B4-BE49-F238E27FC236}">
              <a16:creationId xmlns:a16="http://schemas.microsoft.com/office/drawing/2014/main" id="{3094AB1B-5EF8-4D55-8F3C-C3EE68808C1C}"/>
            </a:ext>
          </a:extLst>
        </xdr:cNvPr>
        <xdr:cNvGrpSpPr>
          <a:grpSpLocks/>
        </xdr:cNvGrpSpPr>
      </xdr:nvGrpSpPr>
      <xdr:grpSpPr bwMode="auto">
        <a:xfrm rot="5400000">
          <a:off x="3338512" y="5843588"/>
          <a:ext cx="1000125" cy="304800"/>
          <a:chOff x="110" y="567"/>
          <a:chExt cx="105" cy="32"/>
        </a:xfrm>
      </xdr:grpSpPr>
      <xdr:sp macro="" textlink="">
        <xdr:nvSpPr>
          <xdr:cNvPr id="53" name="Line 56">
            <a:extLst>
              <a:ext uri="{FF2B5EF4-FFF2-40B4-BE49-F238E27FC236}">
                <a16:creationId xmlns:a16="http://schemas.microsoft.com/office/drawing/2014/main" id="{7D924024-1715-43A5-97C6-9EA2DB91AF71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57">
            <a:extLst>
              <a:ext uri="{FF2B5EF4-FFF2-40B4-BE49-F238E27FC236}">
                <a16:creationId xmlns:a16="http://schemas.microsoft.com/office/drawing/2014/main" id="{8BB67624-1247-44A5-96F6-5D1BFDA6A02A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Freeform 58">
            <a:extLst>
              <a:ext uri="{FF2B5EF4-FFF2-40B4-BE49-F238E27FC236}">
                <a16:creationId xmlns:a16="http://schemas.microsoft.com/office/drawing/2014/main" id="{D46D3C93-1024-419D-958C-4DEF6687BCE5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" name="Line 59">
            <a:extLst>
              <a:ext uri="{FF2B5EF4-FFF2-40B4-BE49-F238E27FC236}">
                <a16:creationId xmlns:a16="http://schemas.microsoft.com/office/drawing/2014/main" id="{8668C608-2E2F-4622-B8E8-916D54EBDC8E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Freeform 60">
            <a:extLst>
              <a:ext uri="{FF2B5EF4-FFF2-40B4-BE49-F238E27FC236}">
                <a16:creationId xmlns:a16="http://schemas.microsoft.com/office/drawing/2014/main" id="{FA161C90-1888-4633-91EC-368EC525B08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8" name="Freeform 61">
            <a:extLst>
              <a:ext uri="{FF2B5EF4-FFF2-40B4-BE49-F238E27FC236}">
                <a16:creationId xmlns:a16="http://schemas.microsoft.com/office/drawing/2014/main" id="{039F4217-4200-415B-8072-EABAFB675F9D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Line 62">
            <a:extLst>
              <a:ext uri="{FF2B5EF4-FFF2-40B4-BE49-F238E27FC236}">
                <a16:creationId xmlns:a16="http://schemas.microsoft.com/office/drawing/2014/main" id="{DDE5E771-ADA2-40DE-8CB9-0541520D5DF3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Freeform 63">
            <a:extLst>
              <a:ext uri="{FF2B5EF4-FFF2-40B4-BE49-F238E27FC236}">
                <a16:creationId xmlns:a16="http://schemas.microsoft.com/office/drawing/2014/main" id="{9D230C57-CBF8-4763-9CCD-B33E78E017DF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61" name="Freeform 64">
          <a:extLst>
            <a:ext uri="{FF2B5EF4-FFF2-40B4-BE49-F238E27FC236}">
              <a16:creationId xmlns:a16="http://schemas.microsoft.com/office/drawing/2014/main" id="{D729441F-37F5-481A-BDCE-FC8B7B2DD4F3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62" name="Group 65">
          <a:extLst>
            <a:ext uri="{FF2B5EF4-FFF2-40B4-BE49-F238E27FC236}">
              <a16:creationId xmlns:a16="http://schemas.microsoft.com/office/drawing/2014/main" id="{343C0F84-13F9-4628-8105-8F197BA4FF8C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63" name="Line 66">
            <a:extLst>
              <a:ext uri="{FF2B5EF4-FFF2-40B4-BE49-F238E27FC236}">
                <a16:creationId xmlns:a16="http://schemas.microsoft.com/office/drawing/2014/main" id="{CF6DAC56-C7D5-4B90-8094-524181B4ADD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67">
            <a:extLst>
              <a:ext uri="{FF2B5EF4-FFF2-40B4-BE49-F238E27FC236}">
                <a16:creationId xmlns:a16="http://schemas.microsoft.com/office/drawing/2014/main" id="{CB9105A2-1322-456C-B81B-B3CA502E71B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68">
            <a:extLst>
              <a:ext uri="{FF2B5EF4-FFF2-40B4-BE49-F238E27FC236}">
                <a16:creationId xmlns:a16="http://schemas.microsoft.com/office/drawing/2014/main" id="{2E16ADD7-1248-43D1-8A17-15538C840A7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69">
            <a:extLst>
              <a:ext uri="{FF2B5EF4-FFF2-40B4-BE49-F238E27FC236}">
                <a16:creationId xmlns:a16="http://schemas.microsoft.com/office/drawing/2014/main" id="{693485C8-546B-4C55-B191-70CA3FC4A55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67" name="Group 70">
          <a:extLst>
            <a:ext uri="{FF2B5EF4-FFF2-40B4-BE49-F238E27FC236}">
              <a16:creationId xmlns:a16="http://schemas.microsoft.com/office/drawing/2014/main" id="{087FED61-F622-45BB-A81A-915A3D306E49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68" name="Line 71">
            <a:extLst>
              <a:ext uri="{FF2B5EF4-FFF2-40B4-BE49-F238E27FC236}">
                <a16:creationId xmlns:a16="http://schemas.microsoft.com/office/drawing/2014/main" id="{3C8ED497-972C-4E19-AC4A-E476AF320FA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72">
            <a:extLst>
              <a:ext uri="{FF2B5EF4-FFF2-40B4-BE49-F238E27FC236}">
                <a16:creationId xmlns:a16="http://schemas.microsoft.com/office/drawing/2014/main" id="{3E09DF46-980F-45EF-AA90-9616127E18A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70" name="Group 73">
          <a:extLst>
            <a:ext uri="{FF2B5EF4-FFF2-40B4-BE49-F238E27FC236}">
              <a16:creationId xmlns:a16="http://schemas.microsoft.com/office/drawing/2014/main" id="{06BA55EE-D915-4D7A-A6EA-592CC178E0DD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71" name="Line 74">
            <a:extLst>
              <a:ext uri="{FF2B5EF4-FFF2-40B4-BE49-F238E27FC236}">
                <a16:creationId xmlns:a16="http://schemas.microsoft.com/office/drawing/2014/main" id="{853FB377-5429-4CF3-B67B-8BC02B2B049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75">
            <a:extLst>
              <a:ext uri="{FF2B5EF4-FFF2-40B4-BE49-F238E27FC236}">
                <a16:creationId xmlns:a16="http://schemas.microsoft.com/office/drawing/2014/main" id="{D360B99B-6B57-462D-993E-9E3F3E8A221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73" name="Group 76">
          <a:extLst>
            <a:ext uri="{FF2B5EF4-FFF2-40B4-BE49-F238E27FC236}">
              <a16:creationId xmlns:a16="http://schemas.microsoft.com/office/drawing/2014/main" id="{BF31A172-F16E-4103-8A73-3027D615CCA4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74" name="Line 77">
            <a:extLst>
              <a:ext uri="{FF2B5EF4-FFF2-40B4-BE49-F238E27FC236}">
                <a16:creationId xmlns:a16="http://schemas.microsoft.com/office/drawing/2014/main" id="{B35CB104-551C-4A0D-9757-71134DE98CA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78">
            <a:extLst>
              <a:ext uri="{FF2B5EF4-FFF2-40B4-BE49-F238E27FC236}">
                <a16:creationId xmlns:a16="http://schemas.microsoft.com/office/drawing/2014/main" id="{E560E584-2BA3-49B6-9CF2-6E1574157D7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76" name="Line 79">
          <a:extLst>
            <a:ext uri="{FF2B5EF4-FFF2-40B4-BE49-F238E27FC236}">
              <a16:creationId xmlns:a16="http://schemas.microsoft.com/office/drawing/2014/main" id="{DC68C8B6-E4B7-404D-8EDC-8A176B0F02B7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77" name="Line 80">
          <a:extLst>
            <a:ext uri="{FF2B5EF4-FFF2-40B4-BE49-F238E27FC236}">
              <a16:creationId xmlns:a16="http://schemas.microsoft.com/office/drawing/2014/main" id="{BC9274B0-A0DA-4D6E-B249-5CFE100BE3F0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78" name="Group 81">
          <a:extLst>
            <a:ext uri="{FF2B5EF4-FFF2-40B4-BE49-F238E27FC236}">
              <a16:creationId xmlns:a16="http://schemas.microsoft.com/office/drawing/2014/main" id="{B6FA5A6B-C044-432F-BD44-B5F106FF7AAF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79" name="Line 82">
            <a:extLst>
              <a:ext uri="{FF2B5EF4-FFF2-40B4-BE49-F238E27FC236}">
                <a16:creationId xmlns:a16="http://schemas.microsoft.com/office/drawing/2014/main" id="{6D41DA63-25EB-4229-9DA8-070B69F4B36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83">
            <a:extLst>
              <a:ext uri="{FF2B5EF4-FFF2-40B4-BE49-F238E27FC236}">
                <a16:creationId xmlns:a16="http://schemas.microsoft.com/office/drawing/2014/main" id="{A7CB7295-09D1-4150-A8D2-0902B5AC5A8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419100</xdr:rowOff>
    </xdr:from>
    <xdr:to>
      <xdr:col>10</xdr:col>
      <xdr:colOff>38100</xdr:colOff>
      <xdr:row>17</xdr:row>
      <xdr:rowOff>1152525</xdr:rowOff>
    </xdr:to>
    <xdr:grpSp>
      <xdr:nvGrpSpPr>
        <xdr:cNvPr id="83" name="Group 86">
          <a:extLst>
            <a:ext uri="{FF2B5EF4-FFF2-40B4-BE49-F238E27FC236}">
              <a16:creationId xmlns:a16="http://schemas.microsoft.com/office/drawing/2014/main" id="{42D2E614-3528-45B2-A7E4-D2A6D5D40D6F}"/>
            </a:ext>
          </a:extLst>
        </xdr:cNvPr>
        <xdr:cNvGrpSpPr>
          <a:grpSpLocks/>
        </xdr:cNvGrpSpPr>
      </xdr:nvGrpSpPr>
      <xdr:grpSpPr bwMode="auto">
        <a:xfrm rot="5400000">
          <a:off x="2843212" y="5948363"/>
          <a:ext cx="733425" cy="57150"/>
          <a:chOff x="123" y="549"/>
          <a:chExt cx="77" cy="6"/>
        </a:xfrm>
      </xdr:grpSpPr>
      <xdr:sp macro="" textlink="">
        <xdr:nvSpPr>
          <xdr:cNvPr id="84" name="Line 87">
            <a:extLst>
              <a:ext uri="{FF2B5EF4-FFF2-40B4-BE49-F238E27FC236}">
                <a16:creationId xmlns:a16="http://schemas.microsoft.com/office/drawing/2014/main" id="{5DD70E48-55B8-472F-B78B-ED606176FFD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Freeform 88">
            <a:extLst>
              <a:ext uri="{FF2B5EF4-FFF2-40B4-BE49-F238E27FC236}">
                <a16:creationId xmlns:a16="http://schemas.microsoft.com/office/drawing/2014/main" id="{DD952F42-8DB6-4AB6-83F4-495081B284C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Freeform 89">
            <a:extLst>
              <a:ext uri="{FF2B5EF4-FFF2-40B4-BE49-F238E27FC236}">
                <a16:creationId xmlns:a16="http://schemas.microsoft.com/office/drawing/2014/main" id="{E863EAD8-5BF8-4654-B6D0-BD5B3B4681A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88" name="Text Box 91">
          <a:extLst>
            <a:ext uri="{FF2B5EF4-FFF2-40B4-BE49-F238E27FC236}">
              <a16:creationId xmlns:a16="http://schemas.microsoft.com/office/drawing/2014/main" id="{EA4B6643-02C9-41A0-90A7-9A9C62E16FA8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　</a:t>
          </a:r>
        </a:p>
      </xdr:txBody>
    </xdr:sp>
    <xdr:clientData/>
  </xdr:oneCellAnchor>
  <xdr:oneCellAnchor>
    <xdr:from>
      <xdr:col>6</xdr:col>
      <xdr:colOff>38100</xdr:colOff>
      <xdr:row>17</xdr:row>
      <xdr:rowOff>123825</xdr:rowOff>
    </xdr:from>
    <xdr:ext cx="303536" cy="150041"/>
    <xdr:sp macro="" textlink="">
      <xdr:nvSpPr>
        <xdr:cNvPr id="89" name="Text Box 93">
          <a:extLst>
            <a:ext uri="{FF2B5EF4-FFF2-40B4-BE49-F238E27FC236}">
              <a16:creationId xmlns:a16="http://schemas.microsoft.com/office/drawing/2014/main" id="{C9C69E42-A61C-40CD-8F67-AD79F7B494A8}"/>
            </a:ext>
          </a:extLst>
        </xdr:cNvPr>
        <xdr:cNvSpPr txBox="1">
          <a:spLocks noChangeArrowheads="1"/>
        </xdr:cNvSpPr>
      </xdr:nvSpPr>
      <xdr:spPr bwMode="auto">
        <a:xfrm>
          <a:off x="1981200" y="531495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19050</xdr:colOff>
      <xdr:row>17</xdr:row>
      <xdr:rowOff>123825</xdr:rowOff>
    </xdr:from>
    <xdr:ext cx="303536" cy="150041"/>
    <xdr:sp macro="" textlink="">
      <xdr:nvSpPr>
        <xdr:cNvPr id="90" name="Text Box 94">
          <a:extLst>
            <a:ext uri="{FF2B5EF4-FFF2-40B4-BE49-F238E27FC236}">
              <a16:creationId xmlns:a16="http://schemas.microsoft.com/office/drawing/2014/main" id="{F2448CE7-E83E-44E2-8EE9-952C69103E13}"/>
            </a:ext>
          </a:extLst>
        </xdr:cNvPr>
        <xdr:cNvSpPr txBox="1">
          <a:spLocks noChangeArrowheads="1"/>
        </xdr:cNvSpPr>
      </xdr:nvSpPr>
      <xdr:spPr bwMode="auto">
        <a:xfrm>
          <a:off x="2276475" y="531495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.3m</a:t>
          </a:r>
        </a:p>
      </xdr:txBody>
    </xdr:sp>
    <xdr:clientData/>
  </xdr:oneCellAnchor>
  <xdr:oneCellAnchor>
    <xdr:from>
      <xdr:col>12</xdr:col>
      <xdr:colOff>161925</xdr:colOff>
      <xdr:row>17</xdr:row>
      <xdr:rowOff>1200150</xdr:rowOff>
    </xdr:from>
    <xdr:ext cx="361244" cy="150041"/>
    <xdr:sp macro="" textlink="">
      <xdr:nvSpPr>
        <xdr:cNvPr id="91" name="Text Box 95">
          <a:extLst>
            <a:ext uri="{FF2B5EF4-FFF2-40B4-BE49-F238E27FC236}">
              <a16:creationId xmlns:a16="http://schemas.microsoft.com/office/drawing/2014/main" id="{6AC9CEAF-B4F6-4312-8AB4-275ED4B8397F}"/>
            </a:ext>
          </a:extLst>
        </xdr:cNvPr>
        <xdr:cNvSpPr txBox="1">
          <a:spLocks noChangeArrowheads="1"/>
        </xdr:cNvSpPr>
      </xdr:nvSpPr>
      <xdr:spPr bwMode="auto">
        <a:xfrm>
          <a:off x="3990975" y="63912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5</xdr:col>
      <xdr:colOff>57150</xdr:colOff>
      <xdr:row>17</xdr:row>
      <xdr:rowOff>123825</xdr:rowOff>
    </xdr:from>
    <xdr:ext cx="303536" cy="150041"/>
    <xdr:sp macro="" textlink="">
      <xdr:nvSpPr>
        <xdr:cNvPr id="93" name="Text Box 98">
          <a:extLst>
            <a:ext uri="{FF2B5EF4-FFF2-40B4-BE49-F238E27FC236}">
              <a16:creationId xmlns:a16="http://schemas.microsoft.com/office/drawing/2014/main" id="{45DF68C4-1C74-447B-8881-E8609FFCA9EC}"/>
            </a:ext>
          </a:extLst>
        </xdr:cNvPr>
        <xdr:cNvSpPr txBox="1">
          <a:spLocks noChangeArrowheads="1"/>
        </xdr:cNvSpPr>
      </xdr:nvSpPr>
      <xdr:spPr bwMode="auto">
        <a:xfrm>
          <a:off x="1685925" y="531495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171450</xdr:colOff>
      <xdr:row>17</xdr:row>
      <xdr:rowOff>1200150</xdr:rowOff>
    </xdr:from>
    <xdr:ext cx="361244" cy="150041"/>
    <xdr:sp macro="" textlink="">
      <xdr:nvSpPr>
        <xdr:cNvPr id="95" name="Text Box 138">
          <a:extLst>
            <a:ext uri="{FF2B5EF4-FFF2-40B4-BE49-F238E27FC236}">
              <a16:creationId xmlns:a16="http://schemas.microsoft.com/office/drawing/2014/main" id="{AC83DF93-394D-459E-9F8A-C68CEAB70F21}"/>
            </a:ext>
          </a:extLst>
        </xdr:cNvPr>
        <xdr:cNvSpPr txBox="1">
          <a:spLocks noChangeArrowheads="1"/>
        </xdr:cNvSpPr>
      </xdr:nvSpPr>
      <xdr:spPr bwMode="auto">
        <a:xfrm>
          <a:off x="3057525" y="63912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24.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209550</xdr:colOff>
      <xdr:row>17</xdr:row>
      <xdr:rowOff>238125</xdr:rowOff>
    </xdr:from>
    <xdr:ext cx="361244" cy="150041"/>
    <xdr:sp macro="" textlink="">
      <xdr:nvSpPr>
        <xdr:cNvPr id="96" name="Text Box 139">
          <a:extLst>
            <a:ext uri="{FF2B5EF4-FFF2-40B4-BE49-F238E27FC236}">
              <a16:creationId xmlns:a16="http://schemas.microsoft.com/office/drawing/2014/main" id="{EC566B04-2B6C-4647-89A9-DBFDAE3D3F9A}"/>
            </a:ext>
          </a:extLst>
        </xdr:cNvPr>
        <xdr:cNvSpPr txBox="1">
          <a:spLocks noChangeArrowheads="1"/>
        </xdr:cNvSpPr>
      </xdr:nvSpPr>
      <xdr:spPr bwMode="auto">
        <a:xfrm>
          <a:off x="3095625" y="5429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12</xdr:col>
      <xdr:colOff>209550</xdr:colOff>
      <xdr:row>17</xdr:row>
      <xdr:rowOff>238125</xdr:rowOff>
    </xdr:from>
    <xdr:ext cx="361244" cy="150041"/>
    <xdr:sp macro="" textlink="">
      <xdr:nvSpPr>
        <xdr:cNvPr id="97" name="Text Box 140">
          <a:extLst>
            <a:ext uri="{FF2B5EF4-FFF2-40B4-BE49-F238E27FC236}">
              <a16:creationId xmlns:a16="http://schemas.microsoft.com/office/drawing/2014/main" id="{E7492207-88B2-4D72-AA79-F8CD1A0672CB}"/>
            </a:ext>
          </a:extLst>
        </xdr:cNvPr>
        <xdr:cNvSpPr txBox="1">
          <a:spLocks noChangeArrowheads="1"/>
        </xdr:cNvSpPr>
      </xdr:nvSpPr>
      <xdr:spPr bwMode="auto">
        <a:xfrm>
          <a:off x="4038600" y="5429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6</xdr:col>
      <xdr:colOff>28575</xdr:colOff>
      <xdr:row>17</xdr:row>
      <xdr:rowOff>1285875</xdr:rowOff>
    </xdr:from>
    <xdr:ext cx="303536" cy="150041"/>
    <xdr:sp macro="" textlink="">
      <xdr:nvSpPr>
        <xdr:cNvPr id="98" name="Text Box 141">
          <a:extLst>
            <a:ext uri="{FF2B5EF4-FFF2-40B4-BE49-F238E27FC236}">
              <a16:creationId xmlns:a16="http://schemas.microsoft.com/office/drawing/2014/main" id="{7DA0FA57-DFFE-4C90-9780-CD54FEEF8D09}"/>
            </a:ext>
          </a:extLst>
        </xdr:cNvPr>
        <xdr:cNvSpPr txBox="1">
          <a:spLocks noChangeArrowheads="1"/>
        </xdr:cNvSpPr>
      </xdr:nvSpPr>
      <xdr:spPr bwMode="auto">
        <a:xfrm>
          <a:off x="1971675" y="647700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257175</xdr:colOff>
      <xdr:row>17</xdr:row>
      <xdr:rowOff>1171575</xdr:rowOff>
    </xdr:from>
    <xdr:ext cx="361244" cy="150041"/>
    <xdr:sp macro="" textlink="">
      <xdr:nvSpPr>
        <xdr:cNvPr id="99" name="Text Box 142">
          <a:extLst>
            <a:ext uri="{FF2B5EF4-FFF2-40B4-BE49-F238E27FC236}">
              <a16:creationId xmlns:a16="http://schemas.microsoft.com/office/drawing/2014/main" id="{224768BB-F0A2-46ED-B72D-229ADBFDAFDC}"/>
            </a:ext>
          </a:extLst>
        </xdr:cNvPr>
        <xdr:cNvSpPr txBox="1">
          <a:spLocks noChangeArrowheads="1"/>
        </xdr:cNvSpPr>
      </xdr:nvSpPr>
      <xdr:spPr bwMode="auto">
        <a:xfrm>
          <a:off x="2514600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5</xdr:col>
      <xdr:colOff>9525</xdr:colOff>
      <xdr:row>17</xdr:row>
      <xdr:rowOff>304800</xdr:rowOff>
    </xdr:from>
    <xdr:to>
      <xdr:col>7</xdr:col>
      <xdr:colOff>304800</xdr:colOff>
      <xdr:row>17</xdr:row>
      <xdr:rowOff>361950</xdr:rowOff>
    </xdr:to>
    <xdr:grpSp>
      <xdr:nvGrpSpPr>
        <xdr:cNvPr id="100" name="Group 151">
          <a:extLst>
            <a:ext uri="{FF2B5EF4-FFF2-40B4-BE49-F238E27FC236}">
              <a16:creationId xmlns:a16="http://schemas.microsoft.com/office/drawing/2014/main" id="{E497F9FB-60B2-42CA-9B21-BEE40520FA95}"/>
            </a:ext>
          </a:extLst>
        </xdr:cNvPr>
        <xdr:cNvGrpSpPr>
          <a:grpSpLocks/>
        </xdr:cNvGrpSpPr>
      </xdr:nvGrpSpPr>
      <xdr:grpSpPr bwMode="auto">
        <a:xfrm>
          <a:off x="1638300" y="5495925"/>
          <a:ext cx="923925" cy="57150"/>
          <a:chOff x="126" y="569"/>
          <a:chExt cx="97" cy="6"/>
        </a:xfrm>
      </xdr:grpSpPr>
      <xdr:sp macro="" textlink="">
        <xdr:nvSpPr>
          <xdr:cNvPr id="101" name="Freeform 144">
            <a:extLst>
              <a:ext uri="{FF2B5EF4-FFF2-40B4-BE49-F238E27FC236}">
                <a16:creationId xmlns:a16="http://schemas.microsoft.com/office/drawing/2014/main" id="{CDEBE42B-8ACB-4669-8AF8-F56C9ECC37E6}"/>
              </a:ext>
            </a:extLst>
          </xdr:cNvPr>
          <xdr:cNvSpPr>
            <a:spLocks/>
          </xdr:cNvSpPr>
        </xdr:nvSpPr>
        <xdr:spPr bwMode="auto">
          <a:xfrm>
            <a:off x="216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" name="Freeform 145">
            <a:extLst>
              <a:ext uri="{FF2B5EF4-FFF2-40B4-BE49-F238E27FC236}">
                <a16:creationId xmlns:a16="http://schemas.microsoft.com/office/drawing/2014/main" id="{7D89F8CE-237E-4A9E-9333-8CEF4BFB265D}"/>
              </a:ext>
            </a:extLst>
          </xdr:cNvPr>
          <xdr:cNvSpPr>
            <a:spLocks/>
          </xdr:cNvSpPr>
        </xdr:nvSpPr>
        <xdr:spPr bwMode="auto">
          <a:xfrm rot="-10800000">
            <a:off x="185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" name="Line 146">
            <a:extLst>
              <a:ext uri="{FF2B5EF4-FFF2-40B4-BE49-F238E27FC236}">
                <a16:creationId xmlns:a16="http://schemas.microsoft.com/office/drawing/2014/main" id="{A00BF92F-D8F9-4F23-8DDA-4F02826339DC}"/>
              </a:ext>
            </a:extLst>
          </xdr:cNvPr>
          <xdr:cNvSpPr>
            <a:spLocks noChangeShapeType="1"/>
          </xdr:cNvSpPr>
        </xdr:nvSpPr>
        <xdr:spPr bwMode="auto">
          <a:xfrm>
            <a:off x="189" y="572"/>
            <a:ext cx="3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Freeform 147">
            <a:extLst>
              <a:ext uri="{FF2B5EF4-FFF2-40B4-BE49-F238E27FC236}">
                <a16:creationId xmlns:a16="http://schemas.microsoft.com/office/drawing/2014/main" id="{B807C007-132E-49B5-9C50-65B78C7B1542}"/>
              </a:ext>
            </a:extLst>
          </xdr:cNvPr>
          <xdr:cNvSpPr>
            <a:spLocks/>
          </xdr:cNvSpPr>
        </xdr:nvSpPr>
        <xdr:spPr bwMode="auto">
          <a:xfrm>
            <a:off x="157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Freeform 148">
            <a:extLst>
              <a:ext uri="{FF2B5EF4-FFF2-40B4-BE49-F238E27FC236}">
                <a16:creationId xmlns:a16="http://schemas.microsoft.com/office/drawing/2014/main" id="{506A86D9-4192-4D6E-9E20-F013160C4D03}"/>
              </a:ext>
            </a:extLst>
          </xdr:cNvPr>
          <xdr:cNvSpPr>
            <a:spLocks/>
          </xdr:cNvSpPr>
        </xdr:nvSpPr>
        <xdr:spPr bwMode="auto">
          <a:xfrm rot="-10800000">
            <a:off x="126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" name="Line 149">
            <a:extLst>
              <a:ext uri="{FF2B5EF4-FFF2-40B4-BE49-F238E27FC236}">
                <a16:creationId xmlns:a16="http://schemas.microsoft.com/office/drawing/2014/main" id="{04A42E46-7C1E-4D3F-B9E4-534233207555}"/>
              </a:ext>
            </a:extLst>
          </xdr:cNvPr>
          <xdr:cNvSpPr>
            <a:spLocks noChangeShapeType="1"/>
          </xdr:cNvSpPr>
        </xdr:nvSpPr>
        <xdr:spPr bwMode="auto">
          <a:xfrm>
            <a:off x="130" y="572"/>
            <a:ext cx="3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50">
            <a:extLst>
              <a:ext uri="{FF2B5EF4-FFF2-40B4-BE49-F238E27FC236}">
                <a16:creationId xmlns:a16="http://schemas.microsoft.com/office/drawing/2014/main" id="{A6775D4E-0ADC-4BB6-BD60-1773B88A6922}"/>
              </a:ext>
            </a:extLst>
          </xdr:cNvPr>
          <xdr:cNvSpPr>
            <a:spLocks noChangeShapeType="1"/>
          </xdr:cNvSpPr>
        </xdr:nvSpPr>
        <xdr:spPr bwMode="auto">
          <a:xfrm>
            <a:off x="163" y="572"/>
            <a:ext cx="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8</xdr:col>
      <xdr:colOff>47625</xdr:colOff>
      <xdr:row>17</xdr:row>
      <xdr:rowOff>266700</xdr:rowOff>
    </xdr:from>
    <xdr:ext cx="361244" cy="150041"/>
    <xdr:sp macro="" textlink="">
      <xdr:nvSpPr>
        <xdr:cNvPr id="108" name="Text Box 152">
          <a:extLst>
            <a:ext uri="{FF2B5EF4-FFF2-40B4-BE49-F238E27FC236}">
              <a16:creationId xmlns:a16="http://schemas.microsoft.com/office/drawing/2014/main" id="{39AA096C-026F-48E2-853B-E5F4C869BD45}"/>
            </a:ext>
          </a:extLst>
        </xdr:cNvPr>
        <xdr:cNvSpPr txBox="1">
          <a:spLocks noChangeArrowheads="1"/>
        </xdr:cNvSpPr>
      </xdr:nvSpPr>
      <xdr:spPr bwMode="auto">
        <a:xfrm>
          <a:off x="2619375" y="54578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11</xdr:col>
      <xdr:colOff>161925</xdr:colOff>
      <xdr:row>7</xdr:row>
      <xdr:rowOff>19050</xdr:rowOff>
    </xdr:from>
    <xdr:to>
      <xdr:col>12</xdr:col>
      <xdr:colOff>247650</xdr:colOff>
      <xdr:row>11</xdr:row>
      <xdr:rowOff>161925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A5D0A506-64CB-480F-9337-72FC9998E7D7}"/>
            </a:ext>
          </a:extLst>
        </xdr:cNvPr>
        <xdr:cNvCxnSpPr/>
      </xdr:nvCxnSpPr>
      <xdr:spPr>
        <a:xfrm flipH="1">
          <a:off x="3676650" y="1276350"/>
          <a:ext cx="400050" cy="270510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95249</xdr:colOff>
      <xdr:row>9</xdr:row>
      <xdr:rowOff>209550</xdr:rowOff>
    </xdr:from>
    <xdr:ext cx="468389" cy="187872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D5DA5116-D43B-48EF-9E7C-5552C71E4F9E}"/>
            </a:ext>
          </a:extLst>
        </xdr:cNvPr>
        <xdr:cNvSpPr txBox="1"/>
      </xdr:nvSpPr>
      <xdr:spPr>
        <a:xfrm>
          <a:off x="4238624" y="192405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39.6m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12</xdr:col>
      <xdr:colOff>28575</xdr:colOff>
      <xdr:row>9</xdr:row>
      <xdr:rowOff>1314450</xdr:rowOff>
    </xdr:from>
    <xdr:ext cx="468389" cy="187872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BEF960A5-DBC1-44EE-BC1A-6AB57AB2D686}"/>
            </a:ext>
          </a:extLst>
        </xdr:cNvPr>
        <xdr:cNvSpPr txBox="1"/>
      </xdr:nvSpPr>
      <xdr:spPr>
        <a:xfrm>
          <a:off x="3857625" y="302895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41.2m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20</xdr:col>
      <xdr:colOff>219076</xdr:colOff>
      <xdr:row>9</xdr:row>
      <xdr:rowOff>1866900</xdr:rowOff>
    </xdr:from>
    <xdr:to>
      <xdr:col>21</xdr:col>
      <xdr:colOff>192003</xdr:colOff>
      <xdr:row>11</xdr:row>
      <xdr:rowOff>49875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E352C3FE-8625-42FB-9A35-6BAC07FE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2726" y="35814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9</xdr:row>
      <xdr:rowOff>361950</xdr:rowOff>
    </xdr:from>
    <xdr:to>
      <xdr:col>2</xdr:col>
      <xdr:colOff>353928</xdr:colOff>
      <xdr:row>9</xdr:row>
      <xdr:rowOff>649950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EBC8651E-4BF4-4376-80F7-62049580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6" y="20764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85726</xdr:colOff>
      <xdr:row>4</xdr:row>
      <xdr:rowOff>57150</xdr:rowOff>
    </xdr:from>
    <xdr:to>
      <xdr:col>15</xdr:col>
      <xdr:colOff>58653</xdr:colOff>
      <xdr:row>5</xdr:row>
      <xdr:rowOff>116550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7EE0E47A-37A2-46B9-91A0-2BE48525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43426" y="6286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57151</xdr:colOff>
      <xdr:row>12</xdr:row>
      <xdr:rowOff>209550</xdr:rowOff>
    </xdr:from>
    <xdr:to>
      <xdr:col>12</xdr:col>
      <xdr:colOff>30078</xdr:colOff>
      <xdr:row>14</xdr:row>
      <xdr:rowOff>40350</xdr:rowOff>
    </xdr:to>
    <xdr:pic>
      <xdr:nvPicPr>
        <xdr:cNvPr id="125" name="図 124">
          <a:extLst>
            <a:ext uri="{FF2B5EF4-FFF2-40B4-BE49-F238E27FC236}">
              <a16:creationId xmlns:a16="http://schemas.microsoft.com/office/drawing/2014/main" id="{C2D5BCD6-ED4A-4A2E-AA18-2F54D3CE3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6" y="4257675"/>
          <a:ext cx="287252" cy="288000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6</xdr:row>
      <xdr:rowOff>228599</xdr:rowOff>
    </xdr:from>
    <xdr:to>
      <xdr:col>18</xdr:col>
      <xdr:colOff>148166</xdr:colOff>
      <xdr:row>7</xdr:row>
      <xdr:rowOff>159202</xdr:rowOff>
    </xdr:to>
    <xdr:pic>
      <xdr:nvPicPr>
        <xdr:cNvPr id="129" name="Picture 232">
          <a:extLst>
            <a:ext uri="{FF2B5EF4-FFF2-40B4-BE49-F238E27FC236}">
              <a16:creationId xmlns:a16="http://schemas.microsoft.com/office/drawing/2014/main" id="{DB8D0C53-02D3-4F2E-B910-AF386D1B5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EFFFF"/>
            </a:clrFrom>
            <a:clrTo>
              <a:srgbClr val="FE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604905" flipV="1">
          <a:off x="5619750" y="1257299"/>
          <a:ext cx="243416" cy="1592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186723</xdr:colOff>
      <xdr:row>9</xdr:row>
      <xdr:rowOff>73848</xdr:rowOff>
    </xdr:from>
    <xdr:to>
      <xdr:col>16</xdr:col>
      <xdr:colOff>301866</xdr:colOff>
      <xdr:row>9</xdr:row>
      <xdr:rowOff>986514</xdr:rowOff>
    </xdr:to>
    <xdr:sp macro="" textlink="">
      <xdr:nvSpPr>
        <xdr:cNvPr id="131" name="フリーフォーム: 図形 88">
          <a:extLst>
            <a:ext uri="{FF2B5EF4-FFF2-40B4-BE49-F238E27FC236}">
              <a16:creationId xmlns:a16="http://schemas.microsoft.com/office/drawing/2014/main" id="{DE7C6F10-348B-40A7-9929-794309E34349}"/>
            </a:ext>
          </a:extLst>
        </xdr:cNvPr>
        <xdr:cNvSpPr/>
      </xdr:nvSpPr>
      <xdr:spPr>
        <a:xfrm rot="10156135" flipH="1" flipV="1">
          <a:off x="2758473" y="1788348"/>
          <a:ext cx="2629743" cy="912666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2530388 w 2530388"/>
            <a:gd name="connsiteY0" fmla="*/ 8738618 h 8738623"/>
            <a:gd name="connsiteX1" fmla="*/ 0 w 2530388"/>
            <a:gd name="connsiteY1" fmla="*/ -3 h 8738623"/>
            <a:gd name="connsiteX0" fmla="*/ 2530388 w 2530388"/>
            <a:gd name="connsiteY0" fmla="*/ 8738618 h 8738613"/>
            <a:gd name="connsiteX1" fmla="*/ 0 w 2530388"/>
            <a:gd name="connsiteY1" fmla="*/ -3 h 8738613"/>
            <a:gd name="connsiteX0" fmla="*/ 2530388 w 2530388"/>
            <a:gd name="connsiteY0" fmla="*/ 8738618 h 8738623"/>
            <a:gd name="connsiteX1" fmla="*/ 0 w 2530388"/>
            <a:gd name="connsiteY1" fmla="*/ -3 h 8738623"/>
            <a:gd name="connsiteX0" fmla="*/ 2530388 w 2530388"/>
            <a:gd name="connsiteY0" fmla="*/ 8738618 h 8738613"/>
            <a:gd name="connsiteX1" fmla="*/ 0 w 2530388"/>
            <a:gd name="connsiteY1" fmla="*/ -3 h 87386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530388" h="8738613">
              <a:moveTo>
                <a:pt x="2530388" y="8738618"/>
              </a:moveTo>
              <a:cubicBezTo>
                <a:pt x="1764182" y="4602594"/>
                <a:pt x="816346" y="1633213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20</xdr:col>
      <xdr:colOff>228600</xdr:colOff>
      <xdr:row>17</xdr:row>
      <xdr:rowOff>1104900</xdr:rowOff>
    </xdr:from>
    <xdr:ext cx="1015715" cy="666750"/>
    <xdr:sp macro="" textlink="">
      <xdr:nvSpPr>
        <xdr:cNvPr id="81" name="Text Box 91">
          <a:extLst>
            <a:ext uri="{FF2B5EF4-FFF2-40B4-BE49-F238E27FC236}">
              <a16:creationId xmlns:a16="http://schemas.microsoft.com/office/drawing/2014/main" id="{6F0A85F6-3AEA-4AF3-A3D9-A28C27339B8B}"/>
            </a:ext>
          </a:extLst>
        </xdr:cNvPr>
        <xdr:cNvSpPr txBox="1">
          <a:spLocks noChangeArrowheads="1"/>
        </xdr:cNvSpPr>
      </xdr:nvSpPr>
      <xdr:spPr bwMode="auto">
        <a:xfrm>
          <a:off x="6572250" y="6296025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E4FBA85-88BB-4161-900E-D4400C64BA7D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15</xdr:row>
      <xdr:rowOff>476250</xdr:rowOff>
    </xdr:from>
    <xdr:to>
      <xdr:col>8</xdr:col>
      <xdr:colOff>28575</xdr:colOff>
      <xdr:row>15</xdr:row>
      <xdr:rowOff>781050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A94632F8-CB40-4B61-AD29-EB4B3A9CA617}"/>
            </a:ext>
          </a:extLst>
        </xdr:cNvPr>
        <xdr:cNvGrpSpPr>
          <a:grpSpLocks/>
        </xdr:cNvGrpSpPr>
      </xdr:nvGrpSpPr>
      <xdr:grpSpPr bwMode="auto">
        <a:xfrm>
          <a:off x="1162050" y="5591175"/>
          <a:ext cx="1000125" cy="304800"/>
          <a:chOff x="110" y="567"/>
          <a:chExt cx="105" cy="32"/>
        </a:xfrm>
      </xdr:grpSpPr>
      <xdr:sp macro="" textlink="">
        <xdr:nvSpPr>
          <xdr:cNvPr id="1027" name="Line 3">
            <a:extLst>
              <a:ext uri="{FF2B5EF4-FFF2-40B4-BE49-F238E27FC236}">
                <a16:creationId xmlns:a16="http://schemas.microsoft.com/office/drawing/2014/main" id="{07224613-B475-4734-994A-356C28E109A2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Freeform 4">
            <a:extLst>
              <a:ext uri="{FF2B5EF4-FFF2-40B4-BE49-F238E27FC236}">
                <a16:creationId xmlns:a16="http://schemas.microsoft.com/office/drawing/2014/main" id="{8F88F75E-B81A-4D59-A411-CFF9128B1B27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9" name="Freeform 5">
            <a:extLst>
              <a:ext uri="{FF2B5EF4-FFF2-40B4-BE49-F238E27FC236}">
                <a16:creationId xmlns:a16="http://schemas.microsoft.com/office/drawing/2014/main" id="{4D03A63F-0FE1-42AE-84B2-DC4FCA6F840B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F6F331B5-26D6-4253-B7B3-8764BAF650C9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Freeform 7">
            <a:extLst>
              <a:ext uri="{FF2B5EF4-FFF2-40B4-BE49-F238E27FC236}">
                <a16:creationId xmlns:a16="http://schemas.microsoft.com/office/drawing/2014/main" id="{EC5A414A-A2BD-4F33-8590-F1350A62AEE5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2" name="Freeform 8">
            <a:extLst>
              <a:ext uri="{FF2B5EF4-FFF2-40B4-BE49-F238E27FC236}">
                <a16:creationId xmlns:a16="http://schemas.microsoft.com/office/drawing/2014/main" id="{9D33E59F-B2C0-4DA2-98D8-C7257B279832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34F04846-2C51-4B75-865E-B8A4BD74ACDB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Freeform 10">
            <a:extLst>
              <a:ext uri="{FF2B5EF4-FFF2-40B4-BE49-F238E27FC236}">
                <a16:creationId xmlns:a16="http://schemas.microsoft.com/office/drawing/2014/main" id="{ECE3C813-1735-4747-A778-0ECAF643C045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969DE81F-4DD5-4844-8E5E-17F430CB31F8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036" name="Freeform 12">
          <a:extLst>
            <a:ext uri="{FF2B5EF4-FFF2-40B4-BE49-F238E27FC236}">
              <a16:creationId xmlns:a16="http://schemas.microsoft.com/office/drawing/2014/main" id="{09A3B0BA-B57C-4A70-A57B-F174744762A5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4A4A113E-6CF7-4D23-8178-9A3188AE36F2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C21D9202-B6F1-46D7-ADF5-94D53DE6373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D6BB4873-D4C5-4151-9E4C-CB4F19C1DE8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EC4161C2-91A7-4F79-AA4D-10059063486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703D1569-719B-425B-A88F-25243CCD77F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42" name="Group 18">
          <a:extLst>
            <a:ext uri="{FF2B5EF4-FFF2-40B4-BE49-F238E27FC236}">
              <a16:creationId xmlns:a16="http://schemas.microsoft.com/office/drawing/2014/main" id="{39C8537D-F6BB-4C9D-99EE-E2B8E51403C4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21756695-F3CC-478D-80FC-F411EFE4FCF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FBA4E941-201E-4B1C-88E7-7A8B3D56ACA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0B05A20C-A029-4894-B810-D6880C2AD563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0A2B2D75-AEB6-4D50-BAF8-588F2BF40020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CCFD18CD-DA50-430E-A1C4-3A9A32A40E2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DDAE9A9D-D85B-4314-B62D-494554F7725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819150</xdr:rowOff>
    </xdr:from>
    <xdr:to>
      <xdr:col>8</xdr:col>
      <xdr:colOff>28575</xdr:colOff>
      <xdr:row>15</xdr:row>
      <xdr:rowOff>1114425</xdr:rowOff>
    </xdr:to>
    <xdr:grpSp>
      <xdr:nvGrpSpPr>
        <xdr:cNvPr id="1123" name="Group 99">
          <a:extLst>
            <a:ext uri="{FF2B5EF4-FFF2-40B4-BE49-F238E27FC236}">
              <a16:creationId xmlns:a16="http://schemas.microsoft.com/office/drawing/2014/main" id="{554F96B7-1F36-43FD-9CE8-24F1F5E25451}"/>
            </a:ext>
          </a:extLst>
        </xdr:cNvPr>
        <xdr:cNvGrpSpPr>
          <a:grpSpLocks/>
        </xdr:cNvGrpSpPr>
      </xdr:nvGrpSpPr>
      <xdr:grpSpPr bwMode="auto">
        <a:xfrm>
          <a:off x="1152525" y="5934075"/>
          <a:ext cx="1009650" cy="295275"/>
          <a:chOff x="124" y="623"/>
          <a:chExt cx="106" cy="31"/>
        </a:xfrm>
      </xdr:grpSpPr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388EF7C8-53BE-40F2-8BF2-6C6B31836C8C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Freeform 31">
            <a:extLst>
              <a:ext uri="{FF2B5EF4-FFF2-40B4-BE49-F238E27FC236}">
                <a16:creationId xmlns:a16="http://schemas.microsoft.com/office/drawing/2014/main" id="{96EAFF02-161C-4E2C-B53E-3F9E64B360DB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6" name="Freeform 32">
            <a:extLst>
              <a:ext uri="{FF2B5EF4-FFF2-40B4-BE49-F238E27FC236}">
                <a16:creationId xmlns:a16="http://schemas.microsoft.com/office/drawing/2014/main" id="{22AA26E5-80F8-4B40-B951-1ECC762442CE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7" name="Line 33">
            <a:extLst>
              <a:ext uri="{FF2B5EF4-FFF2-40B4-BE49-F238E27FC236}">
                <a16:creationId xmlns:a16="http://schemas.microsoft.com/office/drawing/2014/main" id="{9BF18BD6-B6DB-4E79-BBB3-C02673BDA8F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8" name="Freeform 34">
            <a:extLst>
              <a:ext uri="{FF2B5EF4-FFF2-40B4-BE49-F238E27FC236}">
                <a16:creationId xmlns:a16="http://schemas.microsoft.com/office/drawing/2014/main" id="{6F615ABE-0021-4C9A-864C-E65F17541B7A}"/>
              </a:ext>
            </a:extLst>
          </xdr:cNvPr>
          <xdr:cNvSpPr>
            <a:spLocks/>
          </xdr:cNvSpPr>
        </xdr:nvSpPr>
        <xdr:spPr bwMode="auto">
          <a:xfrm rot="-10800000">
            <a:off x="194" y="64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9" name="Freeform 35">
            <a:extLst>
              <a:ext uri="{FF2B5EF4-FFF2-40B4-BE49-F238E27FC236}">
                <a16:creationId xmlns:a16="http://schemas.microsoft.com/office/drawing/2014/main" id="{040B1B2B-7A9B-4D6C-AF72-2BE9E86F48BF}"/>
              </a:ext>
            </a:extLst>
          </xdr:cNvPr>
          <xdr:cNvSpPr>
            <a:spLocks/>
          </xdr:cNvSpPr>
        </xdr:nvSpPr>
        <xdr:spPr bwMode="auto">
          <a:xfrm rot="-10800000">
            <a:off x="187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3D836944-C01A-43BF-9F62-1F532797A8FE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Freeform 37">
            <a:extLst>
              <a:ext uri="{FF2B5EF4-FFF2-40B4-BE49-F238E27FC236}">
                <a16:creationId xmlns:a16="http://schemas.microsoft.com/office/drawing/2014/main" id="{3D677DED-9178-4181-B581-9B6518BE54FD}"/>
              </a:ext>
            </a:extLst>
          </xdr:cNvPr>
          <xdr:cNvSpPr>
            <a:spLocks/>
          </xdr:cNvSpPr>
        </xdr:nvSpPr>
        <xdr:spPr bwMode="auto">
          <a:xfrm rot="-10800000">
            <a:off x="183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1200150</xdr:rowOff>
    </xdr:from>
    <xdr:to>
      <xdr:col>7</xdr:col>
      <xdr:colOff>200025</xdr:colOff>
      <xdr:row>15</xdr:row>
      <xdr:rowOff>1257300</xdr:rowOff>
    </xdr:to>
    <xdr:grpSp>
      <xdr:nvGrpSpPr>
        <xdr:cNvPr id="1062" name="Group 38">
          <a:extLst>
            <a:ext uri="{FF2B5EF4-FFF2-40B4-BE49-F238E27FC236}">
              <a16:creationId xmlns:a16="http://schemas.microsoft.com/office/drawing/2014/main" id="{9FBA2B38-7F80-4E1D-B859-5EF69F78C2AC}"/>
            </a:ext>
          </a:extLst>
        </xdr:cNvPr>
        <xdr:cNvGrpSpPr>
          <a:grpSpLocks/>
        </xdr:cNvGrpSpPr>
      </xdr:nvGrpSpPr>
      <xdr:grpSpPr bwMode="auto">
        <a:xfrm>
          <a:off x="1285875" y="6315075"/>
          <a:ext cx="733425" cy="57150"/>
          <a:chOff x="123" y="549"/>
          <a:chExt cx="77" cy="6"/>
        </a:xfrm>
      </xdr:grpSpPr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40B7270C-78F4-4FEA-9EFA-8074ADB5E54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02A27C32-C19C-432F-83DB-40DA8BC7EA4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A91450B4-532C-4E77-A16F-053B1D977CE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15</xdr:row>
      <xdr:rowOff>285750</xdr:rowOff>
    </xdr:from>
    <xdr:to>
      <xdr:col>11</xdr:col>
      <xdr:colOff>152400</xdr:colOff>
      <xdr:row>15</xdr:row>
      <xdr:rowOff>1295400</xdr:rowOff>
    </xdr:to>
    <xdr:grpSp>
      <xdr:nvGrpSpPr>
        <xdr:cNvPr id="1124" name="Group 100">
          <a:extLst>
            <a:ext uri="{FF2B5EF4-FFF2-40B4-BE49-F238E27FC236}">
              <a16:creationId xmlns:a16="http://schemas.microsoft.com/office/drawing/2014/main" id="{3822AF8C-0AE8-41D8-8E79-59F01F742A37}"/>
            </a:ext>
          </a:extLst>
        </xdr:cNvPr>
        <xdr:cNvGrpSpPr>
          <a:grpSpLocks/>
        </xdr:cNvGrpSpPr>
      </xdr:nvGrpSpPr>
      <xdr:grpSpPr bwMode="auto">
        <a:xfrm>
          <a:off x="2924175" y="5400675"/>
          <a:ext cx="304800" cy="1009650"/>
          <a:chOff x="305" y="567"/>
          <a:chExt cx="32" cy="106"/>
        </a:xfrm>
      </xdr:grpSpPr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8AEC80B6-747D-41B8-84D2-7175654DD515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D953D0AF-2674-4D5D-9FAC-B688230A263F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" name="Freeform 45">
            <a:extLst>
              <a:ext uri="{FF2B5EF4-FFF2-40B4-BE49-F238E27FC236}">
                <a16:creationId xmlns:a16="http://schemas.microsoft.com/office/drawing/2014/main" id="{147D92DB-658C-490A-B113-BDCB98D05118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E86AE082-CEE6-4FEC-BA54-402CD5B70896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56DF3825-C86E-4D30-88EF-4F6584823EAF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Freeform 48">
            <a:extLst>
              <a:ext uri="{FF2B5EF4-FFF2-40B4-BE49-F238E27FC236}">
                <a16:creationId xmlns:a16="http://schemas.microsoft.com/office/drawing/2014/main" id="{23CC0303-0F49-4330-8889-352F8E5CB5CB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CE26782F-0C62-4908-9921-E4B9D5AEE15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4" name="Freeform 50">
            <a:extLst>
              <a:ext uri="{FF2B5EF4-FFF2-40B4-BE49-F238E27FC236}">
                <a16:creationId xmlns:a16="http://schemas.microsoft.com/office/drawing/2014/main" id="{22B28F1A-B94F-49AA-84DA-8FCDE2302A6B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285750</xdr:colOff>
      <xdr:row>15</xdr:row>
      <xdr:rowOff>409575</xdr:rowOff>
    </xdr:from>
    <xdr:to>
      <xdr:col>13</xdr:col>
      <xdr:colOff>28575</xdr:colOff>
      <xdr:row>15</xdr:row>
      <xdr:rowOff>1143000</xdr:rowOff>
    </xdr:to>
    <xdr:grpSp>
      <xdr:nvGrpSpPr>
        <xdr:cNvPr id="1075" name="Group 51">
          <a:extLst>
            <a:ext uri="{FF2B5EF4-FFF2-40B4-BE49-F238E27FC236}">
              <a16:creationId xmlns:a16="http://schemas.microsoft.com/office/drawing/2014/main" id="{26DD4200-3D11-493F-8C50-A7AA517F18C4}"/>
            </a:ext>
          </a:extLst>
        </xdr:cNvPr>
        <xdr:cNvGrpSpPr>
          <a:grpSpLocks/>
        </xdr:cNvGrpSpPr>
      </xdr:nvGrpSpPr>
      <xdr:grpSpPr bwMode="auto">
        <a:xfrm rot="5400000">
          <a:off x="3338512" y="5862638"/>
          <a:ext cx="733425" cy="57150"/>
          <a:chOff x="123" y="549"/>
          <a:chExt cx="77" cy="6"/>
        </a:xfrm>
      </xdr:grpSpPr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7AE7CA58-CD34-4EE6-A466-118F683FB23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32377655-AE0D-4D4A-82A5-8674C4632CC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8" name="Freeform 54">
            <a:extLst>
              <a:ext uri="{FF2B5EF4-FFF2-40B4-BE49-F238E27FC236}">
                <a16:creationId xmlns:a16="http://schemas.microsoft.com/office/drawing/2014/main" id="{1A647027-0725-44EF-B81C-F6307760E106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304800</xdr:rowOff>
    </xdr:from>
    <xdr:to>
      <xdr:col>12</xdr:col>
      <xdr:colOff>161925</xdr:colOff>
      <xdr:row>15</xdr:row>
      <xdr:rowOff>1304925</xdr:rowOff>
    </xdr:to>
    <xdr:grpSp>
      <xdr:nvGrpSpPr>
        <xdr:cNvPr id="1079" name="Group 55">
          <a:extLst>
            <a:ext uri="{FF2B5EF4-FFF2-40B4-BE49-F238E27FC236}">
              <a16:creationId xmlns:a16="http://schemas.microsoft.com/office/drawing/2014/main" id="{0C1DADBD-F0FE-4660-BDF6-0E41736CEF88}"/>
            </a:ext>
          </a:extLst>
        </xdr:cNvPr>
        <xdr:cNvGrpSpPr>
          <a:grpSpLocks/>
        </xdr:cNvGrpSpPr>
      </xdr:nvGrpSpPr>
      <xdr:grpSpPr bwMode="auto">
        <a:xfrm rot="5400000">
          <a:off x="2900362" y="5767388"/>
          <a:ext cx="1000125" cy="304800"/>
          <a:chOff x="110" y="567"/>
          <a:chExt cx="105" cy="32"/>
        </a:xfrm>
      </xdr:grpSpPr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id="{900280A2-5452-4520-A30A-E905C806D41F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Freeform 57">
            <a:extLst>
              <a:ext uri="{FF2B5EF4-FFF2-40B4-BE49-F238E27FC236}">
                <a16:creationId xmlns:a16="http://schemas.microsoft.com/office/drawing/2014/main" id="{FBAE6288-DBB1-4021-A8B9-342C4A3A1B87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2" name="Freeform 58">
            <a:extLst>
              <a:ext uri="{FF2B5EF4-FFF2-40B4-BE49-F238E27FC236}">
                <a16:creationId xmlns:a16="http://schemas.microsoft.com/office/drawing/2014/main" id="{6496E91F-91E8-4BB1-B1E9-143963C593FA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3" name="Line 59">
            <a:extLst>
              <a:ext uri="{FF2B5EF4-FFF2-40B4-BE49-F238E27FC236}">
                <a16:creationId xmlns:a16="http://schemas.microsoft.com/office/drawing/2014/main" id="{0ACE7346-1D25-49E7-8B06-B625B67A913B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Freeform 60">
            <a:extLst>
              <a:ext uri="{FF2B5EF4-FFF2-40B4-BE49-F238E27FC236}">
                <a16:creationId xmlns:a16="http://schemas.microsoft.com/office/drawing/2014/main" id="{FE8789F2-ECAD-476C-A804-62F046AB04E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5" name="Freeform 61">
            <a:extLst>
              <a:ext uri="{FF2B5EF4-FFF2-40B4-BE49-F238E27FC236}">
                <a16:creationId xmlns:a16="http://schemas.microsoft.com/office/drawing/2014/main" id="{B6D53B6B-8568-42A6-8D2E-5FD0454F2EEC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6" name="Line 62">
            <a:extLst>
              <a:ext uri="{FF2B5EF4-FFF2-40B4-BE49-F238E27FC236}">
                <a16:creationId xmlns:a16="http://schemas.microsoft.com/office/drawing/2014/main" id="{F1F3A10B-2B78-49BB-8677-2FCF1487A64E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" name="Freeform 63">
            <a:extLst>
              <a:ext uri="{FF2B5EF4-FFF2-40B4-BE49-F238E27FC236}">
                <a16:creationId xmlns:a16="http://schemas.microsoft.com/office/drawing/2014/main" id="{E57FC8B5-0EBF-45DF-B333-08D84FC1D9C7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088" name="Freeform 64">
          <a:extLst>
            <a:ext uri="{FF2B5EF4-FFF2-40B4-BE49-F238E27FC236}">
              <a16:creationId xmlns:a16="http://schemas.microsoft.com/office/drawing/2014/main" id="{C656C9E1-E35E-458F-BA65-6FB148B11987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089" name="Group 65">
          <a:extLst>
            <a:ext uri="{FF2B5EF4-FFF2-40B4-BE49-F238E27FC236}">
              <a16:creationId xmlns:a16="http://schemas.microsoft.com/office/drawing/2014/main" id="{B91C983C-EF72-4EB7-9006-7D8420567E05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D87E8985-7E0D-45B5-B961-D2101B10579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Line 67">
            <a:extLst>
              <a:ext uri="{FF2B5EF4-FFF2-40B4-BE49-F238E27FC236}">
                <a16:creationId xmlns:a16="http://schemas.microsoft.com/office/drawing/2014/main" id="{AEC0D72A-4989-4538-A16F-329A4FC7892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88EBCBB7-34E3-49B0-95AC-06CF190574E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36709D2E-DCBE-4BB1-8651-ABA3711A888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094" name="Group 70">
          <a:extLst>
            <a:ext uri="{FF2B5EF4-FFF2-40B4-BE49-F238E27FC236}">
              <a16:creationId xmlns:a16="http://schemas.microsoft.com/office/drawing/2014/main" id="{E227A963-688B-4427-941A-911FAC696352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E6B8675C-2FCA-485C-BE9B-8371D5FB427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09D5B886-A8FB-470C-A0F2-D7CC3CC9608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097" name="Group 73">
          <a:extLst>
            <a:ext uri="{FF2B5EF4-FFF2-40B4-BE49-F238E27FC236}">
              <a16:creationId xmlns:a16="http://schemas.microsoft.com/office/drawing/2014/main" id="{14C06905-EC32-4519-9F6D-67F3E07CD669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AC9A0CE8-7268-48EB-A003-0DEFF8A2EE6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Line 75">
            <a:extLst>
              <a:ext uri="{FF2B5EF4-FFF2-40B4-BE49-F238E27FC236}">
                <a16:creationId xmlns:a16="http://schemas.microsoft.com/office/drawing/2014/main" id="{17504685-A115-450C-92EB-0D110C2F26F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100" name="Group 76">
          <a:extLst>
            <a:ext uri="{FF2B5EF4-FFF2-40B4-BE49-F238E27FC236}">
              <a16:creationId xmlns:a16="http://schemas.microsoft.com/office/drawing/2014/main" id="{E6069C60-6119-4E43-827C-994931874E66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D776E61E-0129-4C92-954B-CD6454B014E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74C77F44-27B3-4AA6-B598-B480B8A595A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5697DC00-16FF-4C96-938F-93C03949FCD9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D4405DB7-77FE-44A2-B446-367FD78F5E1C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35BB7921-5023-4926-9CB9-3C5B9EB23877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220DB92F-E30F-4346-AAC8-22F0908BA3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80D283F3-F850-4655-9623-2EE3B229CF9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7</xdr:row>
      <xdr:rowOff>476250</xdr:rowOff>
    </xdr:from>
    <xdr:to>
      <xdr:col>5</xdr:col>
      <xdr:colOff>0</xdr:colOff>
      <xdr:row>7</xdr:row>
      <xdr:rowOff>1647825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E96E79C1-FD5D-4C86-937E-06D48F63C9F4}"/>
            </a:ext>
          </a:extLst>
        </xdr:cNvPr>
        <xdr:cNvSpPr txBox="1">
          <a:spLocks noChangeArrowheads="1"/>
        </xdr:cNvSpPr>
      </xdr:nvSpPr>
      <xdr:spPr bwMode="auto">
        <a:xfrm>
          <a:off x="942975" y="211455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20</xdr:col>
      <xdr:colOff>76200</xdr:colOff>
      <xdr:row>7</xdr:row>
      <xdr:rowOff>304800</xdr:rowOff>
    </xdr:from>
    <xdr:to>
      <xdr:col>21</xdr:col>
      <xdr:colOff>9525</xdr:colOff>
      <xdr:row>8</xdr:row>
      <xdr:rowOff>19050</xdr:rowOff>
    </xdr:to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B1CB5F6E-DD7D-4E42-BF38-829FA98C2D1E}"/>
            </a:ext>
          </a:extLst>
        </xdr:cNvPr>
        <xdr:cNvSpPr txBox="1">
          <a:spLocks noChangeArrowheads="1"/>
        </xdr:cNvSpPr>
      </xdr:nvSpPr>
      <xdr:spPr bwMode="auto">
        <a:xfrm>
          <a:off x="5981700" y="19431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本通り６丁目</a:t>
          </a:r>
        </a:p>
      </xdr:txBody>
    </xdr:sp>
    <xdr:clientData/>
  </xdr:twoCellAnchor>
  <xdr:twoCellAnchor>
    <xdr:from>
      <xdr:col>9</xdr:col>
      <xdr:colOff>295275</xdr:colOff>
      <xdr:row>15</xdr:row>
      <xdr:rowOff>419100</xdr:rowOff>
    </xdr:from>
    <xdr:to>
      <xdr:col>10</xdr:col>
      <xdr:colOff>38100</xdr:colOff>
      <xdr:row>15</xdr:row>
      <xdr:rowOff>1152525</xdr:rowOff>
    </xdr:to>
    <xdr:grpSp>
      <xdr:nvGrpSpPr>
        <xdr:cNvPr id="1110" name="Group 86">
          <a:extLst>
            <a:ext uri="{FF2B5EF4-FFF2-40B4-BE49-F238E27FC236}">
              <a16:creationId xmlns:a16="http://schemas.microsoft.com/office/drawing/2014/main" id="{17414AC9-C141-4911-ACFA-6A67FE358F9D}"/>
            </a:ext>
          </a:extLst>
        </xdr:cNvPr>
        <xdr:cNvGrpSpPr>
          <a:grpSpLocks/>
        </xdr:cNvGrpSpPr>
      </xdr:nvGrpSpPr>
      <xdr:grpSpPr bwMode="auto">
        <a:xfrm rot="5400000">
          <a:off x="2405062" y="5872163"/>
          <a:ext cx="733425" cy="57150"/>
          <a:chOff x="123" y="549"/>
          <a:chExt cx="77" cy="6"/>
        </a:xfrm>
      </xdr:grpSpPr>
      <xdr:sp macro="" textlink="">
        <xdr:nvSpPr>
          <xdr:cNvPr id="1111" name="Line 87">
            <a:extLst>
              <a:ext uri="{FF2B5EF4-FFF2-40B4-BE49-F238E27FC236}">
                <a16:creationId xmlns:a16="http://schemas.microsoft.com/office/drawing/2014/main" id="{064378A3-AFF1-4BA1-A718-6D1130A2B6C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61803C1D-9D77-450C-BD01-A2664373948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3" name="Freeform 89">
            <a:extLst>
              <a:ext uri="{FF2B5EF4-FFF2-40B4-BE49-F238E27FC236}">
                <a16:creationId xmlns:a16="http://schemas.microsoft.com/office/drawing/2014/main" id="{D5B5B1AA-F417-4633-BEF2-3D5159DEA8C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5</xdr:col>
      <xdr:colOff>9525</xdr:colOff>
      <xdr:row>4</xdr:row>
      <xdr:rowOff>161925</xdr:rowOff>
    </xdr:from>
    <xdr:to>
      <xdr:col>20</xdr:col>
      <xdr:colOff>19050</xdr:colOff>
      <xdr:row>10</xdr:row>
      <xdr:rowOff>133350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6722C9CB-25DA-4A70-8739-BD86FC047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14425"/>
          <a:ext cx="4724400" cy="299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10</xdr:row>
      <xdr:rowOff>133350</xdr:rowOff>
    </xdr:from>
    <xdr:to>
      <xdr:col>6</xdr:col>
      <xdr:colOff>200025</xdr:colOff>
      <xdr:row>13</xdr:row>
      <xdr:rowOff>28575</xdr:rowOff>
    </xdr:to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B509EA32-19EA-4B74-944B-093ADA688233}"/>
            </a:ext>
          </a:extLst>
        </xdr:cNvPr>
        <xdr:cNvSpPr txBox="1">
          <a:spLocks noChangeArrowheads="1"/>
        </xdr:cNvSpPr>
      </xdr:nvSpPr>
      <xdr:spPr bwMode="auto">
        <a:xfrm>
          <a:off x="76200" y="410527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>
    <xdr:from>
      <xdr:col>6</xdr:col>
      <xdr:colOff>38100</xdr:colOff>
      <xdr:row>15</xdr:row>
      <xdr:rowOff>123825</xdr:rowOff>
    </xdr:from>
    <xdr:to>
      <xdr:col>7</xdr:col>
      <xdr:colOff>76200</xdr:colOff>
      <xdr:row>15</xdr:row>
      <xdr:rowOff>285750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BA07B7D0-FE7A-40FB-8C27-E0ED4172457C}"/>
            </a:ext>
          </a:extLst>
        </xdr:cNvPr>
        <xdr:cNvSpPr txBox="1">
          <a:spLocks noChangeArrowheads="1"/>
        </xdr:cNvSpPr>
      </xdr:nvSpPr>
      <xdr:spPr bwMode="auto">
        <a:xfrm>
          <a:off x="1543050" y="52387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6.6m</a:t>
          </a:r>
        </a:p>
      </xdr:txBody>
    </xdr:sp>
    <xdr:clientData/>
  </xdr:twoCellAnchor>
  <xdr:twoCellAnchor>
    <xdr:from>
      <xdr:col>7</xdr:col>
      <xdr:colOff>19050</xdr:colOff>
      <xdr:row>15</xdr:row>
      <xdr:rowOff>123825</xdr:rowOff>
    </xdr:from>
    <xdr:to>
      <xdr:col>8</xdr:col>
      <xdr:colOff>57150</xdr:colOff>
      <xdr:row>15</xdr:row>
      <xdr:rowOff>285750</xdr:rowOff>
    </xdr:to>
    <xdr:sp macro="" textlink="">
      <xdr:nvSpPr>
        <xdr:cNvPr id="1118" name="Text Box 94">
          <a:extLst>
            <a:ext uri="{FF2B5EF4-FFF2-40B4-BE49-F238E27FC236}">
              <a16:creationId xmlns:a16="http://schemas.microsoft.com/office/drawing/2014/main" id="{17A9B79D-0EF4-4C91-9036-CDCE9908F739}"/>
            </a:ext>
          </a:extLst>
        </xdr:cNvPr>
        <xdr:cNvSpPr txBox="1">
          <a:spLocks noChangeArrowheads="1"/>
        </xdr:cNvSpPr>
      </xdr:nvSpPr>
      <xdr:spPr bwMode="auto">
        <a:xfrm>
          <a:off x="1838325" y="52387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6.3m</a:t>
          </a:r>
        </a:p>
      </xdr:txBody>
    </xdr:sp>
    <xdr:clientData/>
  </xdr:twoCellAnchor>
  <xdr:twoCellAnchor>
    <xdr:from>
      <xdr:col>12</xdr:col>
      <xdr:colOff>161925</xdr:colOff>
      <xdr:row>15</xdr:row>
      <xdr:rowOff>1200150</xdr:rowOff>
    </xdr:from>
    <xdr:to>
      <xdr:col>13</xdr:col>
      <xdr:colOff>200025</xdr:colOff>
      <xdr:row>15</xdr:row>
      <xdr:rowOff>1362075</xdr:rowOff>
    </xdr:to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6CBE6884-C19F-48C8-9D3C-17CD9527685E}"/>
            </a:ext>
          </a:extLst>
        </xdr:cNvPr>
        <xdr:cNvSpPr txBox="1">
          <a:spLocks noChangeArrowheads="1"/>
        </xdr:cNvSpPr>
      </xdr:nvSpPr>
      <xdr:spPr bwMode="auto">
        <a:xfrm>
          <a:off x="3552825" y="63150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27.2m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133350</xdr:rowOff>
    </xdr:from>
    <xdr:to>
      <xdr:col>23</xdr:col>
      <xdr:colOff>0</xdr:colOff>
      <xdr:row>5</xdr:row>
      <xdr:rowOff>142875</xdr:rowOff>
    </xdr:to>
    <xdr:pic>
      <xdr:nvPicPr>
        <xdr:cNvPr id="1121" name="Picture 97">
          <a:extLst>
            <a:ext uri="{FF2B5EF4-FFF2-40B4-BE49-F238E27FC236}">
              <a16:creationId xmlns:a16="http://schemas.microsoft.com/office/drawing/2014/main" id="{E36C101F-CCFD-42E0-90BD-5EE059AAC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2865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57150</xdr:colOff>
      <xdr:row>15</xdr:row>
      <xdr:rowOff>123825</xdr:rowOff>
    </xdr:from>
    <xdr:to>
      <xdr:col>6</xdr:col>
      <xdr:colOff>95250</xdr:colOff>
      <xdr:row>15</xdr:row>
      <xdr:rowOff>285750</xdr:rowOff>
    </xdr:to>
    <xdr:sp macro="" textlink="">
      <xdr:nvSpPr>
        <xdr:cNvPr id="1122" name="Text Box 98">
          <a:extLst>
            <a:ext uri="{FF2B5EF4-FFF2-40B4-BE49-F238E27FC236}">
              <a16:creationId xmlns:a16="http://schemas.microsoft.com/office/drawing/2014/main" id="{F1677101-E7B2-4D5F-836B-22F5BF090DAD}"/>
            </a:ext>
          </a:extLst>
        </xdr:cNvPr>
        <xdr:cNvSpPr txBox="1">
          <a:spLocks noChangeArrowheads="1"/>
        </xdr:cNvSpPr>
      </xdr:nvSpPr>
      <xdr:spPr bwMode="auto">
        <a:xfrm>
          <a:off x="1247775" y="52387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9.3m</a:t>
          </a:r>
        </a:p>
      </xdr:txBody>
    </xdr:sp>
    <xdr:clientData/>
  </xdr:twoCellAnchor>
  <xdr:twoCellAnchor editAs="oneCell">
    <xdr:from>
      <xdr:col>21</xdr:col>
      <xdr:colOff>219075</xdr:colOff>
      <xdr:row>15</xdr:row>
      <xdr:rowOff>400050</xdr:rowOff>
    </xdr:from>
    <xdr:to>
      <xdr:col>23</xdr:col>
      <xdr:colOff>285750</xdr:colOff>
      <xdr:row>15</xdr:row>
      <xdr:rowOff>1095375</xdr:rowOff>
    </xdr:to>
    <xdr:pic>
      <xdr:nvPicPr>
        <xdr:cNvPr id="1125" name="Picture 101">
          <a:extLst>
            <a:ext uri="{FF2B5EF4-FFF2-40B4-BE49-F238E27FC236}">
              <a16:creationId xmlns:a16="http://schemas.microsoft.com/office/drawing/2014/main" id="{E58D87F0-AAFC-4CC0-A40A-1AA4B579A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5149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171450</xdr:colOff>
      <xdr:row>15</xdr:row>
      <xdr:rowOff>1200150</xdr:rowOff>
    </xdr:from>
    <xdr:to>
      <xdr:col>10</xdr:col>
      <xdr:colOff>209550</xdr:colOff>
      <xdr:row>15</xdr:row>
      <xdr:rowOff>1362075</xdr:rowOff>
    </xdr:to>
    <xdr:sp macro="" textlink="">
      <xdr:nvSpPr>
        <xdr:cNvPr id="1162" name="Text Box 138">
          <a:extLst>
            <a:ext uri="{FF2B5EF4-FFF2-40B4-BE49-F238E27FC236}">
              <a16:creationId xmlns:a16="http://schemas.microsoft.com/office/drawing/2014/main" id="{04E0409B-4AEE-4E33-B614-7F90C166E762}"/>
            </a:ext>
          </a:extLst>
        </xdr:cNvPr>
        <xdr:cNvSpPr txBox="1">
          <a:spLocks noChangeArrowheads="1"/>
        </xdr:cNvSpPr>
      </xdr:nvSpPr>
      <xdr:spPr bwMode="auto">
        <a:xfrm>
          <a:off x="2619375" y="63150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24.0m</a:t>
          </a:r>
        </a:p>
      </xdr:txBody>
    </xdr:sp>
    <xdr:clientData/>
  </xdr:twoCellAnchor>
  <xdr:twoCellAnchor>
    <xdr:from>
      <xdr:col>9</xdr:col>
      <xdr:colOff>209550</xdr:colOff>
      <xdr:row>15</xdr:row>
      <xdr:rowOff>238125</xdr:rowOff>
    </xdr:from>
    <xdr:to>
      <xdr:col>10</xdr:col>
      <xdr:colOff>247650</xdr:colOff>
      <xdr:row>15</xdr:row>
      <xdr:rowOff>400050</xdr:rowOff>
    </xdr:to>
    <xdr:sp macro="" textlink="">
      <xdr:nvSpPr>
        <xdr:cNvPr id="1163" name="Text Box 139">
          <a:extLst>
            <a:ext uri="{FF2B5EF4-FFF2-40B4-BE49-F238E27FC236}">
              <a16:creationId xmlns:a16="http://schemas.microsoft.com/office/drawing/2014/main" id="{7BF97778-EF3F-4FFE-B04F-CEDA2FEB2EDF}"/>
            </a:ext>
          </a:extLst>
        </xdr:cNvPr>
        <xdr:cNvSpPr txBox="1">
          <a:spLocks noChangeArrowheads="1"/>
        </xdr:cNvSpPr>
      </xdr:nvSpPr>
      <xdr:spPr bwMode="auto">
        <a:xfrm>
          <a:off x="2657475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209550</xdr:colOff>
      <xdr:row>15</xdr:row>
      <xdr:rowOff>238125</xdr:rowOff>
    </xdr:from>
    <xdr:to>
      <xdr:col>13</xdr:col>
      <xdr:colOff>247650</xdr:colOff>
      <xdr:row>15</xdr:row>
      <xdr:rowOff>400050</xdr:rowOff>
    </xdr:to>
    <xdr:sp macro="" textlink="">
      <xdr:nvSpPr>
        <xdr:cNvPr id="1164" name="Text Box 140">
          <a:extLst>
            <a:ext uri="{FF2B5EF4-FFF2-40B4-BE49-F238E27FC236}">
              <a16:creationId xmlns:a16="http://schemas.microsoft.com/office/drawing/2014/main" id="{A798E576-1BB3-4257-AEE7-C3C8373E35F8}"/>
            </a:ext>
          </a:extLst>
        </xdr:cNvPr>
        <xdr:cNvSpPr txBox="1">
          <a:spLocks noChangeArrowheads="1"/>
        </xdr:cNvSpPr>
      </xdr:nvSpPr>
      <xdr:spPr bwMode="auto">
        <a:xfrm>
          <a:off x="360045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6</xdr:col>
      <xdr:colOff>28575</xdr:colOff>
      <xdr:row>15</xdr:row>
      <xdr:rowOff>1285875</xdr:rowOff>
    </xdr:from>
    <xdr:to>
      <xdr:col>7</xdr:col>
      <xdr:colOff>66675</xdr:colOff>
      <xdr:row>15</xdr:row>
      <xdr:rowOff>1447800</xdr:rowOff>
    </xdr:to>
    <xdr:sp macro="" textlink="">
      <xdr:nvSpPr>
        <xdr:cNvPr id="1165" name="Text Box 141">
          <a:extLst>
            <a:ext uri="{FF2B5EF4-FFF2-40B4-BE49-F238E27FC236}">
              <a16:creationId xmlns:a16="http://schemas.microsoft.com/office/drawing/2014/main" id="{54627DA4-74BB-4889-ABBE-E27B109C8469}"/>
            </a:ext>
          </a:extLst>
        </xdr:cNvPr>
        <xdr:cNvSpPr txBox="1">
          <a:spLocks noChangeArrowheads="1"/>
        </xdr:cNvSpPr>
      </xdr:nvSpPr>
      <xdr:spPr bwMode="auto">
        <a:xfrm>
          <a:off x="1533525" y="6400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8.7m</a:t>
          </a:r>
        </a:p>
      </xdr:txBody>
    </xdr:sp>
    <xdr:clientData/>
  </xdr:twoCellAnchor>
  <xdr:twoCellAnchor>
    <xdr:from>
      <xdr:col>7</xdr:col>
      <xdr:colOff>257175</xdr:colOff>
      <xdr:row>15</xdr:row>
      <xdr:rowOff>1171575</xdr:rowOff>
    </xdr:from>
    <xdr:to>
      <xdr:col>8</xdr:col>
      <xdr:colOff>295275</xdr:colOff>
      <xdr:row>15</xdr:row>
      <xdr:rowOff>1333500</xdr:rowOff>
    </xdr:to>
    <xdr:sp macro="" textlink="">
      <xdr:nvSpPr>
        <xdr:cNvPr id="1166" name="Text Box 142">
          <a:extLst>
            <a:ext uri="{FF2B5EF4-FFF2-40B4-BE49-F238E27FC236}">
              <a16:creationId xmlns:a16="http://schemas.microsoft.com/office/drawing/2014/main" id="{4CE4870B-B286-4C57-9165-8E91C5818FCF}"/>
            </a:ext>
          </a:extLst>
        </xdr:cNvPr>
        <xdr:cNvSpPr txBox="1">
          <a:spLocks noChangeArrowheads="1"/>
        </xdr:cNvSpPr>
      </xdr:nvSpPr>
      <xdr:spPr bwMode="auto">
        <a:xfrm>
          <a:off x="20764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5</xdr:col>
      <xdr:colOff>9525</xdr:colOff>
      <xdr:row>15</xdr:row>
      <xdr:rowOff>304800</xdr:rowOff>
    </xdr:from>
    <xdr:to>
      <xdr:col>7</xdr:col>
      <xdr:colOff>304800</xdr:colOff>
      <xdr:row>15</xdr:row>
      <xdr:rowOff>361950</xdr:rowOff>
    </xdr:to>
    <xdr:grpSp>
      <xdr:nvGrpSpPr>
        <xdr:cNvPr id="1175" name="Group 151">
          <a:extLst>
            <a:ext uri="{FF2B5EF4-FFF2-40B4-BE49-F238E27FC236}">
              <a16:creationId xmlns:a16="http://schemas.microsoft.com/office/drawing/2014/main" id="{07C33AF8-E4D0-4AF8-A876-5857D76CBE52}"/>
            </a:ext>
          </a:extLst>
        </xdr:cNvPr>
        <xdr:cNvGrpSpPr>
          <a:grpSpLocks/>
        </xdr:cNvGrpSpPr>
      </xdr:nvGrpSpPr>
      <xdr:grpSpPr bwMode="auto">
        <a:xfrm>
          <a:off x="1200150" y="5419725"/>
          <a:ext cx="923925" cy="57150"/>
          <a:chOff x="126" y="569"/>
          <a:chExt cx="97" cy="6"/>
        </a:xfrm>
      </xdr:grpSpPr>
      <xdr:sp macro="" textlink="">
        <xdr:nvSpPr>
          <xdr:cNvPr id="1168" name="Freeform 144">
            <a:extLst>
              <a:ext uri="{FF2B5EF4-FFF2-40B4-BE49-F238E27FC236}">
                <a16:creationId xmlns:a16="http://schemas.microsoft.com/office/drawing/2014/main" id="{F8D6B909-103C-4419-ADD1-5C9D346392F0}"/>
              </a:ext>
            </a:extLst>
          </xdr:cNvPr>
          <xdr:cNvSpPr>
            <a:spLocks/>
          </xdr:cNvSpPr>
        </xdr:nvSpPr>
        <xdr:spPr bwMode="auto">
          <a:xfrm>
            <a:off x="216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9" name="Freeform 145">
            <a:extLst>
              <a:ext uri="{FF2B5EF4-FFF2-40B4-BE49-F238E27FC236}">
                <a16:creationId xmlns:a16="http://schemas.microsoft.com/office/drawing/2014/main" id="{2072A2C0-CAAD-46E5-915D-9D0D3C86F7F2}"/>
              </a:ext>
            </a:extLst>
          </xdr:cNvPr>
          <xdr:cNvSpPr>
            <a:spLocks/>
          </xdr:cNvSpPr>
        </xdr:nvSpPr>
        <xdr:spPr bwMode="auto">
          <a:xfrm rot="-10800000">
            <a:off x="185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0" name="Line 146">
            <a:extLst>
              <a:ext uri="{FF2B5EF4-FFF2-40B4-BE49-F238E27FC236}">
                <a16:creationId xmlns:a16="http://schemas.microsoft.com/office/drawing/2014/main" id="{71F6032E-5362-48FC-9958-DDD737DF000B}"/>
              </a:ext>
            </a:extLst>
          </xdr:cNvPr>
          <xdr:cNvSpPr>
            <a:spLocks noChangeShapeType="1"/>
          </xdr:cNvSpPr>
        </xdr:nvSpPr>
        <xdr:spPr bwMode="auto">
          <a:xfrm>
            <a:off x="189" y="572"/>
            <a:ext cx="3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1" name="Freeform 147">
            <a:extLst>
              <a:ext uri="{FF2B5EF4-FFF2-40B4-BE49-F238E27FC236}">
                <a16:creationId xmlns:a16="http://schemas.microsoft.com/office/drawing/2014/main" id="{CACDBD82-4018-498D-97CA-48820CF182DE}"/>
              </a:ext>
            </a:extLst>
          </xdr:cNvPr>
          <xdr:cNvSpPr>
            <a:spLocks/>
          </xdr:cNvSpPr>
        </xdr:nvSpPr>
        <xdr:spPr bwMode="auto">
          <a:xfrm>
            <a:off x="157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2" name="Freeform 148">
            <a:extLst>
              <a:ext uri="{FF2B5EF4-FFF2-40B4-BE49-F238E27FC236}">
                <a16:creationId xmlns:a16="http://schemas.microsoft.com/office/drawing/2014/main" id="{FF46398F-BCD4-4FEF-A017-7A51A12B8111}"/>
              </a:ext>
            </a:extLst>
          </xdr:cNvPr>
          <xdr:cNvSpPr>
            <a:spLocks/>
          </xdr:cNvSpPr>
        </xdr:nvSpPr>
        <xdr:spPr bwMode="auto">
          <a:xfrm rot="-10800000">
            <a:off x="126" y="56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3" name="Line 149">
            <a:extLst>
              <a:ext uri="{FF2B5EF4-FFF2-40B4-BE49-F238E27FC236}">
                <a16:creationId xmlns:a16="http://schemas.microsoft.com/office/drawing/2014/main" id="{6F751B17-9BAD-4980-B147-F805EBC8AF93}"/>
              </a:ext>
            </a:extLst>
          </xdr:cNvPr>
          <xdr:cNvSpPr>
            <a:spLocks noChangeShapeType="1"/>
          </xdr:cNvSpPr>
        </xdr:nvSpPr>
        <xdr:spPr bwMode="auto">
          <a:xfrm>
            <a:off x="130" y="572"/>
            <a:ext cx="3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4" name="Line 150">
            <a:extLst>
              <a:ext uri="{FF2B5EF4-FFF2-40B4-BE49-F238E27FC236}">
                <a16:creationId xmlns:a16="http://schemas.microsoft.com/office/drawing/2014/main" id="{E83C32D0-CF71-4DA2-BA53-CFB5C2BFF986}"/>
              </a:ext>
            </a:extLst>
          </xdr:cNvPr>
          <xdr:cNvSpPr>
            <a:spLocks noChangeShapeType="1"/>
          </xdr:cNvSpPr>
        </xdr:nvSpPr>
        <xdr:spPr bwMode="auto">
          <a:xfrm>
            <a:off x="163" y="572"/>
            <a:ext cx="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47625</xdr:colOff>
      <xdr:row>15</xdr:row>
      <xdr:rowOff>266700</xdr:rowOff>
    </xdr:from>
    <xdr:to>
      <xdr:col>9</xdr:col>
      <xdr:colOff>85725</xdr:colOff>
      <xdr:row>15</xdr:row>
      <xdr:rowOff>428625</xdr:rowOff>
    </xdr:to>
    <xdr:sp macro="" textlink="">
      <xdr:nvSpPr>
        <xdr:cNvPr id="1176" name="Text Box 152">
          <a:extLst>
            <a:ext uri="{FF2B5EF4-FFF2-40B4-BE49-F238E27FC236}">
              <a16:creationId xmlns:a16="http://schemas.microsoft.com/office/drawing/2014/main" id="{1AAD8924-F1F3-4F71-8ABF-83857B995BAE}"/>
            </a:ext>
          </a:extLst>
        </xdr:cNvPr>
        <xdr:cNvSpPr txBox="1">
          <a:spLocks noChangeArrowheads="1"/>
        </xdr:cNvSpPr>
      </xdr:nvSpPr>
      <xdr:spPr bwMode="auto">
        <a:xfrm>
          <a:off x="2181225" y="53816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T18" sqref="T18"/>
    </sheetView>
  </sheetViews>
  <sheetFormatPr defaultRowHeight="12" x14ac:dyDescent="0.15"/>
  <cols>
    <col min="1" max="1" width="7.5" style="38" bestFit="1" customWidth="1"/>
    <col min="2" max="2" width="2.25" style="47" bestFit="1" customWidth="1"/>
    <col min="3" max="3" width="5.25" style="38" bestFit="1" customWidth="1"/>
    <col min="4" max="4" width="2.25" style="46" bestFit="1" customWidth="1"/>
    <col min="5" max="24" width="4.125" style="24" customWidth="1"/>
    <col min="25" max="16384" width="9" style="24"/>
  </cols>
  <sheetData>
    <row r="1" spans="1:30" ht="15" customHeight="1" x14ac:dyDescent="0.15">
      <c r="A1" s="53" t="s">
        <v>0</v>
      </c>
      <c r="B1" s="82"/>
      <c r="C1" s="82"/>
      <c r="D1" s="82"/>
      <c r="E1" s="54"/>
      <c r="F1" s="97" t="s">
        <v>53</v>
      </c>
      <c r="G1" s="82"/>
      <c r="H1" s="80" t="s">
        <v>52</v>
      </c>
      <c r="I1" s="80"/>
      <c r="J1" s="80"/>
      <c r="K1" s="80"/>
      <c r="L1" s="82" t="s">
        <v>55</v>
      </c>
      <c r="M1" s="54"/>
      <c r="N1" s="85" t="s">
        <v>48</v>
      </c>
      <c r="O1" s="54"/>
      <c r="P1" s="87">
        <v>46065</v>
      </c>
      <c r="Q1" s="88"/>
      <c r="R1" s="88"/>
      <c r="S1" s="89"/>
      <c r="T1" s="86" t="s">
        <v>3</v>
      </c>
      <c r="U1" s="86"/>
      <c r="V1" s="86" t="s">
        <v>61</v>
      </c>
      <c r="W1" s="86"/>
      <c r="X1" s="86"/>
    </row>
    <row r="2" spans="1:30" ht="7.5" customHeight="1" x14ac:dyDescent="0.15">
      <c r="A2" s="96"/>
      <c r="B2" s="83"/>
      <c r="C2" s="83"/>
      <c r="D2" s="83"/>
      <c r="E2" s="84"/>
      <c r="F2" s="96"/>
      <c r="G2" s="83"/>
      <c r="H2" s="81"/>
      <c r="I2" s="81"/>
      <c r="J2" s="81"/>
      <c r="K2" s="81"/>
      <c r="L2" s="83"/>
      <c r="M2" s="84"/>
      <c r="N2" s="63"/>
      <c r="O2" s="65"/>
      <c r="P2" s="90"/>
      <c r="Q2" s="91"/>
      <c r="R2" s="91"/>
      <c r="S2" s="92"/>
      <c r="T2" s="53" t="s">
        <v>7</v>
      </c>
      <c r="U2" s="54"/>
      <c r="V2" s="57">
        <v>45992</v>
      </c>
      <c r="W2" s="58"/>
      <c r="X2" s="59"/>
    </row>
    <row r="3" spans="1:30" ht="7.5" customHeight="1" x14ac:dyDescent="0.15">
      <c r="A3" s="63" t="s">
        <v>4</v>
      </c>
      <c r="B3" s="64"/>
      <c r="C3" s="64"/>
      <c r="D3" s="64"/>
      <c r="E3" s="65"/>
      <c r="F3" s="67" t="s">
        <v>54</v>
      </c>
      <c r="G3" s="68"/>
      <c r="H3" s="69" t="s">
        <v>52</v>
      </c>
      <c r="I3" s="69"/>
      <c r="J3" s="69"/>
      <c r="K3" s="69"/>
      <c r="L3" s="71" t="s">
        <v>49</v>
      </c>
      <c r="M3" s="72"/>
      <c r="N3" s="63"/>
      <c r="O3" s="65"/>
      <c r="P3" s="75">
        <v>0.9770833333333333</v>
      </c>
      <c r="Q3" s="76"/>
      <c r="R3" s="76"/>
      <c r="S3" s="79" t="s">
        <v>6</v>
      </c>
      <c r="T3" s="55"/>
      <c r="U3" s="56"/>
      <c r="V3" s="60"/>
      <c r="W3" s="61"/>
      <c r="X3" s="62"/>
    </row>
    <row r="4" spans="1:30" ht="15" customHeight="1" x14ac:dyDescent="0.15">
      <c r="A4" s="55"/>
      <c r="B4" s="66"/>
      <c r="C4" s="66"/>
      <c r="D4" s="66"/>
      <c r="E4" s="56"/>
      <c r="F4" s="55"/>
      <c r="G4" s="66"/>
      <c r="H4" s="70"/>
      <c r="I4" s="70"/>
      <c r="J4" s="70"/>
      <c r="K4" s="70"/>
      <c r="L4" s="73"/>
      <c r="M4" s="74"/>
      <c r="N4" s="55"/>
      <c r="O4" s="56"/>
      <c r="P4" s="77"/>
      <c r="Q4" s="78"/>
      <c r="R4" s="78"/>
      <c r="S4" s="56"/>
      <c r="T4" s="86" t="s">
        <v>50</v>
      </c>
      <c r="U4" s="86"/>
      <c r="V4" s="86" t="s">
        <v>60</v>
      </c>
      <c r="W4" s="86"/>
      <c r="X4" s="86"/>
      <c r="Z4" s="25" t="s">
        <v>51</v>
      </c>
      <c r="AA4" s="26">
        <v>826</v>
      </c>
    </row>
    <row r="5" spans="1:30" ht="18" customHeight="1" x14ac:dyDescent="0.15">
      <c r="A5" s="108"/>
      <c r="B5" s="109"/>
      <c r="C5" s="109"/>
      <c r="D5" s="109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30" ht="18" customHeight="1" x14ac:dyDescent="0.15">
      <c r="A6" s="107"/>
      <c r="B6" s="103"/>
      <c r="C6" s="103"/>
      <c r="D6" s="103"/>
      <c r="X6" s="30"/>
    </row>
    <row r="7" spans="1:30" ht="18" customHeight="1" x14ac:dyDescent="0.15">
      <c r="A7" s="107"/>
      <c r="B7" s="103"/>
      <c r="C7" s="103"/>
      <c r="D7" s="103"/>
      <c r="X7" s="30"/>
    </row>
    <row r="8" spans="1:30" ht="18" customHeight="1" x14ac:dyDescent="0.15">
      <c r="A8" s="107"/>
      <c r="B8" s="103"/>
      <c r="C8" s="103"/>
      <c r="D8" s="103"/>
      <c r="X8" s="30"/>
    </row>
    <row r="9" spans="1:30" ht="18" customHeight="1" x14ac:dyDescent="0.15">
      <c r="A9" s="107"/>
      <c r="B9" s="103"/>
      <c r="C9" s="103"/>
      <c r="D9" s="103"/>
      <c r="X9" s="30"/>
    </row>
    <row r="10" spans="1:30" ht="147.75" customHeight="1" x14ac:dyDescent="0.15">
      <c r="A10" s="107"/>
      <c r="B10" s="103"/>
      <c r="C10" s="103"/>
      <c r="D10" s="103"/>
      <c r="X10" s="30"/>
    </row>
    <row r="11" spans="1:30" ht="18" customHeight="1" x14ac:dyDescent="0.15">
      <c r="A11" s="107"/>
      <c r="B11" s="103"/>
      <c r="C11" s="103"/>
      <c r="D11" s="103"/>
      <c r="X11" s="30"/>
    </row>
    <row r="12" spans="1:30" ht="18" customHeight="1" x14ac:dyDescent="0.15">
      <c r="A12" s="107"/>
      <c r="B12" s="103"/>
      <c r="C12" s="103"/>
      <c r="D12" s="103"/>
      <c r="X12" s="30"/>
    </row>
    <row r="13" spans="1:30" ht="18" customHeight="1" x14ac:dyDescent="0.15">
      <c r="A13" s="107"/>
      <c r="B13" s="103"/>
      <c r="C13" s="103"/>
      <c r="D13" s="103"/>
      <c r="X13" s="30"/>
    </row>
    <row r="14" spans="1:30" ht="18" customHeight="1" x14ac:dyDescent="0.15">
      <c r="A14" s="101"/>
      <c r="B14" s="102"/>
      <c r="C14" s="103"/>
      <c r="D14" s="103"/>
      <c r="X14" s="30"/>
      <c r="Z14" s="24">
        <v>50</v>
      </c>
      <c r="AA14" s="24">
        <f>Z14/3.6</f>
        <v>13.888888888888889</v>
      </c>
      <c r="AC14" s="52">
        <v>39.6</v>
      </c>
      <c r="AD14" s="52">
        <f>AC14/AA14</f>
        <v>2.8512</v>
      </c>
    </row>
    <row r="15" spans="1:30" ht="18" customHeight="1" x14ac:dyDescent="0.15">
      <c r="A15" s="104"/>
      <c r="B15" s="105"/>
      <c r="C15" s="103"/>
      <c r="D15" s="103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2"/>
      <c r="Z15" s="24">
        <v>30</v>
      </c>
      <c r="AA15" s="24">
        <f>Z15/3.6</f>
        <v>8.3333333333333339</v>
      </c>
      <c r="AC15" s="52">
        <v>41.2</v>
      </c>
      <c r="AD15" s="52">
        <f>AC15/AA15</f>
        <v>4.944</v>
      </c>
    </row>
    <row r="16" spans="1:30" s="35" customFormat="1" ht="18" customHeight="1" x14ac:dyDescent="0.15">
      <c r="A16" s="106" t="s">
        <v>9</v>
      </c>
      <c r="B16" s="106"/>
      <c r="C16" s="106"/>
      <c r="D16" s="106"/>
      <c r="E16" s="33">
        <v>1</v>
      </c>
      <c r="F16" s="33">
        <v>2</v>
      </c>
      <c r="G16" s="33">
        <v>3</v>
      </c>
      <c r="H16" s="33">
        <v>4</v>
      </c>
      <c r="I16" s="33">
        <v>5</v>
      </c>
      <c r="J16" s="33">
        <v>6</v>
      </c>
      <c r="K16" s="33">
        <v>7</v>
      </c>
      <c r="L16" s="33">
        <v>8</v>
      </c>
      <c r="M16" s="33">
        <v>9</v>
      </c>
      <c r="N16" s="33">
        <v>10</v>
      </c>
      <c r="O16" s="33">
        <v>11</v>
      </c>
      <c r="P16" s="33">
        <v>12</v>
      </c>
      <c r="Q16" s="33">
        <v>13</v>
      </c>
      <c r="R16" s="34">
        <v>14</v>
      </c>
      <c r="S16" s="33">
        <v>15</v>
      </c>
      <c r="T16" s="33">
        <v>16</v>
      </c>
      <c r="U16" s="33">
        <v>17</v>
      </c>
      <c r="V16" s="33">
        <v>18</v>
      </c>
      <c r="W16" s="33">
        <v>19</v>
      </c>
      <c r="X16" s="33">
        <v>20</v>
      </c>
    </row>
    <row r="17" spans="1:25" s="38" customFormat="1" ht="18" customHeight="1" x14ac:dyDescent="0.15">
      <c r="A17" s="106" t="s">
        <v>10</v>
      </c>
      <c r="B17" s="106"/>
      <c r="C17" s="106"/>
      <c r="D17" s="106"/>
      <c r="E17" s="36" t="s">
        <v>24</v>
      </c>
      <c r="F17" s="36" t="s">
        <v>25</v>
      </c>
      <c r="G17" s="36" t="s">
        <v>26</v>
      </c>
      <c r="H17" s="36" t="s">
        <v>27</v>
      </c>
      <c r="I17" s="36" t="s">
        <v>28</v>
      </c>
      <c r="J17" s="36" t="s">
        <v>29</v>
      </c>
      <c r="K17" s="36" t="s">
        <v>30</v>
      </c>
      <c r="L17" s="36" t="s">
        <v>31</v>
      </c>
      <c r="M17" s="36" t="s">
        <v>32</v>
      </c>
      <c r="N17" s="37" t="s">
        <v>33</v>
      </c>
      <c r="O17" s="36"/>
      <c r="P17" s="36"/>
      <c r="Q17" s="36"/>
      <c r="R17" s="37"/>
      <c r="S17" s="36"/>
      <c r="T17" s="36"/>
      <c r="U17" s="36"/>
      <c r="V17" s="36"/>
      <c r="W17" s="36"/>
      <c r="X17" s="36"/>
    </row>
    <row r="18" spans="1:25" s="38" customFormat="1" ht="125.1" customHeight="1" x14ac:dyDescent="0.15">
      <c r="A18" s="93"/>
      <c r="B18" s="94"/>
      <c r="C18" s="94"/>
      <c r="D18" s="95"/>
      <c r="E18" s="39"/>
      <c r="F18" s="40"/>
      <c r="G18" s="40"/>
      <c r="H18" s="40"/>
      <c r="I18" s="40"/>
      <c r="J18" s="39"/>
      <c r="K18" s="40"/>
      <c r="L18" s="40"/>
      <c r="M18" s="40"/>
      <c r="N18" s="40"/>
      <c r="O18" s="39"/>
      <c r="P18" s="40"/>
      <c r="Q18" s="40"/>
      <c r="R18" s="40"/>
      <c r="S18" s="40"/>
      <c r="T18" s="40"/>
      <c r="U18" s="40"/>
      <c r="V18" s="40"/>
      <c r="W18" s="40"/>
      <c r="X18" s="37"/>
      <c r="Y18" s="41"/>
    </row>
    <row r="19" spans="1:25" ht="18" customHeight="1" x14ac:dyDescent="0.15">
      <c r="A19" s="93" t="s">
        <v>58</v>
      </c>
      <c r="B19" s="94"/>
      <c r="C19" s="94" t="s">
        <v>35</v>
      </c>
      <c r="D19" s="95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spans="1:25" ht="18" customHeight="1" x14ac:dyDescent="0.15">
      <c r="A20" s="93" t="s">
        <v>36</v>
      </c>
      <c r="B20" s="94"/>
      <c r="C20" s="94" t="s">
        <v>37</v>
      </c>
      <c r="D20" s="95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spans="1:25" ht="18" customHeight="1" x14ac:dyDescent="0.15">
      <c r="A21" s="93" t="s">
        <v>59</v>
      </c>
      <c r="B21" s="94"/>
      <c r="C21" s="94" t="s">
        <v>39</v>
      </c>
      <c r="D21" s="95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spans="1:25" ht="18" customHeight="1" x14ac:dyDescent="0.15">
      <c r="A22" s="93" t="s">
        <v>40</v>
      </c>
      <c r="B22" s="94"/>
      <c r="C22" s="94" t="s">
        <v>41</v>
      </c>
      <c r="D22" s="95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spans="1:25" ht="18" customHeight="1" x14ac:dyDescent="0.15">
      <c r="A23" s="93"/>
      <c r="B23" s="94"/>
      <c r="C23" s="94"/>
      <c r="D23" s="95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spans="1:25" ht="18" customHeight="1" x14ac:dyDescent="0.15">
      <c r="A24" s="93"/>
      <c r="B24" s="94"/>
      <c r="C24" s="94"/>
      <c r="D24" s="95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spans="1:25" ht="18" customHeight="1" x14ac:dyDescent="0.15">
      <c r="A25" s="98"/>
      <c r="B25" s="99"/>
      <c r="C25" s="99"/>
      <c r="D25" s="100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spans="1:25" ht="18" customHeight="1" x14ac:dyDescent="0.15">
      <c r="A26" s="98"/>
      <c r="B26" s="99"/>
      <c r="C26" s="99"/>
      <c r="D26" s="100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spans="1:25" ht="18" customHeight="1" x14ac:dyDescent="0.15">
      <c r="A27" s="98"/>
      <c r="B27" s="99"/>
      <c r="C27" s="99"/>
      <c r="D27" s="100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5" ht="18" customHeight="1" x14ac:dyDescent="0.15">
      <c r="A28" s="98"/>
      <c r="B28" s="99"/>
      <c r="C28" s="99"/>
      <c r="D28" s="100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spans="1:25" ht="18" customHeight="1" x14ac:dyDescent="0.15">
      <c r="A29" s="98"/>
      <c r="B29" s="99"/>
      <c r="C29" s="99"/>
      <c r="D29" s="100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spans="1:25" ht="18" customHeight="1" x14ac:dyDescent="0.15">
      <c r="A30" s="98"/>
      <c r="B30" s="99"/>
      <c r="C30" s="99"/>
      <c r="D30" s="100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spans="1:25" ht="18" customHeight="1" x14ac:dyDescent="0.15">
      <c r="A31" s="98"/>
      <c r="B31" s="99"/>
      <c r="C31" s="99"/>
      <c r="D31" s="100"/>
      <c r="E31" s="42"/>
      <c r="F31" s="42"/>
      <c r="G31" s="42"/>
      <c r="H31" s="43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spans="1:25" ht="18" customHeight="1" x14ac:dyDescent="0.15">
      <c r="A32" s="98"/>
      <c r="B32" s="99"/>
      <c r="C32" s="99"/>
      <c r="D32" s="100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spans="1:27" ht="18" customHeight="1" x14ac:dyDescent="0.15">
      <c r="A33" s="48" t="s">
        <v>56</v>
      </c>
      <c r="B33" s="44"/>
      <c r="C33" s="49"/>
      <c r="D33" s="50"/>
      <c r="E33" s="33">
        <v>109</v>
      </c>
      <c r="F33" s="33"/>
      <c r="G33" s="33"/>
      <c r="H33" s="33"/>
      <c r="I33" s="33"/>
      <c r="J33" s="33">
        <v>109</v>
      </c>
      <c r="K33" s="33"/>
      <c r="L33" s="33"/>
      <c r="M33" s="33"/>
      <c r="N33" s="33"/>
      <c r="O33" s="33"/>
      <c r="P33" s="33"/>
      <c r="Q33" s="33"/>
      <c r="R33" s="33"/>
      <c r="S33" s="42"/>
      <c r="T33" s="42"/>
      <c r="U33" s="42"/>
      <c r="V33" s="42"/>
      <c r="W33" s="42"/>
      <c r="X33" s="42"/>
    </row>
    <row r="34" spans="1:27" ht="18" customHeight="1" x14ac:dyDescent="0.15">
      <c r="A34" s="48" t="s">
        <v>57</v>
      </c>
      <c r="B34" s="44" t="s">
        <v>43</v>
      </c>
      <c r="C34" s="27">
        <f>SUM(E34:X34)</f>
        <v>82</v>
      </c>
      <c r="D34" s="45" t="s">
        <v>44</v>
      </c>
      <c r="E34" s="33">
        <v>23</v>
      </c>
      <c r="F34" s="33">
        <v>8</v>
      </c>
      <c r="G34" s="33">
        <v>2</v>
      </c>
      <c r="H34" s="33">
        <v>3</v>
      </c>
      <c r="I34" s="33">
        <v>3</v>
      </c>
      <c r="J34" s="33">
        <v>25</v>
      </c>
      <c r="K34" s="33">
        <v>9</v>
      </c>
      <c r="L34" s="33">
        <v>2</v>
      </c>
      <c r="M34" s="33">
        <v>3</v>
      </c>
      <c r="N34" s="33">
        <v>4</v>
      </c>
      <c r="O34" s="33"/>
      <c r="P34" s="33"/>
      <c r="Q34" s="33"/>
      <c r="R34" s="33"/>
      <c r="S34" s="42"/>
      <c r="T34" s="42"/>
      <c r="U34" s="42"/>
      <c r="V34" s="42"/>
      <c r="W34" s="42"/>
      <c r="X34" s="42"/>
      <c r="Y34" s="51"/>
      <c r="Z34" s="24">
        <v>120</v>
      </c>
      <c r="AA34" s="24">
        <f>Z34-INT(Z34/8)-3</f>
        <v>102</v>
      </c>
    </row>
    <row r="35" spans="1:27" ht="18" customHeight="1" x14ac:dyDescent="0.15">
      <c r="A35" s="48" t="s">
        <v>15</v>
      </c>
      <c r="B35" s="44" t="s">
        <v>43</v>
      </c>
      <c r="C35" s="27">
        <f>SUM(E35:X35)</f>
        <v>140</v>
      </c>
      <c r="D35" s="45" t="s">
        <v>44</v>
      </c>
      <c r="E35" s="33">
        <v>67</v>
      </c>
      <c r="F35" s="33">
        <v>8</v>
      </c>
      <c r="G35" s="33">
        <v>2</v>
      </c>
      <c r="H35" s="33">
        <v>3</v>
      </c>
      <c r="I35" s="33">
        <v>3</v>
      </c>
      <c r="J35" s="33">
        <v>39</v>
      </c>
      <c r="K35" s="33">
        <v>9</v>
      </c>
      <c r="L35" s="33">
        <v>2</v>
      </c>
      <c r="M35" s="33">
        <v>3</v>
      </c>
      <c r="N35" s="33">
        <v>4</v>
      </c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51"/>
      <c r="Z35" s="24">
        <v>140</v>
      </c>
      <c r="AA35" s="24">
        <f>Z35-INT(Z35/8)-3</f>
        <v>120</v>
      </c>
    </row>
    <row r="36" spans="1:27" ht="18" customHeight="1" x14ac:dyDescent="0.15">
      <c r="A36" s="93" t="s">
        <v>16</v>
      </c>
      <c r="B36" s="94"/>
      <c r="C36" s="94"/>
      <c r="D36" s="95"/>
      <c r="E36" s="33">
        <v>110</v>
      </c>
      <c r="F36" s="33">
        <v>110</v>
      </c>
      <c r="G36" s="33">
        <v>110</v>
      </c>
      <c r="H36" s="33">
        <v>10</v>
      </c>
      <c r="I36" s="33">
        <v>10</v>
      </c>
      <c r="J36" s="33">
        <v>110</v>
      </c>
      <c r="K36" s="33">
        <v>110</v>
      </c>
      <c r="L36" s="33">
        <v>110</v>
      </c>
      <c r="M36" s="33">
        <v>10</v>
      </c>
      <c r="N36" s="33">
        <v>10</v>
      </c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7" ht="18" customHeight="1" x14ac:dyDescent="0.15">
      <c r="A37" s="93" t="s">
        <v>17</v>
      </c>
      <c r="B37" s="94"/>
      <c r="C37" s="94"/>
      <c r="D37" s="95"/>
      <c r="E37" s="33">
        <v>6</v>
      </c>
      <c r="F37" s="33">
        <v>0.95</v>
      </c>
      <c r="G37" s="33">
        <v>0.95</v>
      </c>
      <c r="H37" s="33">
        <v>0.95</v>
      </c>
      <c r="I37" s="33">
        <v>0.95</v>
      </c>
      <c r="J37" s="33">
        <v>6</v>
      </c>
      <c r="K37" s="33">
        <v>0.95</v>
      </c>
      <c r="L37" s="33">
        <v>0.95</v>
      </c>
      <c r="M37" s="33">
        <v>0.95</v>
      </c>
      <c r="N37" s="33">
        <v>0.95</v>
      </c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7" ht="18" customHeight="1" x14ac:dyDescent="0.15">
      <c r="A38" s="93" t="s">
        <v>18</v>
      </c>
      <c r="B38" s="94"/>
      <c r="C38" s="94"/>
      <c r="D38" s="95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</mergeCells>
  <phoneticPr fontId="9"/>
  <pageMargins left="0.78740157480314965" right="0" top="0.39370078740157483" bottom="0" header="0.19685039370078741" footer="0.19685039370078741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selection activeCell="F1" sqref="F1:G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38" t="s">
        <v>19</v>
      </c>
      <c r="G1" s="139"/>
      <c r="H1" s="140" t="s">
        <v>20</v>
      </c>
      <c r="I1" s="141"/>
      <c r="J1" s="141"/>
      <c r="K1" s="141"/>
      <c r="L1" s="141"/>
      <c r="M1" s="141"/>
      <c r="N1" s="142" t="s">
        <v>1</v>
      </c>
      <c r="O1" s="142"/>
      <c r="P1" s="135" t="s">
        <v>2</v>
      </c>
      <c r="Q1" s="135"/>
      <c r="R1" s="135"/>
      <c r="S1" s="135"/>
      <c r="T1" s="132" t="s">
        <v>3</v>
      </c>
      <c r="U1" s="132"/>
      <c r="V1" s="126" t="s">
        <v>21</v>
      </c>
      <c r="W1" s="126"/>
      <c r="X1" s="126"/>
    </row>
    <row r="2" spans="1:25" ht="20.100000000000001" customHeight="1" x14ac:dyDescent="0.15">
      <c r="A2" s="127" t="s">
        <v>4</v>
      </c>
      <c r="B2" s="127"/>
      <c r="C2" s="127"/>
      <c r="D2" s="127"/>
      <c r="E2" s="127"/>
      <c r="F2" s="128" t="s">
        <v>22</v>
      </c>
      <c r="G2" s="123"/>
      <c r="H2" s="134" t="s">
        <v>23</v>
      </c>
      <c r="I2" s="134"/>
      <c r="J2" s="134"/>
      <c r="K2" s="134"/>
      <c r="L2" s="143" t="s">
        <v>47</v>
      </c>
      <c r="M2" s="144"/>
      <c r="N2" s="127" t="s">
        <v>5</v>
      </c>
      <c r="O2" s="127"/>
      <c r="P2" s="129">
        <v>0.40208333333333335</v>
      </c>
      <c r="Q2" s="130"/>
      <c r="R2" s="131"/>
      <c r="S2" s="3" t="s">
        <v>6</v>
      </c>
      <c r="T2" s="132" t="s">
        <v>7</v>
      </c>
      <c r="U2" s="132"/>
      <c r="V2" s="133" t="s">
        <v>8</v>
      </c>
      <c r="W2" s="133"/>
      <c r="X2" s="133"/>
    </row>
    <row r="3" spans="1:25" ht="18" customHeight="1" x14ac:dyDescent="0.15">
      <c r="A3" s="136"/>
      <c r="B3" s="137"/>
      <c r="C3" s="137"/>
      <c r="D3" s="13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19"/>
      <c r="B4" s="120"/>
      <c r="C4" s="120"/>
      <c r="D4" s="120"/>
      <c r="X4" s="7"/>
    </row>
    <row r="5" spans="1:25" ht="18" customHeight="1" x14ac:dyDescent="0.15">
      <c r="A5" s="119"/>
      <c r="B5" s="120"/>
      <c r="C5" s="120"/>
      <c r="D5" s="120"/>
      <c r="X5" s="7"/>
    </row>
    <row r="6" spans="1:25" ht="18" customHeight="1" x14ac:dyDescent="0.15">
      <c r="A6" s="119"/>
      <c r="B6" s="120"/>
      <c r="C6" s="120"/>
      <c r="D6" s="120"/>
      <c r="X6" s="7"/>
    </row>
    <row r="7" spans="1:25" ht="18" customHeight="1" x14ac:dyDescent="0.15">
      <c r="A7" s="119"/>
      <c r="B7" s="120"/>
      <c r="C7" s="120"/>
      <c r="D7" s="120"/>
      <c r="X7" s="7"/>
    </row>
    <row r="8" spans="1:25" ht="147.75" customHeight="1" x14ac:dyDescent="0.15">
      <c r="A8" s="119"/>
      <c r="B8" s="120"/>
      <c r="C8" s="120"/>
      <c r="D8" s="120"/>
      <c r="X8" s="7"/>
    </row>
    <row r="9" spans="1:25" ht="18" customHeight="1" x14ac:dyDescent="0.15">
      <c r="A9" s="119"/>
      <c r="B9" s="120"/>
      <c r="C9" s="120"/>
      <c r="D9" s="120"/>
      <c r="X9" s="7"/>
    </row>
    <row r="10" spans="1:25" ht="18" customHeight="1" x14ac:dyDescent="0.15">
      <c r="A10" s="119"/>
      <c r="B10" s="120"/>
      <c r="C10" s="120"/>
      <c r="D10" s="120"/>
      <c r="X10" s="7"/>
    </row>
    <row r="11" spans="1:25" ht="18" customHeight="1" x14ac:dyDescent="0.15">
      <c r="A11" s="119"/>
      <c r="B11" s="120"/>
      <c r="C11" s="120"/>
      <c r="D11" s="120"/>
      <c r="X11" s="7"/>
    </row>
    <row r="12" spans="1:25" ht="18" customHeight="1" x14ac:dyDescent="0.15">
      <c r="A12" s="121"/>
      <c r="B12" s="122"/>
      <c r="C12" s="120"/>
      <c r="D12" s="120"/>
      <c r="X12" s="7"/>
    </row>
    <row r="13" spans="1:25" ht="18" customHeight="1" x14ac:dyDescent="0.15">
      <c r="A13" s="123"/>
      <c r="B13" s="124"/>
      <c r="C13" s="120"/>
      <c r="D13" s="12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25" t="s">
        <v>9</v>
      </c>
      <c r="B14" s="125"/>
      <c r="C14" s="125"/>
      <c r="D14" s="125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25" t="s">
        <v>10</v>
      </c>
      <c r="B15" s="125"/>
      <c r="C15" s="125"/>
      <c r="D15" s="125"/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2" t="s">
        <v>33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16"/>
      <c r="B16" s="117"/>
      <c r="C16" s="117"/>
      <c r="D16" s="118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16" t="s">
        <v>34</v>
      </c>
      <c r="B17" s="117"/>
      <c r="C17" s="117" t="s">
        <v>35</v>
      </c>
      <c r="D17" s="1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16" t="s">
        <v>36</v>
      </c>
      <c r="B18" s="117"/>
      <c r="C18" s="117" t="s">
        <v>37</v>
      </c>
      <c r="D18" s="1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16" t="s">
        <v>38</v>
      </c>
      <c r="B19" s="117"/>
      <c r="C19" s="117" t="s">
        <v>39</v>
      </c>
      <c r="D19" s="1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16" t="s">
        <v>40</v>
      </c>
      <c r="B20" s="117"/>
      <c r="C20" s="117" t="s">
        <v>41</v>
      </c>
      <c r="D20" s="1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16"/>
      <c r="B21" s="117"/>
      <c r="C21" s="117"/>
      <c r="D21" s="1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16"/>
      <c r="B22" s="117"/>
      <c r="C22" s="117"/>
      <c r="D22" s="1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10"/>
      <c r="B23" s="111"/>
      <c r="C23" s="111"/>
      <c r="D23" s="11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10"/>
      <c r="B24" s="111"/>
      <c r="C24" s="111"/>
      <c r="D24" s="112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10"/>
      <c r="B25" s="111"/>
      <c r="C25" s="111"/>
      <c r="D25" s="11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10"/>
      <c r="B26" s="111"/>
      <c r="C26" s="111"/>
      <c r="D26" s="112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10"/>
      <c r="B27" s="111"/>
      <c r="C27" s="111"/>
      <c r="D27" s="11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10"/>
      <c r="B28" s="111"/>
      <c r="C28" s="111"/>
      <c r="D28" s="11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10"/>
      <c r="B29" s="111"/>
      <c r="C29" s="111"/>
      <c r="D29" s="112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10"/>
      <c r="B30" s="111"/>
      <c r="C30" s="111"/>
      <c r="D30" s="1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13" t="s">
        <v>11</v>
      </c>
      <c r="B31" s="114"/>
      <c r="C31" s="114"/>
      <c r="D31" s="115"/>
      <c r="E31" s="17"/>
      <c r="F31" s="17"/>
      <c r="G31" s="17"/>
      <c r="H31" s="17"/>
      <c r="I31" s="1" t="s">
        <v>42</v>
      </c>
      <c r="J31" s="17"/>
      <c r="K31" s="17"/>
      <c r="L31" s="17"/>
      <c r="M31" s="17"/>
      <c r="N31" s="1" t="s">
        <v>42</v>
      </c>
      <c r="O31" s="145" t="s">
        <v>13</v>
      </c>
      <c r="P31" s="146"/>
      <c r="Q31" s="149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13" t="s">
        <v>14</v>
      </c>
      <c r="B32" s="114"/>
      <c r="C32" s="114"/>
      <c r="D32" s="115"/>
      <c r="E32" s="1" t="s">
        <v>12</v>
      </c>
      <c r="F32" s="17"/>
      <c r="G32" s="17"/>
      <c r="H32" s="17"/>
      <c r="I32" s="17"/>
      <c r="J32" s="1" t="s">
        <v>12</v>
      </c>
      <c r="K32" s="17"/>
      <c r="L32" s="17"/>
      <c r="M32" s="17"/>
      <c r="N32" s="17"/>
      <c r="O32" s="147"/>
      <c r="P32" s="148"/>
      <c r="Q32" s="150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15</v>
      </c>
      <c r="B33" s="20" t="s">
        <v>43</v>
      </c>
      <c r="C33" s="21">
        <f>SUM(E33:X33)</f>
        <v>100</v>
      </c>
      <c r="D33" s="22" t="s">
        <v>44</v>
      </c>
      <c r="E33" s="1">
        <v>36</v>
      </c>
      <c r="F33" s="1">
        <v>8</v>
      </c>
      <c r="G33" s="1">
        <v>2</v>
      </c>
      <c r="H33" s="1">
        <v>3</v>
      </c>
      <c r="I33" s="1">
        <v>4</v>
      </c>
      <c r="J33" s="1">
        <v>28</v>
      </c>
      <c r="K33" s="1">
        <v>10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3" t="s">
        <v>16</v>
      </c>
      <c r="B34" s="114"/>
      <c r="C34" s="114"/>
      <c r="D34" s="11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3" t="s">
        <v>17</v>
      </c>
      <c r="B35" s="114"/>
      <c r="C35" s="114"/>
      <c r="D35" s="11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3" t="s">
        <v>18</v>
      </c>
      <c r="B36" s="114"/>
      <c r="C36" s="114"/>
      <c r="D36" s="115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4:B4"/>
    <mergeCell ref="C4:D4"/>
    <mergeCell ref="A5:B5"/>
    <mergeCell ref="C5:D5"/>
    <mergeCell ref="A6:B6"/>
    <mergeCell ref="C6:D6"/>
    <mergeCell ref="H1:M1"/>
    <mergeCell ref="N1:O1"/>
    <mergeCell ref="L2:M2"/>
    <mergeCell ref="O31:P32"/>
    <mergeCell ref="Q31:Q32"/>
    <mergeCell ref="A10:B10"/>
    <mergeCell ref="C10:D10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A3:B3"/>
    <mergeCell ref="C3:D3"/>
    <mergeCell ref="T1:U1"/>
    <mergeCell ref="A1:E1"/>
    <mergeCell ref="F1:G1"/>
    <mergeCell ref="C7:D7"/>
    <mergeCell ref="A8:B8"/>
    <mergeCell ref="C8:D8"/>
    <mergeCell ref="A9:B9"/>
    <mergeCell ref="C9:D9"/>
    <mergeCell ref="A7:B7"/>
    <mergeCell ref="A18:B18"/>
    <mergeCell ref="C18:D18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6:D36"/>
    <mergeCell ref="A31:D31"/>
    <mergeCell ref="A30:B30"/>
    <mergeCell ref="C30:D30"/>
    <mergeCell ref="A34:D34"/>
    <mergeCell ref="A35:D35"/>
    <mergeCell ref="A32:D32"/>
  </mergeCells>
  <phoneticPr fontId="1"/>
  <pageMargins left="0.78740157480314965" right="0.19685039370078741" top="0.39370078740157483" bottom="0.59055118110236227" header="0.19685039370078741" footer="0.19685039370078741"/>
  <pageSetup paperSize="9" scale="95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2026-02-12</vt:lpstr>
      <vt:lpstr>250095</vt:lpstr>
      <vt:lpstr>'2026-02-12'!Print_Area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2025-06-04T07:20:57Z</cp:lastPrinted>
  <dcterms:created xsi:type="dcterms:W3CDTF">2002-07-31T02:52:40Z</dcterms:created>
  <dcterms:modified xsi:type="dcterms:W3CDTF">2026-02-25T10:50:58Z</dcterms:modified>
</cp:coreProperties>
</file>