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C0400E4F-309D-4B62-B51B-E334C39F0F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7" sheetId="2" r:id="rId1"/>
    <sheet name="250186" sheetId="1" r:id="rId2"/>
  </sheets>
  <definedNames>
    <definedName name="_xlnm.Print_Area" localSheetId="0">'2026-02-17'!$A$1:$X$38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AA15" i="2" l="1"/>
  <c r="AD15" i="2" s="1"/>
  <c r="AA14" i="2"/>
  <c r="AD14" i="2" s="1"/>
  <c r="AA35" i="2"/>
  <c r="AA34" i="2"/>
  <c r="C34" i="2"/>
  <c r="C35" i="2"/>
  <c r="C33" i="1"/>
</calcChain>
</file>

<file path=xl/sharedStrings.xml><?xml version="1.0" encoding="utf-8"?>
<sst xmlns="http://schemas.openxmlformats.org/spreadsheetml/2006/main" count="109" uniqueCount="64">
  <si>
    <t>規制番号　名称</t>
    <rPh sb="0" eb="2">
      <t>キセイ</t>
    </rPh>
    <rPh sb="2" eb="4">
      <t>バンゴウ</t>
    </rPh>
    <rPh sb="5" eb="7">
      <t>メイショウ</t>
    </rPh>
    <phoneticPr fontId="1"/>
  </si>
  <si>
    <t>西中央４丁目</t>
    <rPh sb="0" eb="1">
      <t>ニシ</t>
    </rPh>
    <rPh sb="1" eb="3">
      <t>チュウオウ</t>
    </rPh>
    <rPh sb="4" eb="6">
      <t>チョウメ</t>
    </rPh>
    <phoneticPr fontId="1"/>
  </si>
  <si>
    <t>運　用</t>
    <rPh sb="0" eb="1">
      <t>ウン</t>
    </rPh>
    <rPh sb="2" eb="3">
      <t>ヨウ</t>
    </rPh>
    <phoneticPr fontId="1"/>
  </si>
  <si>
    <t>H.13年10月31日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</si>
  <si>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</si>
  <si>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</si>
  <si>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</si>
  <si>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</si>
  <si>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</si>
  <si>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平成13年10月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</si>
  <si>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</si>
  <si>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</si>
  <si>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</si>
  <si>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</si>
  <si>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</si>
  <si>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</si>
  <si>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保安秒時</t>
    <rPh sb="0" eb="2">
      <t>ホアン</t>
    </rPh>
    <rPh sb="2" eb="4">
      <t>ビョウジ</t>
    </rPh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</si>
  <si>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</si>
  <si>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</si>
  <si>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</si>
  <si>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 xml:space="preserve">2-0186 </t>
    <phoneticPr fontId="1"/>
  </si>
  <si>
    <t>1H0964</t>
    <phoneticPr fontId="1"/>
  </si>
  <si>
    <t xml:space="preserve">250186 </t>
    <phoneticPr fontId="1"/>
  </si>
  <si>
    <t>西中央４丁目</t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</si>
  <si>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</si>
  <si>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</si>
  <si>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</si>
  <si>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</si>
  <si>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</si>
  <si>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</si>
  <si>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</si>
  <si>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</si>
  <si>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</si>
  <si>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</si>
  <si>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>　１Ｐ</t>
    <phoneticPr fontId="1"/>
  </si>
  <si>
    <t>[ 1P ]</t>
    <phoneticPr fontId="1"/>
  </si>
  <si>
    <t>１</t>
    <phoneticPr fontId="1"/>
  </si>
  <si>
    <t>[ 1V ]</t>
    <phoneticPr fontId="1"/>
  </si>
  <si>
    <t>　２Ｐ</t>
    <phoneticPr fontId="1"/>
  </si>
  <si>
    <t>[ 2P ]</t>
    <phoneticPr fontId="1"/>
  </si>
  <si>
    <t>２</t>
    <phoneticPr fontId="1"/>
  </si>
  <si>
    <t>[ 2V ]</t>
    <phoneticPr fontId="1"/>
  </si>
  <si>
    <t>○</t>
    <phoneticPr fontId="1"/>
  </si>
  <si>
    <t>(</t>
    <phoneticPr fontId="1"/>
  </si>
  <si>
    <t>)</t>
    <phoneticPr fontId="1"/>
  </si>
  <si>
    <t>A</t>
    <phoneticPr fontId="1"/>
  </si>
  <si>
    <t>B</t>
    <phoneticPr fontId="1"/>
  </si>
  <si>
    <t>（ＵＣ形）</t>
    <rPh sb="3" eb="4">
      <t>ガタ</t>
    </rPh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</si>
  <si>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</si>
  <si>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</si>
  <si>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</si>
  <si>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</si>
  <si>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02-0186</t>
    <phoneticPr fontId="1"/>
  </si>
  <si>
    <t>20186</t>
    <phoneticPr fontId="1"/>
  </si>
  <si>
    <t>(UD-TTR)</t>
    <phoneticPr fontId="1"/>
  </si>
  <si>
    <t>ＰＵ</t>
    <phoneticPr fontId="1"/>
  </si>
  <si>
    <t>ＰＬ１</t>
    <phoneticPr fontId="1"/>
  </si>
  <si>
    <t>ＰＬ２</t>
    <phoneticPr fontId="1"/>
  </si>
  <si>
    <t>（ 全日　7:00～9:00 ）</t>
    <rPh sb="2" eb="4">
      <t>ゼンジツ</t>
    </rPh>
    <phoneticPr fontId="1"/>
  </si>
  <si>
    <t>　PL2の時間帯を除く</t>
    <rPh sb="5" eb="8">
      <t>ジカンタイ</t>
    </rPh>
    <rPh sb="9" eb="10">
      <t>ノゾ</t>
    </rPh>
    <phoneticPr fontId="1"/>
  </si>
  <si>
    <t>１Ｐ</t>
    <phoneticPr fontId="1"/>
  </si>
  <si>
    <t>２Ｐ</t>
    <phoneticPr fontId="1"/>
  </si>
  <si>
    <t>日本信号</t>
    <rPh sb="0" eb="4">
      <t>ニホンシンゴウ</t>
    </rPh>
    <phoneticPr fontId="1"/>
  </si>
  <si>
    <t>K0000002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</si>
</sst>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77" fontId="9" fillId="0" borderId="9" xfId="0" applyNumberFormat="1" applyFont="1" applyBorder="1" applyAlignment="1">
      <alignment horizontal="center" vertical="center"/>
    </xf>
    <xf numFmtId="0" fontId="8" fillId="0" borderId="0" xfId="0" quotePrefix="1" applyFont="1" applyAlignment="1">
      <alignment horizontal="right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49" fontId="8" fillId="0" borderId="0" xfId="0" applyNumberFormat="1" applyFont="1" applyAlignment="1">
      <alignment vertical="center"/>
    </xf>
    <xf numFmtId="176" fontId="9" fillId="0" borderId="7" xfId="0" applyNumberFormat="1" applyFont="1" applyBorder="1" applyAlignment="1">
      <alignment vertical="center"/>
    </xf>
    <xf numFmtId="181" fontId="8" fillId="0" borderId="0" xfId="0" applyNumberFormat="1" applyFont="1" applyAlignment="1">
      <alignment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49" fontId="8" fillId="0" borderId="12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0" borderId="14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49" fontId="8" fillId="0" borderId="13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right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vertical="center"/>
    </xf>
    <xf numFmtId="49" fontId="9" fillId="0" borderId="8" xfId="0" applyNumberFormat="1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49" fontId="8" fillId="0" borderId="12" xfId="0" quotePrefix="1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9" fontId="8" fillId="0" borderId="12" xfId="0" applyNumberFormat="1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179" fontId="8" fillId="0" borderId="4" xfId="0" applyNumberFormat="1" applyFont="1" applyBorder="1" applyAlignment="1">
      <alignment horizontal="center" vertical="center"/>
    </xf>
    <xf numFmtId="179" fontId="8" fillId="0" borderId="13" xfId="0" applyNumberFormat="1" applyFont="1" applyBorder="1" applyAlignment="1">
      <alignment horizontal="center" vertical="center"/>
    </xf>
    <xf numFmtId="179" fontId="8" fillId="0" borderId="6" xfId="0" applyNumberFormat="1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24" xfId="0" applyFont="1" applyBorder="1" applyAlignment="1">
      <alignment horizontal="center" vertical="center" shrinkToFit="1"/>
    </xf>
    <xf numFmtId="0" fontId="8" fillId="0" borderId="25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80" fontId="8" fillId="0" borderId="23" xfId="0" applyNumberFormat="1" applyFont="1" applyBorder="1" applyAlignment="1">
      <alignment horizontal="center" vertical="center"/>
    </xf>
    <xf numFmtId="180" fontId="8" fillId="0" borderId="24" xfId="0" applyNumberFormat="1" applyFont="1" applyBorder="1" applyAlignment="1">
      <alignment horizontal="center" vertical="center"/>
    </xf>
    <xf numFmtId="180" fontId="8" fillId="0" borderId="13" xfId="0" applyNumberFormat="1" applyFont="1" applyBorder="1" applyAlignment="1">
      <alignment horizontal="center" vertical="center"/>
    </xf>
    <xf numFmtId="180" fontId="8" fillId="0" borderId="6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8" fontId="8" fillId="0" borderId="12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178" fontId="8" fillId="0" borderId="20" xfId="0" applyNumberFormat="1" applyFont="1" applyBorder="1" applyAlignment="1">
      <alignment horizontal="center" vertical="center"/>
    </xf>
    <xf numFmtId="178" fontId="8" fillId="0" borderId="21" xfId="0" applyNumberFormat="1" applyFont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32" fontId="2" fillId="0" borderId="15" xfId="0" applyNumberFormat="1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right" vertical="center"/>
    </xf>
    <xf numFmtId="49" fontId="2" fillId="0" borderId="17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49" fontId="2" fillId="0" borderId="1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5" xfId="0" applyNumberFormat="1" applyFont="1" applyBorder="1" applyAlignment="1">
      <alignment horizontal="right" vertical="center"/>
    </xf>
    <xf numFmtId="49" fontId="2" fillId="0" borderId="13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6" xfId="0" applyNumberFormat="1" applyFont="1" applyBorder="1" applyAlignment="1">
      <alignment horizontal="right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5</xdr:row>
      <xdr:rowOff>47625</xdr:rowOff>
    </xdr:from>
    <xdr:to>
      <xdr:col>23</xdr:col>
      <xdr:colOff>95250</xdr:colOff>
      <xdr:row>13</xdr:row>
      <xdr:rowOff>99263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D642B2E3-B9FE-4342-8BE2-8F17A9966541}"/>
            </a:ext>
          </a:extLst>
        </xdr:cNvPr>
        <xdr:cNvGrpSpPr>
          <a:grpSpLocks noChangeAspect="1"/>
        </xdr:cNvGrpSpPr>
      </xdr:nvGrpSpPr>
      <xdr:grpSpPr>
        <a:xfrm>
          <a:off x="542925" y="847725"/>
          <a:ext cx="6838950" cy="3528263"/>
          <a:chOff x="8286750" y="1485900"/>
          <a:chExt cx="11076190" cy="5714286"/>
        </a:xfrm>
      </xdr:grpSpPr>
      <xdr:pic>
        <xdr:nvPicPr>
          <xdr:cNvPr id="121" name="図 120">
            <a:extLst>
              <a:ext uri="{FF2B5EF4-FFF2-40B4-BE49-F238E27FC236}">
                <a16:creationId xmlns:a16="http://schemas.microsoft.com/office/drawing/2014/main" id="{A3DC0970-CB4B-42A3-81A4-D10F50EB2F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86750" y="1485900"/>
            <a:ext cx="11076190" cy="5714286"/>
          </a:xfrm>
          <a:prstGeom prst="rect">
            <a:avLst/>
          </a:prstGeom>
        </xdr:spPr>
      </xdr:pic>
      <xdr:sp macro="" textlink="">
        <xdr:nvSpPr>
          <xdr:cNvPr id="122" name="正方形/長方形 121">
            <a:extLst>
              <a:ext uri="{FF2B5EF4-FFF2-40B4-BE49-F238E27FC236}">
                <a16:creationId xmlns:a16="http://schemas.microsoft.com/office/drawing/2014/main" id="{2B7DA102-E7A1-4CD0-B78C-77E432DDF5D1}"/>
              </a:ext>
            </a:extLst>
          </xdr:cNvPr>
          <xdr:cNvSpPr/>
        </xdr:nvSpPr>
        <xdr:spPr bwMode="auto">
          <a:xfrm>
            <a:off x="10734675" y="1485900"/>
            <a:ext cx="4495800" cy="9144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B7CC8FC-43F1-4FFF-B163-76C1FB7A5B31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285750</xdr:colOff>
      <xdr:row>17</xdr:row>
      <xdr:rowOff>447675</xdr:rowOff>
    </xdr:from>
    <xdr:to>
      <xdr:col>8</xdr:col>
      <xdr:colOff>28575</xdr:colOff>
      <xdr:row>17</xdr:row>
      <xdr:rowOff>752475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BA94658-E026-48D9-8F85-62455F838F6B}"/>
            </a:ext>
          </a:extLst>
        </xdr:cNvPr>
        <xdr:cNvGrpSpPr>
          <a:grpSpLocks/>
        </xdr:cNvGrpSpPr>
      </xdr:nvGrpSpPr>
      <xdr:grpSpPr bwMode="auto">
        <a:xfrm>
          <a:off x="1600200" y="5638800"/>
          <a:ext cx="1000125" cy="304800"/>
          <a:chOff x="110" y="567"/>
          <a:chExt cx="105" cy="32"/>
        </a:xfrm>
      </xdr:grpSpPr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D1A172EE-81CB-4277-B04A-902796ED8833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E0D195D6-1547-4428-99DC-D7B623E1BB6E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" name="Freeform 5">
            <a:extLst>
              <a:ext uri="{FF2B5EF4-FFF2-40B4-BE49-F238E27FC236}">
                <a16:creationId xmlns:a16="http://schemas.microsoft.com/office/drawing/2014/main" id="{C90635D9-AB34-4909-A38C-87B85C20E13D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82D1ED5E-CA07-41F6-9EBF-4D7D864D7B5C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8349B733-EDDD-4E7F-AF92-8F2F1DFAE342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" name="Freeform 8">
            <a:extLst>
              <a:ext uri="{FF2B5EF4-FFF2-40B4-BE49-F238E27FC236}">
                <a16:creationId xmlns:a16="http://schemas.microsoft.com/office/drawing/2014/main" id="{1EE172CF-0EF1-4434-878C-70206D643442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1913C9ED-D96F-40FC-AD50-C0CFA590F9C7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Freeform 10">
            <a:extLst>
              <a:ext uri="{FF2B5EF4-FFF2-40B4-BE49-F238E27FC236}">
                <a16:creationId xmlns:a16="http://schemas.microsoft.com/office/drawing/2014/main" id="{3E9900C0-E153-4E05-95BD-846D3D5AAF79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DC90CA9D-30D1-40A6-A51E-DE2E9C3807CC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38100</xdr:rowOff>
    </xdr:from>
    <xdr:to>
      <xdr:col>7</xdr:col>
      <xdr:colOff>304800</xdr:colOff>
      <xdr:row>19</xdr:row>
      <xdr:rowOff>180975</xdr:rowOff>
    </xdr:to>
    <xdr:sp macro="" textlink="">
      <xdr:nvSpPr>
        <xdr:cNvPr id="13" name="Freeform 12">
          <a:extLst>
            <a:ext uri="{FF2B5EF4-FFF2-40B4-BE49-F238E27FC236}">
              <a16:creationId xmlns:a16="http://schemas.microsoft.com/office/drawing/2014/main" id="{A38C10AD-EDF9-457A-8102-85EA20598969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45204A6C-369E-440B-815D-1ABBABF2BB91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80599050-99CD-47A1-B9A6-2CF78550B95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F92851E7-8033-4506-B199-A300520A71A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F5D46AD7-B889-408C-9DF3-EAFCF5BD3C0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id="{4A1201B4-6729-402B-8037-1C371BC42E2A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303B6592-C53A-429D-9D08-0A61E33EC2F6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2514600" cy="47625"/>
          <a:chOff x="158" y="715"/>
          <a:chExt cx="33" cy="5"/>
        </a:xfrm>
      </xdr:grpSpPr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DE183341-CB30-4C9D-B666-A185820786B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92B141D1-0F36-422A-A1C0-040F248FE39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114300</xdr:rowOff>
    </xdr:from>
    <xdr:to>
      <xdr:col>7</xdr:col>
      <xdr:colOff>0</xdr:colOff>
      <xdr:row>19</xdr:row>
      <xdr:rowOff>114300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B458B693-7E48-424C-BDD1-8625EB0356D6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19</xdr:row>
      <xdr:rowOff>95250</xdr:rowOff>
    </xdr:from>
    <xdr:to>
      <xdr:col>14</xdr:col>
      <xdr:colOff>9525</xdr:colOff>
      <xdr:row>19</xdr:row>
      <xdr:rowOff>142875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B10AB121-1182-47DB-8BFA-BE582D191782}"/>
            </a:ext>
          </a:extLst>
        </xdr:cNvPr>
        <xdr:cNvGrpSpPr>
          <a:grpSpLocks/>
        </xdr:cNvGrpSpPr>
      </xdr:nvGrpSpPr>
      <xdr:grpSpPr bwMode="auto">
        <a:xfrm>
          <a:off x="2581275" y="7096125"/>
          <a:ext cx="1885950" cy="47625"/>
          <a:chOff x="158" y="715"/>
          <a:chExt cx="33" cy="5"/>
        </a:xfrm>
      </xdr:grpSpPr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F980EC3D-75C8-40AC-BFDE-3BAD251D635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4">
            <a:extLst>
              <a:ext uri="{FF2B5EF4-FFF2-40B4-BE49-F238E27FC236}">
                <a16:creationId xmlns:a16="http://schemas.microsoft.com/office/drawing/2014/main" id="{8DC92E14-55B2-4DD8-8BB0-E781CCF3496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17</xdr:row>
      <xdr:rowOff>276225</xdr:rowOff>
    </xdr:from>
    <xdr:to>
      <xdr:col>7</xdr:col>
      <xdr:colOff>200025</xdr:colOff>
      <xdr:row>17</xdr:row>
      <xdr:rowOff>333375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255BF492-9E0B-4BB8-8216-F813EA4AF7F3}"/>
            </a:ext>
          </a:extLst>
        </xdr:cNvPr>
        <xdr:cNvGrpSpPr>
          <a:grpSpLocks/>
        </xdr:cNvGrpSpPr>
      </xdr:nvGrpSpPr>
      <xdr:grpSpPr bwMode="auto">
        <a:xfrm>
          <a:off x="1724025" y="5467350"/>
          <a:ext cx="733425" cy="57150"/>
          <a:chOff x="123" y="549"/>
          <a:chExt cx="77" cy="6"/>
        </a:xfrm>
      </xdr:grpSpPr>
      <xdr:sp macro="" textlink="">
        <xdr:nvSpPr>
          <xdr:cNvPr id="27" name="Line 26">
            <a:extLst>
              <a:ext uri="{FF2B5EF4-FFF2-40B4-BE49-F238E27FC236}">
                <a16:creationId xmlns:a16="http://schemas.microsoft.com/office/drawing/2014/main" id="{618F0C46-B7B9-4BA1-A336-6ABD6F9AD14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Freeform 27">
            <a:extLst>
              <a:ext uri="{FF2B5EF4-FFF2-40B4-BE49-F238E27FC236}">
                <a16:creationId xmlns:a16="http://schemas.microsoft.com/office/drawing/2014/main" id="{99B094A0-6D6F-4C7E-B35E-C6C6BA0DD4D9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" name="Freeform 28">
            <a:extLst>
              <a:ext uri="{FF2B5EF4-FFF2-40B4-BE49-F238E27FC236}">
                <a16:creationId xmlns:a16="http://schemas.microsoft.com/office/drawing/2014/main" id="{3E7B3308-DF56-4AF0-B0AE-2C2174477A90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17</xdr:row>
      <xdr:rowOff>819150</xdr:rowOff>
    </xdr:from>
    <xdr:to>
      <xdr:col>8</xdr:col>
      <xdr:colOff>28575</xdr:colOff>
      <xdr:row>17</xdr:row>
      <xdr:rowOff>1114425</xdr:rowOff>
    </xdr:to>
    <xdr:grpSp>
      <xdr:nvGrpSpPr>
        <xdr:cNvPr id="30" name="Group 96">
          <a:extLst>
            <a:ext uri="{FF2B5EF4-FFF2-40B4-BE49-F238E27FC236}">
              <a16:creationId xmlns:a16="http://schemas.microsoft.com/office/drawing/2014/main" id="{548FBBF8-6AF1-4D1D-8E38-E3925D141CD9}"/>
            </a:ext>
          </a:extLst>
        </xdr:cNvPr>
        <xdr:cNvGrpSpPr>
          <a:grpSpLocks/>
        </xdr:cNvGrpSpPr>
      </xdr:nvGrpSpPr>
      <xdr:grpSpPr bwMode="auto">
        <a:xfrm>
          <a:off x="1590675" y="6010275"/>
          <a:ext cx="1009650" cy="295275"/>
          <a:chOff x="124" y="623"/>
          <a:chExt cx="106" cy="31"/>
        </a:xfrm>
      </xdr:grpSpPr>
      <xdr:sp macro="" textlink="">
        <xdr:nvSpPr>
          <xdr:cNvPr id="31" name="Line 30">
            <a:extLst>
              <a:ext uri="{FF2B5EF4-FFF2-40B4-BE49-F238E27FC236}">
                <a16:creationId xmlns:a16="http://schemas.microsoft.com/office/drawing/2014/main" id="{57BDF0C9-C6C3-4A59-8110-27334F6D3008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6" y="63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Freeform 31">
            <a:extLst>
              <a:ext uri="{FF2B5EF4-FFF2-40B4-BE49-F238E27FC236}">
                <a16:creationId xmlns:a16="http://schemas.microsoft.com/office/drawing/2014/main" id="{AD653F8A-DD9A-4C01-8D88-B4334ABDD8B0}"/>
              </a:ext>
            </a:extLst>
          </xdr:cNvPr>
          <xdr:cNvSpPr>
            <a:spLocks/>
          </xdr:cNvSpPr>
        </xdr:nvSpPr>
        <xdr:spPr bwMode="auto">
          <a:xfrm rot="-10800000">
            <a:off x="124" y="63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3" name="Freeform 32">
            <a:extLst>
              <a:ext uri="{FF2B5EF4-FFF2-40B4-BE49-F238E27FC236}">
                <a16:creationId xmlns:a16="http://schemas.microsoft.com/office/drawing/2014/main" id="{68121A3C-30B7-4E40-8721-002A675894DD}"/>
              </a:ext>
            </a:extLst>
          </xdr:cNvPr>
          <xdr:cNvSpPr>
            <a:spLocks/>
          </xdr:cNvSpPr>
        </xdr:nvSpPr>
        <xdr:spPr bwMode="auto">
          <a:xfrm rot="-10800000">
            <a:off x="198" y="638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" name="Line 33">
            <a:extLst>
              <a:ext uri="{FF2B5EF4-FFF2-40B4-BE49-F238E27FC236}">
                <a16:creationId xmlns:a16="http://schemas.microsoft.com/office/drawing/2014/main" id="{FEE6A800-41C9-41CB-A275-DE34A805367E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8" y="64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Freeform 34">
            <a:extLst>
              <a:ext uri="{FF2B5EF4-FFF2-40B4-BE49-F238E27FC236}">
                <a16:creationId xmlns:a16="http://schemas.microsoft.com/office/drawing/2014/main" id="{E0D00B3E-A1CF-4EB1-90A5-C95765F78389}"/>
              </a:ext>
            </a:extLst>
          </xdr:cNvPr>
          <xdr:cNvSpPr>
            <a:spLocks/>
          </xdr:cNvSpPr>
        </xdr:nvSpPr>
        <xdr:spPr bwMode="auto">
          <a:xfrm rot="-10800000">
            <a:off x="194" y="64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6" name="Freeform 35">
            <a:extLst>
              <a:ext uri="{FF2B5EF4-FFF2-40B4-BE49-F238E27FC236}">
                <a16:creationId xmlns:a16="http://schemas.microsoft.com/office/drawing/2014/main" id="{F7BA80CA-FFBB-4784-BCC8-D54F063D138F}"/>
              </a:ext>
            </a:extLst>
          </xdr:cNvPr>
          <xdr:cNvSpPr>
            <a:spLocks/>
          </xdr:cNvSpPr>
        </xdr:nvSpPr>
        <xdr:spPr bwMode="auto">
          <a:xfrm rot="-10800000">
            <a:off x="187" y="63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7" name="Line 36">
            <a:extLst>
              <a:ext uri="{FF2B5EF4-FFF2-40B4-BE49-F238E27FC236}">
                <a16:creationId xmlns:a16="http://schemas.microsoft.com/office/drawing/2014/main" id="{5D3BB5C1-4ABC-4F23-B755-46C3EF3C0D01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87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Freeform 37">
            <a:extLst>
              <a:ext uri="{FF2B5EF4-FFF2-40B4-BE49-F238E27FC236}">
                <a16:creationId xmlns:a16="http://schemas.microsoft.com/office/drawing/2014/main" id="{B8AD5C90-FB10-4558-9C8D-0E9225A29497}"/>
              </a:ext>
            </a:extLst>
          </xdr:cNvPr>
          <xdr:cNvSpPr>
            <a:spLocks/>
          </xdr:cNvSpPr>
        </xdr:nvSpPr>
        <xdr:spPr bwMode="auto">
          <a:xfrm rot="-10800000">
            <a:off x="183" y="623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17</xdr:row>
      <xdr:rowOff>1200150</xdr:rowOff>
    </xdr:from>
    <xdr:to>
      <xdr:col>7</xdr:col>
      <xdr:colOff>200025</xdr:colOff>
      <xdr:row>17</xdr:row>
      <xdr:rowOff>1257300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D78DD61A-FC27-499F-8AD8-828E9429C837}"/>
            </a:ext>
          </a:extLst>
        </xdr:cNvPr>
        <xdr:cNvGrpSpPr>
          <a:grpSpLocks/>
        </xdr:cNvGrpSpPr>
      </xdr:nvGrpSpPr>
      <xdr:grpSpPr bwMode="auto">
        <a:xfrm>
          <a:off x="1724025" y="6391275"/>
          <a:ext cx="733425" cy="57150"/>
          <a:chOff x="123" y="549"/>
          <a:chExt cx="77" cy="6"/>
        </a:xfrm>
      </xdr:grpSpPr>
      <xdr:sp macro="" textlink="">
        <xdr:nvSpPr>
          <xdr:cNvPr id="40" name="Line 39">
            <a:extLst>
              <a:ext uri="{FF2B5EF4-FFF2-40B4-BE49-F238E27FC236}">
                <a16:creationId xmlns:a16="http://schemas.microsoft.com/office/drawing/2014/main" id="{6E399D78-B314-40F7-A20D-7D0856D4898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Freeform 40">
            <a:extLst>
              <a:ext uri="{FF2B5EF4-FFF2-40B4-BE49-F238E27FC236}">
                <a16:creationId xmlns:a16="http://schemas.microsoft.com/office/drawing/2014/main" id="{2DF81FA9-25C3-4BD9-9843-840CBD2B74B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E6B04167-2D13-4B2C-82C3-2FF791BE1C14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161925</xdr:colOff>
      <xdr:row>17</xdr:row>
      <xdr:rowOff>285750</xdr:rowOff>
    </xdr:from>
    <xdr:to>
      <xdr:col>11</xdr:col>
      <xdr:colOff>152400</xdr:colOff>
      <xdr:row>17</xdr:row>
      <xdr:rowOff>1295400</xdr:rowOff>
    </xdr:to>
    <xdr:grpSp>
      <xdr:nvGrpSpPr>
        <xdr:cNvPr id="43" name="Group 97">
          <a:extLst>
            <a:ext uri="{FF2B5EF4-FFF2-40B4-BE49-F238E27FC236}">
              <a16:creationId xmlns:a16="http://schemas.microsoft.com/office/drawing/2014/main" id="{736499C2-8AE2-4C4F-B8E3-CB242A3C5717}"/>
            </a:ext>
          </a:extLst>
        </xdr:cNvPr>
        <xdr:cNvGrpSpPr>
          <a:grpSpLocks/>
        </xdr:cNvGrpSpPr>
      </xdr:nvGrpSpPr>
      <xdr:grpSpPr bwMode="auto">
        <a:xfrm>
          <a:off x="3362325" y="5476875"/>
          <a:ext cx="304800" cy="1009650"/>
          <a:chOff x="305" y="567"/>
          <a:chExt cx="32" cy="106"/>
        </a:xfrm>
      </xdr:grpSpPr>
      <xdr:sp macro="" textlink="">
        <xdr:nvSpPr>
          <xdr:cNvPr id="44" name="Line 43">
            <a:extLst>
              <a:ext uri="{FF2B5EF4-FFF2-40B4-BE49-F238E27FC236}">
                <a16:creationId xmlns:a16="http://schemas.microsoft.com/office/drawing/2014/main" id="{22266226-13AC-4DD5-9A7F-970BA06FD73F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69" y="62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59BB3B47-792E-41B8-AA0D-3B5EE2EB5285}"/>
              </a:ext>
            </a:extLst>
          </xdr:cNvPr>
          <xdr:cNvSpPr>
            <a:spLocks/>
          </xdr:cNvSpPr>
        </xdr:nvSpPr>
        <xdr:spPr bwMode="auto">
          <a:xfrm rot="-5400000">
            <a:off x="317" y="56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6" name="Freeform 45">
            <a:extLst>
              <a:ext uri="{FF2B5EF4-FFF2-40B4-BE49-F238E27FC236}">
                <a16:creationId xmlns:a16="http://schemas.microsoft.com/office/drawing/2014/main" id="{4479F021-B3D7-4F77-BADA-122B072CE1F2}"/>
              </a:ext>
            </a:extLst>
          </xdr:cNvPr>
          <xdr:cNvSpPr>
            <a:spLocks/>
          </xdr:cNvSpPr>
        </xdr:nvSpPr>
        <xdr:spPr bwMode="auto">
          <a:xfrm rot="-5400000">
            <a:off x="313" y="641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" name="Line 46">
            <a:extLst>
              <a:ext uri="{FF2B5EF4-FFF2-40B4-BE49-F238E27FC236}">
                <a16:creationId xmlns:a16="http://schemas.microsoft.com/office/drawing/2014/main" id="{5CC2E8FF-2EDD-4BAC-B332-0E126FB680F7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09" y="63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Freeform 47">
            <a:extLst>
              <a:ext uri="{FF2B5EF4-FFF2-40B4-BE49-F238E27FC236}">
                <a16:creationId xmlns:a16="http://schemas.microsoft.com/office/drawing/2014/main" id="{C66BDEC4-0F34-4DEE-BA57-5DBC6BCF4814}"/>
              </a:ext>
            </a:extLst>
          </xdr:cNvPr>
          <xdr:cNvSpPr>
            <a:spLocks/>
          </xdr:cNvSpPr>
        </xdr:nvSpPr>
        <xdr:spPr bwMode="auto">
          <a:xfrm rot="-5400000">
            <a:off x="305" y="63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9" name="Freeform 48">
            <a:extLst>
              <a:ext uri="{FF2B5EF4-FFF2-40B4-BE49-F238E27FC236}">
                <a16:creationId xmlns:a16="http://schemas.microsoft.com/office/drawing/2014/main" id="{E8BF526A-D9B7-470D-A820-49CA3734EA88}"/>
              </a:ext>
            </a:extLst>
          </xdr:cNvPr>
          <xdr:cNvSpPr>
            <a:spLocks/>
          </xdr:cNvSpPr>
        </xdr:nvSpPr>
        <xdr:spPr bwMode="auto">
          <a:xfrm rot="-5400000">
            <a:off x="321" y="630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0" name="Line 49">
            <a:extLst>
              <a:ext uri="{FF2B5EF4-FFF2-40B4-BE49-F238E27FC236}">
                <a16:creationId xmlns:a16="http://schemas.microsoft.com/office/drawing/2014/main" id="{2531B670-C4B5-4195-BD8A-000DA3CA4880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2" y="62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Freeform 50">
            <a:extLst>
              <a:ext uri="{FF2B5EF4-FFF2-40B4-BE49-F238E27FC236}">
                <a16:creationId xmlns:a16="http://schemas.microsoft.com/office/drawing/2014/main" id="{18E46FAD-A216-4F60-87D0-B24A650D218D}"/>
              </a:ext>
            </a:extLst>
          </xdr:cNvPr>
          <xdr:cNvSpPr>
            <a:spLocks/>
          </xdr:cNvSpPr>
        </xdr:nvSpPr>
        <xdr:spPr bwMode="auto">
          <a:xfrm rot="-5400000">
            <a:off x="330" y="626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17</xdr:row>
      <xdr:rowOff>409575</xdr:rowOff>
    </xdr:from>
    <xdr:to>
      <xdr:col>13</xdr:col>
      <xdr:colOff>38100</xdr:colOff>
      <xdr:row>17</xdr:row>
      <xdr:rowOff>1143000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64125C75-62B1-4598-B555-80C877F4E520}"/>
            </a:ext>
          </a:extLst>
        </xdr:cNvPr>
        <xdr:cNvGrpSpPr>
          <a:grpSpLocks/>
        </xdr:cNvGrpSpPr>
      </xdr:nvGrpSpPr>
      <xdr:grpSpPr bwMode="auto">
        <a:xfrm rot="5400000">
          <a:off x="3786187" y="5938838"/>
          <a:ext cx="733425" cy="57150"/>
          <a:chOff x="123" y="549"/>
          <a:chExt cx="77" cy="6"/>
        </a:xfrm>
      </xdr:grpSpPr>
      <xdr:sp macro="" textlink="">
        <xdr:nvSpPr>
          <xdr:cNvPr id="53" name="Line 52">
            <a:extLst>
              <a:ext uri="{FF2B5EF4-FFF2-40B4-BE49-F238E27FC236}">
                <a16:creationId xmlns:a16="http://schemas.microsoft.com/office/drawing/2014/main" id="{6F438876-92DF-48A6-AAE6-3F69C01D450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Freeform 53">
            <a:extLst>
              <a:ext uri="{FF2B5EF4-FFF2-40B4-BE49-F238E27FC236}">
                <a16:creationId xmlns:a16="http://schemas.microsoft.com/office/drawing/2014/main" id="{994700F1-896C-4245-BAC4-0D7A47A85161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5" name="Freeform 54">
            <a:extLst>
              <a:ext uri="{FF2B5EF4-FFF2-40B4-BE49-F238E27FC236}">
                <a16:creationId xmlns:a16="http://schemas.microsoft.com/office/drawing/2014/main" id="{477955AB-72F8-408B-8216-21D38A1E816B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171450</xdr:colOff>
      <xdr:row>17</xdr:row>
      <xdr:rowOff>304800</xdr:rowOff>
    </xdr:from>
    <xdr:to>
      <xdr:col>12</xdr:col>
      <xdr:colOff>161925</xdr:colOff>
      <xdr:row>17</xdr:row>
      <xdr:rowOff>1304925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21B956E-7442-4DDC-8059-03A2BE0AE9DC}"/>
            </a:ext>
          </a:extLst>
        </xdr:cNvPr>
        <xdr:cNvGrpSpPr>
          <a:grpSpLocks/>
        </xdr:cNvGrpSpPr>
      </xdr:nvGrpSpPr>
      <xdr:grpSpPr bwMode="auto">
        <a:xfrm rot="5400000">
          <a:off x="3338512" y="5843588"/>
          <a:ext cx="1000125" cy="304800"/>
          <a:chOff x="110" y="567"/>
          <a:chExt cx="105" cy="32"/>
        </a:xfrm>
      </xdr:grpSpPr>
      <xdr:sp macro="" textlink="">
        <xdr:nvSpPr>
          <xdr:cNvPr id="57" name="Line 56">
            <a:extLst>
              <a:ext uri="{FF2B5EF4-FFF2-40B4-BE49-F238E27FC236}">
                <a16:creationId xmlns:a16="http://schemas.microsoft.com/office/drawing/2014/main" id="{9046269B-E476-4B18-A0C4-3587EFB3FC41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Freeform 57">
            <a:extLst>
              <a:ext uri="{FF2B5EF4-FFF2-40B4-BE49-F238E27FC236}">
                <a16:creationId xmlns:a16="http://schemas.microsoft.com/office/drawing/2014/main" id="{6001BC49-A789-46F0-AA5E-14D5AD8AE912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" name="Freeform 58">
            <a:extLst>
              <a:ext uri="{FF2B5EF4-FFF2-40B4-BE49-F238E27FC236}">
                <a16:creationId xmlns:a16="http://schemas.microsoft.com/office/drawing/2014/main" id="{A9B1FAFA-944B-4084-A1FA-03BD2B7964D3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0" name="Line 59">
            <a:extLst>
              <a:ext uri="{FF2B5EF4-FFF2-40B4-BE49-F238E27FC236}">
                <a16:creationId xmlns:a16="http://schemas.microsoft.com/office/drawing/2014/main" id="{3668C9A2-F4CA-457C-8BCE-F8532AAA356C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Freeform 60">
            <a:extLst>
              <a:ext uri="{FF2B5EF4-FFF2-40B4-BE49-F238E27FC236}">
                <a16:creationId xmlns:a16="http://schemas.microsoft.com/office/drawing/2014/main" id="{6C0E4F9E-E83B-4EE5-B514-800769CB9783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Freeform 61">
            <a:extLst>
              <a:ext uri="{FF2B5EF4-FFF2-40B4-BE49-F238E27FC236}">
                <a16:creationId xmlns:a16="http://schemas.microsoft.com/office/drawing/2014/main" id="{0A078D3F-465F-47C7-BE7F-1E52E99FC76A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3" name="Line 62">
            <a:extLst>
              <a:ext uri="{FF2B5EF4-FFF2-40B4-BE49-F238E27FC236}">
                <a16:creationId xmlns:a16="http://schemas.microsoft.com/office/drawing/2014/main" id="{2037D57A-A356-42F6-B7FA-987B0E7F18FE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Freeform 63">
            <a:extLst>
              <a:ext uri="{FF2B5EF4-FFF2-40B4-BE49-F238E27FC236}">
                <a16:creationId xmlns:a16="http://schemas.microsoft.com/office/drawing/2014/main" id="{E6F870F3-E2F6-41A5-AC86-306C27D17263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21</xdr:row>
      <xdr:rowOff>28575</xdr:rowOff>
    </xdr:from>
    <xdr:to>
      <xdr:col>13</xdr:col>
      <xdr:colOff>0</xdr:colOff>
      <xdr:row>21</xdr:row>
      <xdr:rowOff>171450</xdr:rowOff>
    </xdr:to>
    <xdr:sp macro="" textlink="">
      <xdr:nvSpPr>
        <xdr:cNvPr id="65" name="Freeform 64">
          <a:extLst>
            <a:ext uri="{FF2B5EF4-FFF2-40B4-BE49-F238E27FC236}">
              <a16:creationId xmlns:a16="http://schemas.microsoft.com/office/drawing/2014/main" id="{DF76C17D-F0E1-45A5-86B8-08F796AB5266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20</xdr:row>
      <xdr:rowOff>28575</xdr:rowOff>
    </xdr:from>
    <xdr:to>
      <xdr:col>10</xdr:col>
      <xdr:colOff>276225</xdr:colOff>
      <xdr:row>20</xdr:row>
      <xdr:rowOff>180975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FD5B606C-BCFD-408A-8F2E-B4E0B8AB5793}"/>
            </a:ext>
          </a:extLst>
        </xdr:cNvPr>
        <xdr:cNvGrpSpPr>
          <a:grpSpLocks/>
        </xdr:cNvGrpSpPr>
      </xdr:nvGrpSpPr>
      <xdr:grpSpPr bwMode="auto">
        <a:xfrm>
          <a:off x="3257550" y="7258050"/>
          <a:ext cx="219075" cy="152400"/>
          <a:chOff x="132" y="708"/>
          <a:chExt cx="20" cy="14"/>
        </a:xfrm>
      </xdr:grpSpPr>
      <xdr:sp macro="" textlink="">
        <xdr:nvSpPr>
          <xdr:cNvPr id="67" name="Line 66">
            <a:extLst>
              <a:ext uri="{FF2B5EF4-FFF2-40B4-BE49-F238E27FC236}">
                <a16:creationId xmlns:a16="http://schemas.microsoft.com/office/drawing/2014/main" id="{0BECE668-8D79-45FC-9A79-9A8805E5F26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67">
            <a:extLst>
              <a:ext uri="{FF2B5EF4-FFF2-40B4-BE49-F238E27FC236}">
                <a16:creationId xmlns:a16="http://schemas.microsoft.com/office/drawing/2014/main" id="{41E539DC-B966-4589-A6B0-E7C9CD83565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68">
            <a:extLst>
              <a:ext uri="{FF2B5EF4-FFF2-40B4-BE49-F238E27FC236}">
                <a16:creationId xmlns:a16="http://schemas.microsoft.com/office/drawing/2014/main" id="{EE9342D2-10C2-4C9F-9DBF-78A1B87B02F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69">
            <a:extLst>
              <a:ext uri="{FF2B5EF4-FFF2-40B4-BE49-F238E27FC236}">
                <a16:creationId xmlns:a16="http://schemas.microsoft.com/office/drawing/2014/main" id="{3FA8A90A-6DAD-4F32-B1B5-5A6AC4949683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20</xdr:row>
      <xdr:rowOff>85725</xdr:rowOff>
    </xdr:from>
    <xdr:to>
      <xdr:col>14</xdr:col>
      <xdr:colOff>0</xdr:colOff>
      <xdr:row>20</xdr:row>
      <xdr:rowOff>133350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7AB2595A-6A00-4805-92F6-D65F4E11A342}"/>
            </a:ext>
          </a:extLst>
        </xdr:cNvPr>
        <xdr:cNvGrpSpPr>
          <a:grpSpLocks/>
        </xdr:cNvGrpSpPr>
      </xdr:nvGrpSpPr>
      <xdr:grpSpPr bwMode="auto">
        <a:xfrm>
          <a:off x="3524250" y="7315200"/>
          <a:ext cx="933450" cy="47625"/>
          <a:chOff x="158" y="715"/>
          <a:chExt cx="33" cy="5"/>
        </a:xfrm>
      </xdr:grpSpPr>
      <xdr:sp macro="" textlink="">
        <xdr:nvSpPr>
          <xdr:cNvPr id="72" name="Line 71">
            <a:extLst>
              <a:ext uri="{FF2B5EF4-FFF2-40B4-BE49-F238E27FC236}">
                <a16:creationId xmlns:a16="http://schemas.microsoft.com/office/drawing/2014/main" id="{DBF977DA-0D95-4D6B-9488-484F3A4B6A2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72">
            <a:extLst>
              <a:ext uri="{FF2B5EF4-FFF2-40B4-BE49-F238E27FC236}">
                <a16:creationId xmlns:a16="http://schemas.microsoft.com/office/drawing/2014/main" id="{3537EC38-A458-4CCE-A4BD-7BA728B4051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85725</xdr:rowOff>
    </xdr:from>
    <xdr:to>
      <xdr:col>14</xdr:col>
      <xdr:colOff>9525</xdr:colOff>
      <xdr:row>21</xdr:row>
      <xdr:rowOff>133350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B43E7BE9-143B-4374-B5A0-AE0ECCC3E9EC}"/>
            </a:ext>
          </a:extLst>
        </xdr:cNvPr>
        <xdr:cNvGrpSpPr>
          <a:grpSpLocks/>
        </xdr:cNvGrpSpPr>
      </xdr:nvGrpSpPr>
      <xdr:grpSpPr bwMode="auto">
        <a:xfrm>
          <a:off x="4152900" y="7543800"/>
          <a:ext cx="314325" cy="47625"/>
          <a:chOff x="158" y="715"/>
          <a:chExt cx="33" cy="5"/>
        </a:xfrm>
      </xdr:grpSpPr>
      <xdr:sp macro="" textlink="">
        <xdr:nvSpPr>
          <xdr:cNvPr id="75" name="Line 74">
            <a:extLst>
              <a:ext uri="{FF2B5EF4-FFF2-40B4-BE49-F238E27FC236}">
                <a16:creationId xmlns:a16="http://schemas.microsoft.com/office/drawing/2014/main" id="{46B7A12A-3180-43E1-A004-5D4A6A6C54E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75">
            <a:extLst>
              <a:ext uri="{FF2B5EF4-FFF2-40B4-BE49-F238E27FC236}">
                <a16:creationId xmlns:a16="http://schemas.microsoft.com/office/drawing/2014/main" id="{49223C0F-6AF5-4889-9059-C0D5E8356D7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20</xdr:row>
      <xdr:rowOff>85725</xdr:rowOff>
    </xdr:from>
    <xdr:to>
      <xdr:col>9</xdr:col>
      <xdr:colOff>9525</xdr:colOff>
      <xdr:row>20</xdr:row>
      <xdr:rowOff>133350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BBCC2992-CB54-48E8-BEAD-45A689B6757C}"/>
            </a:ext>
          </a:extLst>
        </xdr:cNvPr>
        <xdr:cNvGrpSpPr>
          <a:grpSpLocks/>
        </xdr:cNvGrpSpPr>
      </xdr:nvGrpSpPr>
      <xdr:grpSpPr bwMode="auto">
        <a:xfrm>
          <a:off x="1323975" y="7315200"/>
          <a:ext cx="1571625" cy="47625"/>
          <a:chOff x="158" y="715"/>
          <a:chExt cx="33" cy="5"/>
        </a:xfrm>
      </xdr:grpSpPr>
      <xdr:sp macro="" textlink="">
        <xdr:nvSpPr>
          <xdr:cNvPr id="78" name="Line 77">
            <a:extLst>
              <a:ext uri="{FF2B5EF4-FFF2-40B4-BE49-F238E27FC236}">
                <a16:creationId xmlns:a16="http://schemas.microsoft.com/office/drawing/2014/main" id="{A0FFAF82-4EE5-443D-83E0-4F6639CF06F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78">
            <a:extLst>
              <a:ext uri="{FF2B5EF4-FFF2-40B4-BE49-F238E27FC236}">
                <a16:creationId xmlns:a16="http://schemas.microsoft.com/office/drawing/2014/main" id="{D8062861-5910-4241-97AB-F33B9287F22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20</xdr:row>
      <xdr:rowOff>114300</xdr:rowOff>
    </xdr:from>
    <xdr:to>
      <xdr:col>10</xdr:col>
      <xdr:colOff>9525</xdr:colOff>
      <xdr:row>20</xdr:row>
      <xdr:rowOff>114300</xdr:rowOff>
    </xdr:to>
    <xdr:sp macro="" textlink="">
      <xdr:nvSpPr>
        <xdr:cNvPr id="80" name="Line 79">
          <a:extLst>
            <a:ext uri="{FF2B5EF4-FFF2-40B4-BE49-F238E27FC236}">
              <a16:creationId xmlns:a16="http://schemas.microsoft.com/office/drawing/2014/main" id="{27BBF280-59D1-477C-86E1-EC0EB773A5F7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21</xdr:row>
      <xdr:rowOff>114300</xdr:rowOff>
    </xdr:from>
    <xdr:to>
      <xdr:col>12</xdr:col>
      <xdr:colOff>9525</xdr:colOff>
      <xdr:row>21</xdr:row>
      <xdr:rowOff>114300</xdr:rowOff>
    </xdr:to>
    <xdr:sp macro="" textlink="">
      <xdr:nvSpPr>
        <xdr:cNvPr id="81" name="Line 80">
          <a:extLst>
            <a:ext uri="{FF2B5EF4-FFF2-40B4-BE49-F238E27FC236}">
              <a16:creationId xmlns:a16="http://schemas.microsoft.com/office/drawing/2014/main" id="{7CDAA326-5AC7-4CA2-9EED-0193BD2CD9CC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85725</xdr:rowOff>
    </xdr:from>
    <xdr:to>
      <xdr:col>9</xdr:col>
      <xdr:colOff>9525</xdr:colOff>
      <xdr:row>21</xdr:row>
      <xdr:rowOff>133350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AFB948BA-77AD-43F9-82E8-9BC834F2E87A}"/>
            </a:ext>
          </a:extLst>
        </xdr:cNvPr>
        <xdr:cNvGrpSpPr>
          <a:grpSpLocks/>
        </xdr:cNvGrpSpPr>
      </xdr:nvGrpSpPr>
      <xdr:grpSpPr bwMode="auto">
        <a:xfrm>
          <a:off x="1314450" y="7543800"/>
          <a:ext cx="1581150" cy="47625"/>
          <a:chOff x="158" y="715"/>
          <a:chExt cx="33" cy="5"/>
        </a:xfrm>
      </xdr:grpSpPr>
      <xdr:sp macro="" textlink="">
        <xdr:nvSpPr>
          <xdr:cNvPr id="83" name="Line 82">
            <a:extLst>
              <a:ext uri="{FF2B5EF4-FFF2-40B4-BE49-F238E27FC236}">
                <a16:creationId xmlns:a16="http://schemas.microsoft.com/office/drawing/2014/main" id="{5AA86872-EBD9-4F1D-B150-54DB3DE8C3C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83">
            <a:extLst>
              <a:ext uri="{FF2B5EF4-FFF2-40B4-BE49-F238E27FC236}">
                <a16:creationId xmlns:a16="http://schemas.microsoft.com/office/drawing/2014/main" id="{CC94E894-53F8-43C2-AD4D-3714690FBE9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17</xdr:row>
      <xdr:rowOff>419100</xdr:rowOff>
    </xdr:from>
    <xdr:to>
      <xdr:col>10</xdr:col>
      <xdr:colOff>38100</xdr:colOff>
      <xdr:row>17</xdr:row>
      <xdr:rowOff>1152525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B8B3D85E-C0BF-4AF8-83D8-E104D3A02161}"/>
            </a:ext>
          </a:extLst>
        </xdr:cNvPr>
        <xdr:cNvGrpSpPr>
          <a:grpSpLocks/>
        </xdr:cNvGrpSpPr>
      </xdr:nvGrpSpPr>
      <xdr:grpSpPr bwMode="auto">
        <a:xfrm rot="5400000">
          <a:off x="2843212" y="5948363"/>
          <a:ext cx="733425" cy="57150"/>
          <a:chOff x="123" y="549"/>
          <a:chExt cx="77" cy="6"/>
        </a:xfrm>
      </xdr:grpSpPr>
      <xdr:sp macro="" textlink="">
        <xdr:nvSpPr>
          <xdr:cNvPr id="87" name="Line 86">
            <a:extLst>
              <a:ext uri="{FF2B5EF4-FFF2-40B4-BE49-F238E27FC236}">
                <a16:creationId xmlns:a16="http://schemas.microsoft.com/office/drawing/2014/main" id="{642B3D9B-8297-47FB-97BB-567152155EC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Freeform 87">
            <a:extLst>
              <a:ext uri="{FF2B5EF4-FFF2-40B4-BE49-F238E27FC236}">
                <a16:creationId xmlns:a16="http://schemas.microsoft.com/office/drawing/2014/main" id="{148C4461-AC42-4A18-B7B7-F1881B7175C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9" name="Freeform 88">
            <a:extLst>
              <a:ext uri="{FF2B5EF4-FFF2-40B4-BE49-F238E27FC236}">
                <a16:creationId xmlns:a16="http://schemas.microsoft.com/office/drawing/2014/main" id="{20B8C7B6-4207-4582-8963-E1B08F8ED8FD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6</xdr:col>
      <xdr:colOff>19050</xdr:colOff>
      <xdr:row>17</xdr:row>
      <xdr:rowOff>1266825</xdr:rowOff>
    </xdr:from>
    <xdr:ext cx="303536" cy="150041"/>
    <xdr:sp macro="" textlink="">
      <xdr:nvSpPr>
        <xdr:cNvPr id="92" name="Text Box 91">
          <a:extLst>
            <a:ext uri="{FF2B5EF4-FFF2-40B4-BE49-F238E27FC236}">
              <a16:creationId xmlns:a16="http://schemas.microsoft.com/office/drawing/2014/main" id="{5FF9E551-52B2-4D9A-A8F9-F7229D35AFBB}"/>
            </a:ext>
          </a:extLst>
        </xdr:cNvPr>
        <xdr:cNvSpPr txBox="1">
          <a:spLocks noChangeArrowheads="1"/>
        </xdr:cNvSpPr>
      </xdr:nvSpPr>
      <xdr:spPr bwMode="auto">
        <a:xfrm>
          <a:off x="1962150" y="6457950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9</xdr:col>
      <xdr:colOff>171450</xdr:colOff>
      <xdr:row>17</xdr:row>
      <xdr:rowOff>1200150</xdr:rowOff>
    </xdr:from>
    <xdr:ext cx="361244" cy="150041"/>
    <xdr:sp macro="" textlink="">
      <xdr:nvSpPr>
        <xdr:cNvPr id="93" name="Text Box 92">
          <a:extLst>
            <a:ext uri="{FF2B5EF4-FFF2-40B4-BE49-F238E27FC236}">
              <a16:creationId xmlns:a16="http://schemas.microsoft.com/office/drawing/2014/main" id="{0C7A7DDB-EEF4-4F56-9332-10233CC5C8A6}"/>
            </a:ext>
          </a:extLst>
        </xdr:cNvPr>
        <xdr:cNvSpPr txBox="1">
          <a:spLocks noChangeArrowheads="1"/>
        </xdr:cNvSpPr>
      </xdr:nvSpPr>
      <xdr:spPr bwMode="auto">
        <a:xfrm>
          <a:off x="3057525" y="63912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13.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0</xdr:col>
      <xdr:colOff>38100</xdr:colOff>
      <xdr:row>13</xdr:row>
      <xdr:rowOff>104775</xdr:rowOff>
    </xdr:from>
    <xdr:ext cx="844265" cy="336434"/>
    <xdr:sp macro="" textlink="">
      <xdr:nvSpPr>
        <xdr:cNvPr id="94" name="Text Box 93">
          <a:extLst>
            <a:ext uri="{FF2B5EF4-FFF2-40B4-BE49-F238E27FC236}">
              <a16:creationId xmlns:a16="http://schemas.microsoft.com/office/drawing/2014/main" id="{57740858-E0C4-46AA-8A43-332CAB3F1D38}"/>
            </a:ext>
          </a:extLst>
        </xdr:cNvPr>
        <xdr:cNvSpPr txBox="1">
          <a:spLocks noChangeArrowheads="1"/>
        </xdr:cNvSpPr>
      </xdr:nvSpPr>
      <xdr:spPr bwMode="auto">
        <a:xfrm>
          <a:off x="38100" y="4381500"/>
          <a:ext cx="844265" cy="336434"/>
        </a:xfrm>
        <a:prstGeom prst="rect">
          <a:avLst/>
        </a:prstGeom>
        <a:solidFill>
          <a:sysClr val="window" lastClr="FFFFFF"/>
        </a:solidFill>
        <a:ln>
          <a:noFill/>
        </a:ln>
        <a:effectLst/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7</xdr:col>
      <xdr:colOff>266700</xdr:colOff>
      <xdr:row>17</xdr:row>
      <xdr:rowOff>1171575</xdr:rowOff>
    </xdr:from>
    <xdr:ext cx="361244" cy="150041"/>
    <xdr:sp macro="" textlink="">
      <xdr:nvSpPr>
        <xdr:cNvPr id="96" name="Text Box 98">
          <a:extLst>
            <a:ext uri="{FF2B5EF4-FFF2-40B4-BE49-F238E27FC236}">
              <a16:creationId xmlns:a16="http://schemas.microsoft.com/office/drawing/2014/main" id="{D6C056CE-F9D6-45A9-A95A-92922196941E}"/>
            </a:ext>
          </a:extLst>
        </xdr:cNvPr>
        <xdr:cNvSpPr txBox="1">
          <a:spLocks noChangeArrowheads="1"/>
        </xdr:cNvSpPr>
      </xdr:nvSpPr>
      <xdr:spPr bwMode="auto">
        <a:xfrm>
          <a:off x="2524125" y="63627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4</xdr:col>
      <xdr:colOff>9525</xdr:colOff>
      <xdr:row>17</xdr:row>
      <xdr:rowOff>238125</xdr:rowOff>
    </xdr:from>
    <xdr:ext cx="361244" cy="150041"/>
    <xdr:sp macro="" textlink="">
      <xdr:nvSpPr>
        <xdr:cNvPr id="97" name="Text Box 99">
          <a:extLst>
            <a:ext uri="{FF2B5EF4-FFF2-40B4-BE49-F238E27FC236}">
              <a16:creationId xmlns:a16="http://schemas.microsoft.com/office/drawing/2014/main" id="{BA00E908-0F20-42C1-B3F8-BD409ECFEE68}"/>
            </a:ext>
          </a:extLst>
        </xdr:cNvPr>
        <xdr:cNvSpPr txBox="1">
          <a:spLocks noChangeArrowheads="1"/>
        </xdr:cNvSpPr>
      </xdr:nvSpPr>
      <xdr:spPr bwMode="auto">
        <a:xfrm>
          <a:off x="1323975" y="54292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6</xdr:col>
      <xdr:colOff>19050</xdr:colOff>
      <xdr:row>17</xdr:row>
      <xdr:rowOff>123825</xdr:rowOff>
    </xdr:from>
    <xdr:ext cx="303536" cy="150041"/>
    <xdr:sp macro="" textlink="">
      <xdr:nvSpPr>
        <xdr:cNvPr id="98" name="Text Box 101">
          <a:extLst>
            <a:ext uri="{FF2B5EF4-FFF2-40B4-BE49-F238E27FC236}">
              <a16:creationId xmlns:a16="http://schemas.microsoft.com/office/drawing/2014/main" id="{712FF2DD-8D31-47BA-8548-ABDEB3731984}"/>
            </a:ext>
          </a:extLst>
        </xdr:cNvPr>
        <xdr:cNvSpPr txBox="1">
          <a:spLocks noChangeArrowheads="1"/>
        </xdr:cNvSpPr>
      </xdr:nvSpPr>
      <xdr:spPr bwMode="auto">
        <a:xfrm>
          <a:off x="1962150" y="5314950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12</xdr:col>
      <xdr:colOff>171450</xdr:colOff>
      <xdr:row>17</xdr:row>
      <xdr:rowOff>1200150</xdr:rowOff>
    </xdr:from>
    <xdr:ext cx="361244" cy="150041"/>
    <xdr:sp macro="" textlink="">
      <xdr:nvSpPr>
        <xdr:cNvPr id="99" name="Text Box 102">
          <a:extLst>
            <a:ext uri="{FF2B5EF4-FFF2-40B4-BE49-F238E27FC236}">
              <a16:creationId xmlns:a16="http://schemas.microsoft.com/office/drawing/2014/main" id="{6DC9C945-97F2-4D8C-82E7-3E802CF51146}"/>
            </a:ext>
          </a:extLst>
        </xdr:cNvPr>
        <xdr:cNvSpPr txBox="1">
          <a:spLocks noChangeArrowheads="1"/>
        </xdr:cNvSpPr>
      </xdr:nvSpPr>
      <xdr:spPr bwMode="auto">
        <a:xfrm>
          <a:off x="4000500" y="63912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12</xdr:col>
      <xdr:colOff>142875</xdr:colOff>
      <xdr:row>17</xdr:row>
      <xdr:rowOff>200025</xdr:rowOff>
    </xdr:from>
    <xdr:ext cx="361244" cy="150041"/>
    <xdr:sp macro="" textlink="">
      <xdr:nvSpPr>
        <xdr:cNvPr id="100" name="Text Box 103">
          <a:extLst>
            <a:ext uri="{FF2B5EF4-FFF2-40B4-BE49-F238E27FC236}">
              <a16:creationId xmlns:a16="http://schemas.microsoft.com/office/drawing/2014/main" id="{EC79A1EB-4A08-4669-A406-EE952AE566E4}"/>
            </a:ext>
          </a:extLst>
        </xdr:cNvPr>
        <xdr:cNvSpPr txBox="1">
          <a:spLocks noChangeArrowheads="1"/>
        </xdr:cNvSpPr>
      </xdr:nvSpPr>
      <xdr:spPr bwMode="auto">
        <a:xfrm>
          <a:off x="3971925" y="53911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9</xdr:col>
      <xdr:colOff>142875</xdr:colOff>
      <xdr:row>17</xdr:row>
      <xdr:rowOff>228600</xdr:rowOff>
    </xdr:from>
    <xdr:ext cx="361244" cy="150041"/>
    <xdr:sp macro="" textlink="">
      <xdr:nvSpPr>
        <xdr:cNvPr id="101" name="Text Box 104">
          <a:extLst>
            <a:ext uri="{FF2B5EF4-FFF2-40B4-BE49-F238E27FC236}">
              <a16:creationId xmlns:a16="http://schemas.microsoft.com/office/drawing/2014/main" id="{72219263-703E-4D55-8532-A8478FD59E7B}"/>
            </a:ext>
          </a:extLst>
        </xdr:cNvPr>
        <xdr:cNvSpPr txBox="1">
          <a:spLocks noChangeArrowheads="1"/>
        </xdr:cNvSpPr>
      </xdr:nvSpPr>
      <xdr:spPr bwMode="auto">
        <a:xfrm>
          <a:off x="3028950" y="54197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16</xdr:col>
      <xdr:colOff>66675</xdr:colOff>
      <xdr:row>9</xdr:row>
      <xdr:rowOff>647700</xdr:rowOff>
    </xdr:from>
    <xdr:to>
      <xdr:col>19</xdr:col>
      <xdr:colOff>171450</xdr:colOff>
      <xdr:row>9</xdr:row>
      <xdr:rowOff>657225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7BFCEBA9-00DE-4A8B-BEDF-C6D78C3FF803}"/>
            </a:ext>
          </a:extLst>
        </xdr:cNvPr>
        <xdr:cNvCxnSpPr/>
      </xdr:nvCxnSpPr>
      <xdr:spPr>
        <a:xfrm flipH="1" flipV="1">
          <a:off x="5153025" y="2362200"/>
          <a:ext cx="1047750" cy="952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209547</xdr:colOff>
      <xdr:row>9</xdr:row>
      <xdr:rowOff>552447</xdr:rowOff>
    </xdr:from>
    <xdr:ext cx="468389" cy="187872"/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B200F14F-10F1-4B81-8B7F-31F275ACF67F}"/>
            </a:ext>
          </a:extLst>
        </xdr:cNvPr>
        <xdr:cNvSpPr txBox="1"/>
      </xdr:nvSpPr>
      <xdr:spPr>
        <a:xfrm>
          <a:off x="4667247" y="2266947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28.1m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>
    <xdr:from>
      <xdr:col>17</xdr:col>
      <xdr:colOff>209550</xdr:colOff>
      <xdr:row>8</xdr:row>
      <xdr:rowOff>219074</xdr:rowOff>
    </xdr:from>
    <xdr:to>
      <xdr:col>17</xdr:col>
      <xdr:colOff>238125</xdr:colOff>
      <xdr:row>9</xdr:row>
      <xdr:rowOff>1800225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id="{FCD433A7-CED8-44A8-8356-3A7B99B3B20A}"/>
            </a:ext>
          </a:extLst>
        </xdr:cNvPr>
        <xdr:cNvCxnSpPr/>
      </xdr:nvCxnSpPr>
      <xdr:spPr>
        <a:xfrm flipH="1">
          <a:off x="5610225" y="1704974"/>
          <a:ext cx="28575" cy="1809751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47622</xdr:colOff>
      <xdr:row>9</xdr:row>
      <xdr:rowOff>1019174</xdr:rowOff>
    </xdr:from>
    <xdr:ext cx="468389" cy="187872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0DAE4D68-84BA-47B2-8549-346F26A76FFD}"/>
            </a:ext>
          </a:extLst>
        </xdr:cNvPr>
        <xdr:cNvSpPr txBox="1"/>
      </xdr:nvSpPr>
      <xdr:spPr>
        <a:xfrm>
          <a:off x="5133972" y="2733674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31.2m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22</xdr:col>
      <xdr:colOff>161924</xdr:colOff>
      <xdr:row>9</xdr:row>
      <xdr:rowOff>1085849</xdr:rowOff>
    </xdr:from>
    <xdr:to>
      <xdr:col>23</xdr:col>
      <xdr:colOff>134851</xdr:colOff>
      <xdr:row>9</xdr:row>
      <xdr:rowOff>1373849</xdr:rowOff>
    </xdr:to>
    <xdr:pic>
      <xdr:nvPicPr>
        <xdr:cNvPr id="115" name="図 114">
          <a:extLst>
            <a:ext uri="{FF2B5EF4-FFF2-40B4-BE49-F238E27FC236}">
              <a16:creationId xmlns:a16="http://schemas.microsoft.com/office/drawing/2014/main" id="{0D7EF839-9082-4C60-B22A-6E3404C33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4224" y="2800349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104774</xdr:colOff>
      <xdr:row>9</xdr:row>
      <xdr:rowOff>504824</xdr:rowOff>
    </xdr:from>
    <xdr:to>
      <xdr:col>11</xdr:col>
      <xdr:colOff>77701</xdr:colOff>
      <xdr:row>9</xdr:row>
      <xdr:rowOff>792824</xdr:rowOff>
    </xdr:to>
    <xdr:pic>
      <xdr:nvPicPr>
        <xdr:cNvPr id="116" name="図 115">
          <a:extLst>
            <a:ext uri="{FF2B5EF4-FFF2-40B4-BE49-F238E27FC236}">
              <a16:creationId xmlns:a16="http://schemas.microsoft.com/office/drawing/2014/main" id="{50878D22-E3A7-4120-B944-5F49140AF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5174" y="2219324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17</xdr:col>
      <xdr:colOff>66674</xdr:colOff>
      <xdr:row>12</xdr:row>
      <xdr:rowOff>57149</xdr:rowOff>
    </xdr:from>
    <xdr:to>
      <xdr:col>18</xdr:col>
      <xdr:colOff>39601</xdr:colOff>
      <xdr:row>13</xdr:row>
      <xdr:rowOff>116549</xdr:rowOff>
    </xdr:to>
    <xdr:pic>
      <xdr:nvPicPr>
        <xdr:cNvPr id="117" name="図 116">
          <a:extLst>
            <a:ext uri="{FF2B5EF4-FFF2-40B4-BE49-F238E27FC236}">
              <a16:creationId xmlns:a16="http://schemas.microsoft.com/office/drawing/2014/main" id="{0CC62E9F-030C-4080-9746-3144A5721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7349" y="4105274"/>
          <a:ext cx="287252" cy="288000"/>
        </a:xfrm>
        <a:prstGeom prst="rect">
          <a:avLst/>
        </a:prstGeom>
      </xdr:spPr>
    </xdr:pic>
    <xdr:clientData/>
  </xdr:twoCellAnchor>
  <xdr:twoCellAnchor>
    <xdr:from>
      <xdr:col>17</xdr:col>
      <xdr:colOff>95249</xdr:colOff>
      <xdr:row>4</xdr:row>
      <xdr:rowOff>152399</xdr:rowOff>
    </xdr:from>
    <xdr:to>
      <xdr:col>18</xdr:col>
      <xdr:colOff>41508</xdr:colOff>
      <xdr:row>6</xdr:row>
      <xdr:rowOff>103692</xdr:rowOff>
    </xdr:to>
    <xdr:grpSp>
      <xdr:nvGrpSpPr>
        <xdr:cNvPr id="118" name="グループ化 117">
          <a:extLst>
            <a:ext uri="{FF2B5EF4-FFF2-40B4-BE49-F238E27FC236}">
              <a16:creationId xmlns:a16="http://schemas.microsoft.com/office/drawing/2014/main" id="{0996CDBF-5636-46D0-B456-F789AF88DE81}"/>
            </a:ext>
          </a:extLst>
        </xdr:cNvPr>
        <xdr:cNvGrpSpPr/>
      </xdr:nvGrpSpPr>
      <xdr:grpSpPr>
        <a:xfrm>
          <a:off x="5495924" y="723899"/>
          <a:ext cx="260584" cy="408493"/>
          <a:chOff x="4867327" y="302986"/>
          <a:chExt cx="260584" cy="408493"/>
        </a:xfrm>
      </xdr:grpSpPr>
      <xdr:sp macro="" textlink="">
        <xdr:nvSpPr>
          <xdr:cNvPr id="119" name="Text Box 216">
            <a:extLst>
              <a:ext uri="{FF2B5EF4-FFF2-40B4-BE49-F238E27FC236}">
                <a16:creationId xmlns:a16="http://schemas.microsoft.com/office/drawing/2014/main" id="{755DD938-B454-44D6-9B2E-34A9D8493A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7327" y="302986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sp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120" name="図 119">
            <a:extLst>
              <a:ext uri="{FF2B5EF4-FFF2-40B4-BE49-F238E27FC236}">
                <a16:creationId xmlns:a16="http://schemas.microsoft.com/office/drawing/2014/main" id="{0593DA11-0173-457B-A2EB-3330CDAEC9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82468" y="477479"/>
            <a:ext cx="233392" cy="234000"/>
          </a:xfrm>
          <a:prstGeom prst="rect">
            <a:avLst/>
          </a:prstGeom>
        </xdr:spPr>
      </xdr:pic>
    </xdr:grpSp>
    <xdr:clientData/>
  </xdr:twoCellAnchor>
  <xdr:oneCellAnchor>
    <xdr:from>
      <xdr:col>20</xdr:col>
      <xdr:colOff>152400</xdr:colOff>
      <xdr:row>17</xdr:row>
      <xdr:rowOff>1057275</xdr:rowOff>
    </xdr:from>
    <xdr:ext cx="1343025" cy="885825"/>
    <xdr:sp macro="" textlink="">
      <xdr:nvSpPr>
        <xdr:cNvPr id="85" name="Text Box 91">
          <a:extLst>
            <a:ext uri="{FF2B5EF4-FFF2-40B4-BE49-F238E27FC236}">
              <a16:creationId xmlns:a16="http://schemas.microsoft.com/office/drawing/2014/main" id="{7C1B402D-3776-47B8-B613-44FA66ED1DDB}"/>
            </a:ext>
          </a:extLst>
        </xdr:cNvPr>
        <xdr:cNvSpPr txBox="1">
          <a:spLocks noChangeArrowheads="1"/>
        </xdr:cNvSpPr>
      </xdr:nvSpPr>
      <xdr:spPr bwMode="auto">
        <a:xfrm>
          <a:off x="6496050" y="6248400"/>
          <a:ext cx="1343025" cy="885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EC6780K+34001151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EC6780K-6229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F32994DC-E0CF-46E3-8E32-B2D6B0673E66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285750</xdr:colOff>
      <xdr:row>15</xdr:row>
      <xdr:rowOff>447675</xdr:rowOff>
    </xdr:from>
    <xdr:to>
      <xdr:col>8</xdr:col>
      <xdr:colOff>28575</xdr:colOff>
      <xdr:row>15</xdr:row>
      <xdr:rowOff>752475</xdr:rowOff>
    </xdr:to>
    <xdr:grpSp>
      <xdr:nvGrpSpPr>
        <xdr:cNvPr id="1026" name="Group 2">
          <a:extLst>
            <a:ext uri="{FF2B5EF4-FFF2-40B4-BE49-F238E27FC236}">
              <a16:creationId xmlns:a16="http://schemas.microsoft.com/office/drawing/2014/main" id="{5B2B8AEC-94E9-40ED-97AB-3B79FD31E895}"/>
            </a:ext>
          </a:extLst>
        </xdr:cNvPr>
        <xdr:cNvGrpSpPr>
          <a:grpSpLocks/>
        </xdr:cNvGrpSpPr>
      </xdr:nvGrpSpPr>
      <xdr:grpSpPr bwMode="auto">
        <a:xfrm>
          <a:off x="1162050" y="5562600"/>
          <a:ext cx="1000125" cy="304800"/>
          <a:chOff x="110" y="567"/>
          <a:chExt cx="105" cy="32"/>
        </a:xfrm>
      </xdr:grpSpPr>
      <xdr:sp macro="" textlink="">
        <xdr:nvSpPr>
          <xdr:cNvPr id="1027" name="Line 3">
            <a:extLst>
              <a:ext uri="{FF2B5EF4-FFF2-40B4-BE49-F238E27FC236}">
                <a16:creationId xmlns:a16="http://schemas.microsoft.com/office/drawing/2014/main" id="{63C185D0-481B-45BE-A898-3F35204A7DA7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8" name="Freeform 4">
            <a:extLst>
              <a:ext uri="{FF2B5EF4-FFF2-40B4-BE49-F238E27FC236}">
                <a16:creationId xmlns:a16="http://schemas.microsoft.com/office/drawing/2014/main" id="{374BBC76-F741-44B3-A223-B8794836D24E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29" name="Freeform 5">
            <a:extLst>
              <a:ext uri="{FF2B5EF4-FFF2-40B4-BE49-F238E27FC236}">
                <a16:creationId xmlns:a16="http://schemas.microsoft.com/office/drawing/2014/main" id="{6BE330C6-14AF-4419-AED2-E1DDED8DAE08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0" name="Line 6">
            <a:extLst>
              <a:ext uri="{FF2B5EF4-FFF2-40B4-BE49-F238E27FC236}">
                <a16:creationId xmlns:a16="http://schemas.microsoft.com/office/drawing/2014/main" id="{9C4E4F03-155E-4E6A-B616-1DF3BD8B550F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Freeform 7">
            <a:extLst>
              <a:ext uri="{FF2B5EF4-FFF2-40B4-BE49-F238E27FC236}">
                <a16:creationId xmlns:a16="http://schemas.microsoft.com/office/drawing/2014/main" id="{72E6B6B2-CC6F-415E-9414-D09206EA923B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2" name="Freeform 8">
            <a:extLst>
              <a:ext uri="{FF2B5EF4-FFF2-40B4-BE49-F238E27FC236}">
                <a16:creationId xmlns:a16="http://schemas.microsoft.com/office/drawing/2014/main" id="{53A25B05-9F0C-483A-93F2-0FB7B4C2E3DC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3" name="Line 9">
            <a:extLst>
              <a:ext uri="{FF2B5EF4-FFF2-40B4-BE49-F238E27FC236}">
                <a16:creationId xmlns:a16="http://schemas.microsoft.com/office/drawing/2014/main" id="{84767FDE-7996-4115-BE74-D4B1C204291E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4" name="Freeform 10">
            <a:extLst>
              <a:ext uri="{FF2B5EF4-FFF2-40B4-BE49-F238E27FC236}">
                <a16:creationId xmlns:a16="http://schemas.microsoft.com/office/drawing/2014/main" id="{7B484190-0F43-4840-8409-972F84D46761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F64F1763-5ED9-4BC3-9683-F9C7E7A3A0DE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38100</xdr:rowOff>
    </xdr:from>
    <xdr:to>
      <xdr:col>7</xdr:col>
      <xdr:colOff>304800</xdr:colOff>
      <xdr:row>17</xdr:row>
      <xdr:rowOff>180975</xdr:rowOff>
    </xdr:to>
    <xdr:sp macro="" textlink="">
      <xdr:nvSpPr>
        <xdr:cNvPr id="1036" name="Freeform 12">
          <a:extLst>
            <a:ext uri="{FF2B5EF4-FFF2-40B4-BE49-F238E27FC236}">
              <a16:creationId xmlns:a16="http://schemas.microsoft.com/office/drawing/2014/main" id="{05C733CB-F22D-407C-B02D-10150611A7FF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37" name="Group 13">
          <a:extLst>
            <a:ext uri="{FF2B5EF4-FFF2-40B4-BE49-F238E27FC236}">
              <a16:creationId xmlns:a16="http://schemas.microsoft.com/office/drawing/2014/main" id="{3648B93A-601A-4DD4-9968-6D9A6B3217EE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6CA431C1-9FD5-4EF4-915A-814FB548830A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51705BB0-B7F1-4C8D-BD09-E1992B2C8C0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0" name="Line 16">
            <a:extLst>
              <a:ext uri="{FF2B5EF4-FFF2-40B4-BE49-F238E27FC236}">
                <a16:creationId xmlns:a16="http://schemas.microsoft.com/office/drawing/2014/main" id="{9F8F7822-BC6D-40EA-BD74-34D40361DC8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1" name="Line 17">
            <a:extLst>
              <a:ext uri="{FF2B5EF4-FFF2-40B4-BE49-F238E27FC236}">
                <a16:creationId xmlns:a16="http://schemas.microsoft.com/office/drawing/2014/main" id="{E858BEA6-018A-4D51-94FD-4C81214F141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042" name="Group 18">
          <a:extLst>
            <a:ext uri="{FF2B5EF4-FFF2-40B4-BE49-F238E27FC236}">
              <a16:creationId xmlns:a16="http://schemas.microsoft.com/office/drawing/2014/main" id="{A254F4B2-F392-40F0-AA66-D88FE0D79649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50D1C4F7-A987-4952-8516-0EF9C297F2F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BF5EEF84-A478-474C-A36B-E4B1498A84D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7F24D615-83C8-4BC5-95CB-B265D63F0D57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1046" name="Group 22">
          <a:extLst>
            <a:ext uri="{FF2B5EF4-FFF2-40B4-BE49-F238E27FC236}">
              <a16:creationId xmlns:a16="http://schemas.microsoft.com/office/drawing/2014/main" id="{E983211B-BD99-4C13-B0FA-C4BD1631A17E}"/>
            </a:ext>
          </a:extLst>
        </xdr:cNvPr>
        <xdr:cNvGrpSpPr>
          <a:grpSpLocks/>
        </xdr:cNvGrpSpPr>
      </xdr:nvGrpSpPr>
      <xdr:grpSpPr bwMode="auto">
        <a:xfrm>
          <a:off x="2143125" y="7019925"/>
          <a:ext cx="1885950" cy="47625"/>
          <a:chOff x="158" y="715"/>
          <a:chExt cx="33" cy="5"/>
        </a:xfrm>
      </xdr:grpSpPr>
      <xdr:sp macro="" textlink="">
        <xdr:nvSpPr>
          <xdr:cNvPr id="1047" name="Line 23">
            <a:extLst>
              <a:ext uri="{FF2B5EF4-FFF2-40B4-BE49-F238E27FC236}">
                <a16:creationId xmlns:a16="http://schemas.microsoft.com/office/drawing/2014/main" id="{2FA91711-4AAF-4C54-81D0-FBF4FC81855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922DD82B-E20C-4AF4-A183-8C539E9039D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15</xdr:row>
      <xdr:rowOff>276225</xdr:rowOff>
    </xdr:from>
    <xdr:to>
      <xdr:col>7</xdr:col>
      <xdr:colOff>200025</xdr:colOff>
      <xdr:row>15</xdr:row>
      <xdr:rowOff>333375</xdr:rowOff>
    </xdr:to>
    <xdr:grpSp>
      <xdr:nvGrpSpPr>
        <xdr:cNvPr id="1049" name="Group 25">
          <a:extLst>
            <a:ext uri="{FF2B5EF4-FFF2-40B4-BE49-F238E27FC236}">
              <a16:creationId xmlns:a16="http://schemas.microsoft.com/office/drawing/2014/main" id="{0C2D2B53-28E6-4908-A5EB-44B052175050}"/>
            </a:ext>
          </a:extLst>
        </xdr:cNvPr>
        <xdr:cNvGrpSpPr>
          <a:grpSpLocks/>
        </xdr:cNvGrpSpPr>
      </xdr:nvGrpSpPr>
      <xdr:grpSpPr bwMode="auto">
        <a:xfrm>
          <a:off x="1285875" y="5391150"/>
          <a:ext cx="733425" cy="57150"/>
          <a:chOff x="123" y="549"/>
          <a:chExt cx="77" cy="6"/>
        </a:xfrm>
      </xdr:grpSpPr>
      <xdr:sp macro="" textlink="">
        <xdr:nvSpPr>
          <xdr:cNvPr id="1050" name="Line 26">
            <a:extLst>
              <a:ext uri="{FF2B5EF4-FFF2-40B4-BE49-F238E27FC236}">
                <a16:creationId xmlns:a16="http://schemas.microsoft.com/office/drawing/2014/main" id="{68C17A94-2F70-4B54-AA88-EF2CEEA1CFE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1" name="Freeform 27">
            <a:extLst>
              <a:ext uri="{FF2B5EF4-FFF2-40B4-BE49-F238E27FC236}">
                <a16:creationId xmlns:a16="http://schemas.microsoft.com/office/drawing/2014/main" id="{48F2C725-C332-446C-8B41-A8AA3E647CF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2" name="Freeform 28">
            <a:extLst>
              <a:ext uri="{FF2B5EF4-FFF2-40B4-BE49-F238E27FC236}">
                <a16:creationId xmlns:a16="http://schemas.microsoft.com/office/drawing/2014/main" id="{02179F2E-F9E3-4347-A585-A28048C2E1A3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15</xdr:row>
      <xdr:rowOff>819150</xdr:rowOff>
    </xdr:from>
    <xdr:to>
      <xdr:col>8</xdr:col>
      <xdr:colOff>28575</xdr:colOff>
      <xdr:row>15</xdr:row>
      <xdr:rowOff>1114425</xdr:rowOff>
    </xdr:to>
    <xdr:grpSp>
      <xdr:nvGrpSpPr>
        <xdr:cNvPr id="1120" name="Group 96">
          <a:extLst>
            <a:ext uri="{FF2B5EF4-FFF2-40B4-BE49-F238E27FC236}">
              <a16:creationId xmlns:a16="http://schemas.microsoft.com/office/drawing/2014/main" id="{803E7682-D90B-4040-A792-999217210D78}"/>
            </a:ext>
          </a:extLst>
        </xdr:cNvPr>
        <xdr:cNvGrpSpPr>
          <a:grpSpLocks/>
        </xdr:cNvGrpSpPr>
      </xdr:nvGrpSpPr>
      <xdr:grpSpPr bwMode="auto">
        <a:xfrm>
          <a:off x="1152525" y="5934075"/>
          <a:ext cx="1009650" cy="295275"/>
          <a:chOff x="124" y="623"/>
          <a:chExt cx="106" cy="31"/>
        </a:xfrm>
      </xdr:grpSpPr>
      <xdr:sp macro="" textlink="">
        <xdr:nvSpPr>
          <xdr:cNvPr id="1054" name="Line 30">
            <a:extLst>
              <a:ext uri="{FF2B5EF4-FFF2-40B4-BE49-F238E27FC236}">
                <a16:creationId xmlns:a16="http://schemas.microsoft.com/office/drawing/2014/main" id="{611C9D91-86A3-420B-92E7-FBFC000872E8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26" y="63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" name="Freeform 31">
            <a:extLst>
              <a:ext uri="{FF2B5EF4-FFF2-40B4-BE49-F238E27FC236}">
                <a16:creationId xmlns:a16="http://schemas.microsoft.com/office/drawing/2014/main" id="{DBE2742E-075A-4C8A-8494-02A636A1763C}"/>
              </a:ext>
            </a:extLst>
          </xdr:cNvPr>
          <xdr:cNvSpPr>
            <a:spLocks/>
          </xdr:cNvSpPr>
        </xdr:nvSpPr>
        <xdr:spPr bwMode="auto">
          <a:xfrm rot="-10800000">
            <a:off x="124" y="63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6" name="Freeform 32">
            <a:extLst>
              <a:ext uri="{FF2B5EF4-FFF2-40B4-BE49-F238E27FC236}">
                <a16:creationId xmlns:a16="http://schemas.microsoft.com/office/drawing/2014/main" id="{55581EAF-25B7-4C37-A2EB-B2AFDA7412AA}"/>
              </a:ext>
            </a:extLst>
          </xdr:cNvPr>
          <xdr:cNvSpPr>
            <a:spLocks/>
          </xdr:cNvSpPr>
        </xdr:nvSpPr>
        <xdr:spPr bwMode="auto">
          <a:xfrm rot="-10800000">
            <a:off x="198" y="638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7" name="Line 33">
            <a:extLst>
              <a:ext uri="{FF2B5EF4-FFF2-40B4-BE49-F238E27FC236}">
                <a16:creationId xmlns:a16="http://schemas.microsoft.com/office/drawing/2014/main" id="{3EB59E0C-849B-401B-B651-A7826B3FFE2D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8" y="64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8" name="Freeform 34">
            <a:extLst>
              <a:ext uri="{FF2B5EF4-FFF2-40B4-BE49-F238E27FC236}">
                <a16:creationId xmlns:a16="http://schemas.microsoft.com/office/drawing/2014/main" id="{C4D851A6-BB73-488B-B6BC-97AF67686D5E}"/>
              </a:ext>
            </a:extLst>
          </xdr:cNvPr>
          <xdr:cNvSpPr>
            <a:spLocks/>
          </xdr:cNvSpPr>
        </xdr:nvSpPr>
        <xdr:spPr bwMode="auto">
          <a:xfrm rot="-10800000">
            <a:off x="194" y="64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9" name="Freeform 35">
            <a:extLst>
              <a:ext uri="{FF2B5EF4-FFF2-40B4-BE49-F238E27FC236}">
                <a16:creationId xmlns:a16="http://schemas.microsoft.com/office/drawing/2014/main" id="{9D672E98-7F3F-4B30-B020-43F3D7AAE677}"/>
              </a:ext>
            </a:extLst>
          </xdr:cNvPr>
          <xdr:cNvSpPr>
            <a:spLocks/>
          </xdr:cNvSpPr>
        </xdr:nvSpPr>
        <xdr:spPr bwMode="auto">
          <a:xfrm rot="-10800000">
            <a:off x="187" y="63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0" name="Line 36">
            <a:extLst>
              <a:ext uri="{FF2B5EF4-FFF2-40B4-BE49-F238E27FC236}">
                <a16:creationId xmlns:a16="http://schemas.microsoft.com/office/drawing/2014/main" id="{E61134F3-5748-4340-9BE5-1B0040FDBE24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87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1" name="Freeform 37">
            <a:extLst>
              <a:ext uri="{FF2B5EF4-FFF2-40B4-BE49-F238E27FC236}">
                <a16:creationId xmlns:a16="http://schemas.microsoft.com/office/drawing/2014/main" id="{47FB1B57-5980-4F1C-A104-1D89CCF6124E}"/>
              </a:ext>
            </a:extLst>
          </xdr:cNvPr>
          <xdr:cNvSpPr>
            <a:spLocks/>
          </xdr:cNvSpPr>
        </xdr:nvSpPr>
        <xdr:spPr bwMode="auto">
          <a:xfrm rot="-10800000">
            <a:off x="183" y="623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15</xdr:row>
      <xdr:rowOff>1200150</xdr:rowOff>
    </xdr:from>
    <xdr:to>
      <xdr:col>7</xdr:col>
      <xdr:colOff>200025</xdr:colOff>
      <xdr:row>15</xdr:row>
      <xdr:rowOff>1257300</xdr:rowOff>
    </xdr:to>
    <xdr:grpSp>
      <xdr:nvGrpSpPr>
        <xdr:cNvPr id="1062" name="Group 38">
          <a:extLst>
            <a:ext uri="{FF2B5EF4-FFF2-40B4-BE49-F238E27FC236}">
              <a16:creationId xmlns:a16="http://schemas.microsoft.com/office/drawing/2014/main" id="{3710F7A4-5DDC-4DA3-9327-B9A7B479AE27}"/>
            </a:ext>
          </a:extLst>
        </xdr:cNvPr>
        <xdr:cNvGrpSpPr>
          <a:grpSpLocks/>
        </xdr:cNvGrpSpPr>
      </xdr:nvGrpSpPr>
      <xdr:grpSpPr bwMode="auto">
        <a:xfrm>
          <a:off x="1285875" y="6315075"/>
          <a:ext cx="733425" cy="57150"/>
          <a:chOff x="123" y="549"/>
          <a:chExt cx="77" cy="6"/>
        </a:xfrm>
      </xdr:grpSpPr>
      <xdr:sp macro="" textlink="">
        <xdr:nvSpPr>
          <xdr:cNvPr id="1063" name="Line 39">
            <a:extLst>
              <a:ext uri="{FF2B5EF4-FFF2-40B4-BE49-F238E27FC236}">
                <a16:creationId xmlns:a16="http://schemas.microsoft.com/office/drawing/2014/main" id="{DEC62176-9221-470E-BF8B-3316B2A1A81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4" name="Freeform 40">
            <a:extLst>
              <a:ext uri="{FF2B5EF4-FFF2-40B4-BE49-F238E27FC236}">
                <a16:creationId xmlns:a16="http://schemas.microsoft.com/office/drawing/2014/main" id="{F366B2E5-F188-46ED-91C0-772625ECF51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5" name="Freeform 41">
            <a:extLst>
              <a:ext uri="{FF2B5EF4-FFF2-40B4-BE49-F238E27FC236}">
                <a16:creationId xmlns:a16="http://schemas.microsoft.com/office/drawing/2014/main" id="{9EB4C3F0-4833-4ADF-8041-CC6B9A749639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161925</xdr:colOff>
      <xdr:row>15</xdr:row>
      <xdr:rowOff>285750</xdr:rowOff>
    </xdr:from>
    <xdr:to>
      <xdr:col>11</xdr:col>
      <xdr:colOff>152400</xdr:colOff>
      <xdr:row>15</xdr:row>
      <xdr:rowOff>1295400</xdr:rowOff>
    </xdr:to>
    <xdr:grpSp>
      <xdr:nvGrpSpPr>
        <xdr:cNvPr id="1121" name="Group 97">
          <a:extLst>
            <a:ext uri="{FF2B5EF4-FFF2-40B4-BE49-F238E27FC236}">
              <a16:creationId xmlns:a16="http://schemas.microsoft.com/office/drawing/2014/main" id="{77A8AAF3-7386-4A40-B815-0269A5C82A45}"/>
            </a:ext>
          </a:extLst>
        </xdr:cNvPr>
        <xdr:cNvGrpSpPr>
          <a:grpSpLocks/>
        </xdr:cNvGrpSpPr>
      </xdr:nvGrpSpPr>
      <xdr:grpSpPr bwMode="auto">
        <a:xfrm>
          <a:off x="2924175" y="5400675"/>
          <a:ext cx="304800" cy="1009650"/>
          <a:chOff x="305" y="567"/>
          <a:chExt cx="32" cy="106"/>
        </a:xfrm>
      </xdr:grpSpPr>
      <xdr:sp macro="" textlink="">
        <xdr:nvSpPr>
          <xdr:cNvPr id="1067" name="Line 43">
            <a:extLst>
              <a:ext uri="{FF2B5EF4-FFF2-40B4-BE49-F238E27FC236}">
                <a16:creationId xmlns:a16="http://schemas.microsoft.com/office/drawing/2014/main" id="{F738D1C0-5550-436B-8C41-F83CC030A16F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69" y="62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8" name="Freeform 44">
            <a:extLst>
              <a:ext uri="{FF2B5EF4-FFF2-40B4-BE49-F238E27FC236}">
                <a16:creationId xmlns:a16="http://schemas.microsoft.com/office/drawing/2014/main" id="{7513F683-98EC-4948-AD37-24E13879DF3A}"/>
              </a:ext>
            </a:extLst>
          </xdr:cNvPr>
          <xdr:cNvSpPr>
            <a:spLocks/>
          </xdr:cNvSpPr>
        </xdr:nvSpPr>
        <xdr:spPr bwMode="auto">
          <a:xfrm rot="-5400000">
            <a:off x="317" y="56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9" name="Freeform 45">
            <a:extLst>
              <a:ext uri="{FF2B5EF4-FFF2-40B4-BE49-F238E27FC236}">
                <a16:creationId xmlns:a16="http://schemas.microsoft.com/office/drawing/2014/main" id="{A03E082B-6D97-4694-96C4-75BA608CA559}"/>
              </a:ext>
            </a:extLst>
          </xdr:cNvPr>
          <xdr:cNvSpPr>
            <a:spLocks/>
          </xdr:cNvSpPr>
        </xdr:nvSpPr>
        <xdr:spPr bwMode="auto">
          <a:xfrm rot="-5400000">
            <a:off x="313" y="641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0" name="Line 46">
            <a:extLst>
              <a:ext uri="{FF2B5EF4-FFF2-40B4-BE49-F238E27FC236}">
                <a16:creationId xmlns:a16="http://schemas.microsoft.com/office/drawing/2014/main" id="{A06AF5EE-CB32-4095-B2E7-29B8A013499A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09" y="63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1" name="Freeform 47">
            <a:extLst>
              <a:ext uri="{FF2B5EF4-FFF2-40B4-BE49-F238E27FC236}">
                <a16:creationId xmlns:a16="http://schemas.microsoft.com/office/drawing/2014/main" id="{A0C419EC-37AC-4B03-8AC8-77BC2EBF9078}"/>
              </a:ext>
            </a:extLst>
          </xdr:cNvPr>
          <xdr:cNvSpPr>
            <a:spLocks/>
          </xdr:cNvSpPr>
        </xdr:nvSpPr>
        <xdr:spPr bwMode="auto">
          <a:xfrm rot="-5400000">
            <a:off x="305" y="63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2" name="Freeform 48">
            <a:extLst>
              <a:ext uri="{FF2B5EF4-FFF2-40B4-BE49-F238E27FC236}">
                <a16:creationId xmlns:a16="http://schemas.microsoft.com/office/drawing/2014/main" id="{77F9D81D-028B-4D8B-97EE-330A6B74C025}"/>
              </a:ext>
            </a:extLst>
          </xdr:cNvPr>
          <xdr:cNvSpPr>
            <a:spLocks/>
          </xdr:cNvSpPr>
        </xdr:nvSpPr>
        <xdr:spPr bwMode="auto">
          <a:xfrm rot="-5400000">
            <a:off x="321" y="630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3" name="Line 49">
            <a:extLst>
              <a:ext uri="{FF2B5EF4-FFF2-40B4-BE49-F238E27FC236}">
                <a16:creationId xmlns:a16="http://schemas.microsoft.com/office/drawing/2014/main" id="{3F2304E4-DCED-45AF-AE4A-1595BF3109C5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2" y="62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4" name="Freeform 50">
            <a:extLst>
              <a:ext uri="{FF2B5EF4-FFF2-40B4-BE49-F238E27FC236}">
                <a16:creationId xmlns:a16="http://schemas.microsoft.com/office/drawing/2014/main" id="{C0B1F747-4C43-46F2-A215-F3935AC5CB60}"/>
              </a:ext>
            </a:extLst>
          </xdr:cNvPr>
          <xdr:cNvSpPr>
            <a:spLocks/>
          </xdr:cNvSpPr>
        </xdr:nvSpPr>
        <xdr:spPr bwMode="auto">
          <a:xfrm rot="-5400000">
            <a:off x="330" y="626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409575</xdr:rowOff>
    </xdr:from>
    <xdr:to>
      <xdr:col>13</xdr:col>
      <xdr:colOff>38100</xdr:colOff>
      <xdr:row>15</xdr:row>
      <xdr:rowOff>1143000</xdr:rowOff>
    </xdr:to>
    <xdr:grpSp>
      <xdr:nvGrpSpPr>
        <xdr:cNvPr id="1075" name="Group 51">
          <a:extLst>
            <a:ext uri="{FF2B5EF4-FFF2-40B4-BE49-F238E27FC236}">
              <a16:creationId xmlns:a16="http://schemas.microsoft.com/office/drawing/2014/main" id="{C8E04906-53D6-4D04-9FB7-9BBDFD319974}"/>
            </a:ext>
          </a:extLst>
        </xdr:cNvPr>
        <xdr:cNvGrpSpPr>
          <a:grpSpLocks/>
        </xdr:cNvGrpSpPr>
      </xdr:nvGrpSpPr>
      <xdr:grpSpPr bwMode="auto">
        <a:xfrm rot="5400000">
          <a:off x="3348037" y="5862638"/>
          <a:ext cx="733425" cy="57150"/>
          <a:chOff x="123" y="549"/>
          <a:chExt cx="77" cy="6"/>
        </a:xfrm>
      </xdr:grpSpPr>
      <xdr:sp macro="" textlink="">
        <xdr:nvSpPr>
          <xdr:cNvPr id="1076" name="Line 52">
            <a:extLst>
              <a:ext uri="{FF2B5EF4-FFF2-40B4-BE49-F238E27FC236}">
                <a16:creationId xmlns:a16="http://schemas.microsoft.com/office/drawing/2014/main" id="{CDE954AC-C9D8-490C-8215-B56FB93F965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7" name="Freeform 53">
            <a:extLst>
              <a:ext uri="{FF2B5EF4-FFF2-40B4-BE49-F238E27FC236}">
                <a16:creationId xmlns:a16="http://schemas.microsoft.com/office/drawing/2014/main" id="{E2942A39-B532-4B99-AD71-66A59C95A2CE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8" name="Freeform 54">
            <a:extLst>
              <a:ext uri="{FF2B5EF4-FFF2-40B4-BE49-F238E27FC236}">
                <a16:creationId xmlns:a16="http://schemas.microsoft.com/office/drawing/2014/main" id="{DF24F9E1-088F-4C7C-9193-035BC55D8659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171450</xdr:colOff>
      <xdr:row>15</xdr:row>
      <xdr:rowOff>304800</xdr:rowOff>
    </xdr:from>
    <xdr:to>
      <xdr:col>12</xdr:col>
      <xdr:colOff>161925</xdr:colOff>
      <xdr:row>15</xdr:row>
      <xdr:rowOff>1304925</xdr:rowOff>
    </xdr:to>
    <xdr:grpSp>
      <xdr:nvGrpSpPr>
        <xdr:cNvPr id="1079" name="Group 55">
          <a:extLst>
            <a:ext uri="{FF2B5EF4-FFF2-40B4-BE49-F238E27FC236}">
              <a16:creationId xmlns:a16="http://schemas.microsoft.com/office/drawing/2014/main" id="{BF4F74F9-78AC-43A2-A81F-A0A121BC5D73}"/>
            </a:ext>
          </a:extLst>
        </xdr:cNvPr>
        <xdr:cNvGrpSpPr>
          <a:grpSpLocks/>
        </xdr:cNvGrpSpPr>
      </xdr:nvGrpSpPr>
      <xdr:grpSpPr bwMode="auto">
        <a:xfrm rot="5400000">
          <a:off x="2900362" y="5767388"/>
          <a:ext cx="1000125" cy="304800"/>
          <a:chOff x="110" y="567"/>
          <a:chExt cx="105" cy="32"/>
        </a:xfrm>
      </xdr:grpSpPr>
      <xdr:sp macro="" textlink="">
        <xdr:nvSpPr>
          <xdr:cNvPr id="1080" name="Line 56">
            <a:extLst>
              <a:ext uri="{FF2B5EF4-FFF2-40B4-BE49-F238E27FC236}">
                <a16:creationId xmlns:a16="http://schemas.microsoft.com/office/drawing/2014/main" id="{CFEAF3E5-B6A7-453B-B024-44C17B00F9DF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1" name="Freeform 57">
            <a:extLst>
              <a:ext uri="{FF2B5EF4-FFF2-40B4-BE49-F238E27FC236}">
                <a16:creationId xmlns:a16="http://schemas.microsoft.com/office/drawing/2014/main" id="{351BF4C8-2C5D-4A51-8304-2885F46B3E39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2" name="Freeform 58">
            <a:extLst>
              <a:ext uri="{FF2B5EF4-FFF2-40B4-BE49-F238E27FC236}">
                <a16:creationId xmlns:a16="http://schemas.microsoft.com/office/drawing/2014/main" id="{EB7BAC5D-23A3-4A04-9EEB-0E78DDA3A564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3" name="Line 59">
            <a:extLst>
              <a:ext uri="{FF2B5EF4-FFF2-40B4-BE49-F238E27FC236}">
                <a16:creationId xmlns:a16="http://schemas.microsoft.com/office/drawing/2014/main" id="{C72F617A-4C9F-4A84-B751-0612306C884E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4" name="Freeform 60">
            <a:extLst>
              <a:ext uri="{FF2B5EF4-FFF2-40B4-BE49-F238E27FC236}">
                <a16:creationId xmlns:a16="http://schemas.microsoft.com/office/drawing/2014/main" id="{9A0A1A78-1257-4F15-91A8-327C21F44CB2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5" name="Freeform 61">
            <a:extLst>
              <a:ext uri="{FF2B5EF4-FFF2-40B4-BE49-F238E27FC236}">
                <a16:creationId xmlns:a16="http://schemas.microsoft.com/office/drawing/2014/main" id="{EE9ACF63-2A18-43D2-BC17-3E19C70DB7DB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6" name="Line 62">
            <a:extLst>
              <a:ext uri="{FF2B5EF4-FFF2-40B4-BE49-F238E27FC236}">
                <a16:creationId xmlns:a16="http://schemas.microsoft.com/office/drawing/2014/main" id="{90D44B46-780A-4D96-856F-1B17A2812EAA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7" name="Freeform 63">
            <a:extLst>
              <a:ext uri="{FF2B5EF4-FFF2-40B4-BE49-F238E27FC236}">
                <a16:creationId xmlns:a16="http://schemas.microsoft.com/office/drawing/2014/main" id="{3171B5BC-1307-43E8-A1AF-5D9E7D9FEB52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19</xdr:row>
      <xdr:rowOff>28575</xdr:rowOff>
    </xdr:from>
    <xdr:to>
      <xdr:col>13</xdr:col>
      <xdr:colOff>0</xdr:colOff>
      <xdr:row>19</xdr:row>
      <xdr:rowOff>171450</xdr:rowOff>
    </xdr:to>
    <xdr:sp macro="" textlink="">
      <xdr:nvSpPr>
        <xdr:cNvPr id="1088" name="Freeform 64">
          <a:extLst>
            <a:ext uri="{FF2B5EF4-FFF2-40B4-BE49-F238E27FC236}">
              <a16:creationId xmlns:a16="http://schemas.microsoft.com/office/drawing/2014/main" id="{A0C192A6-7952-49EB-BE10-B4AC40E51D66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18</xdr:row>
      <xdr:rowOff>28575</xdr:rowOff>
    </xdr:from>
    <xdr:to>
      <xdr:col>10</xdr:col>
      <xdr:colOff>276225</xdr:colOff>
      <xdr:row>18</xdr:row>
      <xdr:rowOff>180975</xdr:rowOff>
    </xdr:to>
    <xdr:grpSp>
      <xdr:nvGrpSpPr>
        <xdr:cNvPr id="1089" name="Group 65">
          <a:extLst>
            <a:ext uri="{FF2B5EF4-FFF2-40B4-BE49-F238E27FC236}">
              <a16:creationId xmlns:a16="http://schemas.microsoft.com/office/drawing/2014/main" id="{F2CDB218-1A09-4B85-B3AF-4CDCD4388726}"/>
            </a:ext>
          </a:extLst>
        </xdr:cNvPr>
        <xdr:cNvGrpSpPr>
          <a:grpSpLocks/>
        </xdr:cNvGrpSpPr>
      </xdr:nvGrpSpPr>
      <xdr:grpSpPr bwMode="auto">
        <a:xfrm>
          <a:off x="2819400" y="7181850"/>
          <a:ext cx="219075" cy="152400"/>
          <a:chOff x="132" y="708"/>
          <a:chExt cx="20" cy="14"/>
        </a:xfrm>
      </xdr:grpSpPr>
      <xdr:sp macro="" textlink="">
        <xdr:nvSpPr>
          <xdr:cNvPr id="1090" name="Line 66">
            <a:extLst>
              <a:ext uri="{FF2B5EF4-FFF2-40B4-BE49-F238E27FC236}">
                <a16:creationId xmlns:a16="http://schemas.microsoft.com/office/drawing/2014/main" id="{B011B482-5D20-48F7-8A72-DAEBD458F3C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1" name="Line 67">
            <a:extLst>
              <a:ext uri="{FF2B5EF4-FFF2-40B4-BE49-F238E27FC236}">
                <a16:creationId xmlns:a16="http://schemas.microsoft.com/office/drawing/2014/main" id="{CD9CCAB5-76BA-4F21-8497-062F03B8399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" name="Line 68">
            <a:extLst>
              <a:ext uri="{FF2B5EF4-FFF2-40B4-BE49-F238E27FC236}">
                <a16:creationId xmlns:a16="http://schemas.microsoft.com/office/drawing/2014/main" id="{9650F635-D392-405F-9D5F-6448A50DD55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" name="Line 69">
            <a:extLst>
              <a:ext uri="{FF2B5EF4-FFF2-40B4-BE49-F238E27FC236}">
                <a16:creationId xmlns:a16="http://schemas.microsoft.com/office/drawing/2014/main" id="{B9D9AEAB-995F-44C4-9C9D-1483FFE4E535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18</xdr:row>
      <xdr:rowOff>85725</xdr:rowOff>
    </xdr:from>
    <xdr:to>
      <xdr:col>14</xdr:col>
      <xdr:colOff>0</xdr:colOff>
      <xdr:row>18</xdr:row>
      <xdr:rowOff>133350</xdr:rowOff>
    </xdr:to>
    <xdr:grpSp>
      <xdr:nvGrpSpPr>
        <xdr:cNvPr id="1094" name="Group 70">
          <a:extLst>
            <a:ext uri="{FF2B5EF4-FFF2-40B4-BE49-F238E27FC236}">
              <a16:creationId xmlns:a16="http://schemas.microsoft.com/office/drawing/2014/main" id="{CC2620AE-9E31-4000-BB8D-19EEC4B43100}"/>
            </a:ext>
          </a:extLst>
        </xdr:cNvPr>
        <xdr:cNvGrpSpPr>
          <a:grpSpLocks/>
        </xdr:cNvGrpSpPr>
      </xdr:nvGrpSpPr>
      <xdr:grpSpPr bwMode="auto">
        <a:xfrm>
          <a:off x="3086100" y="7239000"/>
          <a:ext cx="933450" cy="47625"/>
          <a:chOff x="158" y="715"/>
          <a:chExt cx="33" cy="5"/>
        </a:xfrm>
      </xdr:grpSpPr>
      <xdr:sp macro="" textlink="">
        <xdr:nvSpPr>
          <xdr:cNvPr id="1095" name="Line 71">
            <a:extLst>
              <a:ext uri="{FF2B5EF4-FFF2-40B4-BE49-F238E27FC236}">
                <a16:creationId xmlns:a16="http://schemas.microsoft.com/office/drawing/2014/main" id="{81A8C92F-17DC-4E49-9DF4-276AF2D7A38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6" name="Line 72">
            <a:extLst>
              <a:ext uri="{FF2B5EF4-FFF2-40B4-BE49-F238E27FC236}">
                <a16:creationId xmlns:a16="http://schemas.microsoft.com/office/drawing/2014/main" id="{66198A83-2E15-4478-8C49-B9F3283AD06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85725</xdr:rowOff>
    </xdr:from>
    <xdr:to>
      <xdr:col>14</xdr:col>
      <xdr:colOff>9525</xdr:colOff>
      <xdr:row>19</xdr:row>
      <xdr:rowOff>133350</xdr:rowOff>
    </xdr:to>
    <xdr:grpSp>
      <xdr:nvGrpSpPr>
        <xdr:cNvPr id="1097" name="Group 73">
          <a:extLst>
            <a:ext uri="{FF2B5EF4-FFF2-40B4-BE49-F238E27FC236}">
              <a16:creationId xmlns:a16="http://schemas.microsoft.com/office/drawing/2014/main" id="{0056F924-A7CB-420A-96F0-D4F05B2C6270}"/>
            </a:ext>
          </a:extLst>
        </xdr:cNvPr>
        <xdr:cNvGrpSpPr>
          <a:grpSpLocks/>
        </xdr:cNvGrpSpPr>
      </xdr:nvGrpSpPr>
      <xdr:grpSpPr bwMode="auto">
        <a:xfrm>
          <a:off x="3714750" y="7467600"/>
          <a:ext cx="314325" cy="47625"/>
          <a:chOff x="158" y="715"/>
          <a:chExt cx="33" cy="5"/>
        </a:xfrm>
      </xdr:grpSpPr>
      <xdr:sp macro="" textlink="">
        <xdr:nvSpPr>
          <xdr:cNvPr id="1098" name="Line 74">
            <a:extLst>
              <a:ext uri="{FF2B5EF4-FFF2-40B4-BE49-F238E27FC236}">
                <a16:creationId xmlns:a16="http://schemas.microsoft.com/office/drawing/2014/main" id="{997968F2-4727-49B9-9C1A-927E22DED12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9" name="Line 75">
            <a:extLst>
              <a:ext uri="{FF2B5EF4-FFF2-40B4-BE49-F238E27FC236}">
                <a16:creationId xmlns:a16="http://schemas.microsoft.com/office/drawing/2014/main" id="{803E6498-A966-4262-8683-5803E7F26BF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18</xdr:row>
      <xdr:rowOff>85725</xdr:rowOff>
    </xdr:from>
    <xdr:to>
      <xdr:col>9</xdr:col>
      <xdr:colOff>9525</xdr:colOff>
      <xdr:row>18</xdr:row>
      <xdr:rowOff>133350</xdr:rowOff>
    </xdr:to>
    <xdr:grpSp>
      <xdr:nvGrpSpPr>
        <xdr:cNvPr id="1100" name="Group 76">
          <a:extLst>
            <a:ext uri="{FF2B5EF4-FFF2-40B4-BE49-F238E27FC236}">
              <a16:creationId xmlns:a16="http://schemas.microsoft.com/office/drawing/2014/main" id="{6F7A0EF5-28E7-4B89-8DBA-92363625EE58}"/>
            </a:ext>
          </a:extLst>
        </xdr:cNvPr>
        <xdr:cNvGrpSpPr>
          <a:grpSpLocks/>
        </xdr:cNvGrpSpPr>
      </xdr:nvGrpSpPr>
      <xdr:grpSpPr bwMode="auto">
        <a:xfrm>
          <a:off x="885825" y="7239000"/>
          <a:ext cx="1571625" cy="47625"/>
          <a:chOff x="158" y="715"/>
          <a:chExt cx="33" cy="5"/>
        </a:xfrm>
      </xdr:grpSpPr>
      <xdr:sp macro="" textlink="">
        <xdr:nvSpPr>
          <xdr:cNvPr id="1101" name="Line 77">
            <a:extLst>
              <a:ext uri="{FF2B5EF4-FFF2-40B4-BE49-F238E27FC236}">
                <a16:creationId xmlns:a16="http://schemas.microsoft.com/office/drawing/2014/main" id="{AEF8E93B-6DA4-4BBE-AA01-810F5B3649B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2" name="Line 78">
            <a:extLst>
              <a:ext uri="{FF2B5EF4-FFF2-40B4-BE49-F238E27FC236}">
                <a16:creationId xmlns:a16="http://schemas.microsoft.com/office/drawing/2014/main" id="{258D2FA9-B48B-49D2-9F44-A2A1B12C46E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18</xdr:row>
      <xdr:rowOff>114300</xdr:rowOff>
    </xdr:from>
    <xdr:to>
      <xdr:col>10</xdr:col>
      <xdr:colOff>9525</xdr:colOff>
      <xdr:row>18</xdr:row>
      <xdr:rowOff>114300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03339EFD-C106-4243-B06A-E687B7DC214D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114300</xdr:rowOff>
    </xdr:from>
    <xdr:to>
      <xdr:col>12</xdr:col>
      <xdr:colOff>9525</xdr:colOff>
      <xdr:row>19</xdr:row>
      <xdr:rowOff>114300</xdr:rowOff>
    </xdr:to>
    <xdr:sp macro="" textlink="">
      <xdr:nvSpPr>
        <xdr:cNvPr id="1104" name="Line 80">
          <a:extLst>
            <a:ext uri="{FF2B5EF4-FFF2-40B4-BE49-F238E27FC236}">
              <a16:creationId xmlns:a16="http://schemas.microsoft.com/office/drawing/2014/main" id="{F83B1505-99BD-48CD-AAA9-9EAAA8240834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85725</xdr:rowOff>
    </xdr:from>
    <xdr:to>
      <xdr:col>9</xdr:col>
      <xdr:colOff>9525</xdr:colOff>
      <xdr:row>19</xdr:row>
      <xdr:rowOff>133350</xdr:rowOff>
    </xdr:to>
    <xdr:grpSp>
      <xdr:nvGrpSpPr>
        <xdr:cNvPr id="1105" name="Group 81">
          <a:extLst>
            <a:ext uri="{FF2B5EF4-FFF2-40B4-BE49-F238E27FC236}">
              <a16:creationId xmlns:a16="http://schemas.microsoft.com/office/drawing/2014/main" id="{6456C5A8-1E30-4036-B8D1-560CE8B12850}"/>
            </a:ext>
          </a:extLst>
        </xdr:cNvPr>
        <xdr:cNvGrpSpPr>
          <a:grpSpLocks/>
        </xdr:cNvGrpSpPr>
      </xdr:nvGrpSpPr>
      <xdr:grpSpPr bwMode="auto">
        <a:xfrm>
          <a:off x="876300" y="7467600"/>
          <a:ext cx="1581150" cy="47625"/>
          <a:chOff x="158" y="715"/>
          <a:chExt cx="33" cy="5"/>
        </a:xfrm>
      </xdr:grpSpPr>
      <xdr:sp macro="" textlink="">
        <xdr:nvSpPr>
          <xdr:cNvPr id="1106" name="Line 82">
            <a:extLst>
              <a:ext uri="{FF2B5EF4-FFF2-40B4-BE49-F238E27FC236}">
                <a16:creationId xmlns:a16="http://schemas.microsoft.com/office/drawing/2014/main" id="{8901B8A3-D566-4332-8371-BB6EE8D5177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7" name="Line 83">
            <a:extLst>
              <a:ext uri="{FF2B5EF4-FFF2-40B4-BE49-F238E27FC236}">
                <a16:creationId xmlns:a16="http://schemas.microsoft.com/office/drawing/2014/main" id="{F3B888C1-D98D-4506-821A-E8162F027DE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104775</xdr:colOff>
      <xdr:row>6</xdr:row>
      <xdr:rowOff>190500</xdr:rowOff>
    </xdr:from>
    <xdr:to>
      <xdr:col>20</xdr:col>
      <xdr:colOff>38100</xdr:colOff>
      <xdr:row>7</xdr:row>
      <xdr:rowOff>1533525</xdr:rowOff>
    </xdr:to>
    <xdr:sp macro="" textlink="">
      <xdr:nvSpPr>
        <xdr:cNvPr id="1108" name="Text Box 84">
          <a:extLst>
            <a:ext uri="{FF2B5EF4-FFF2-40B4-BE49-F238E27FC236}">
              <a16:creationId xmlns:a16="http://schemas.microsoft.com/office/drawing/2014/main" id="{19D9DD62-1C3D-41BA-A15A-C7D09ED8000D}"/>
            </a:ext>
          </a:extLst>
        </xdr:cNvPr>
        <xdr:cNvSpPr txBox="1">
          <a:spLocks noChangeArrowheads="1"/>
        </xdr:cNvSpPr>
      </xdr:nvSpPr>
      <xdr:spPr bwMode="auto">
        <a:xfrm>
          <a:off x="5695950" y="1600200"/>
          <a:ext cx="24765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本通り４丁目</a:t>
          </a:r>
        </a:p>
      </xdr:txBody>
    </xdr:sp>
    <xdr:clientData/>
  </xdr:twoCellAnchor>
  <xdr:twoCellAnchor>
    <xdr:from>
      <xdr:col>9</xdr:col>
      <xdr:colOff>295275</xdr:colOff>
      <xdr:row>15</xdr:row>
      <xdr:rowOff>419100</xdr:rowOff>
    </xdr:from>
    <xdr:to>
      <xdr:col>10</xdr:col>
      <xdr:colOff>38100</xdr:colOff>
      <xdr:row>15</xdr:row>
      <xdr:rowOff>1152525</xdr:rowOff>
    </xdr:to>
    <xdr:grpSp>
      <xdr:nvGrpSpPr>
        <xdr:cNvPr id="1109" name="Group 85">
          <a:extLst>
            <a:ext uri="{FF2B5EF4-FFF2-40B4-BE49-F238E27FC236}">
              <a16:creationId xmlns:a16="http://schemas.microsoft.com/office/drawing/2014/main" id="{B4467EAF-9A95-4CD0-A5A2-102731B1A43A}"/>
            </a:ext>
          </a:extLst>
        </xdr:cNvPr>
        <xdr:cNvGrpSpPr>
          <a:grpSpLocks/>
        </xdr:cNvGrpSpPr>
      </xdr:nvGrpSpPr>
      <xdr:grpSpPr bwMode="auto">
        <a:xfrm rot="5400000">
          <a:off x="2405062" y="5872163"/>
          <a:ext cx="733425" cy="57150"/>
          <a:chOff x="123" y="549"/>
          <a:chExt cx="77" cy="6"/>
        </a:xfrm>
      </xdr:grpSpPr>
      <xdr:sp macro="" textlink="">
        <xdr:nvSpPr>
          <xdr:cNvPr id="1110" name="Line 86">
            <a:extLst>
              <a:ext uri="{FF2B5EF4-FFF2-40B4-BE49-F238E27FC236}">
                <a16:creationId xmlns:a16="http://schemas.microsoft.com/office/drawing/2014/main" id="{FECDD027-14EB-4E92-96E8-7BDD3F66E7D0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1" name="Freeform 87">
            <a:extLst>
              <a:ext uri="{FF2B5EF4-FFF2-40B4-BE49-F238E27FC236}">
                <a16:creationId xmlns:a16="http://schemas.microsoft.com/office/drawing/2014/main" id="{83913ECF-D7C6-4C44-ACDA-51398B6B4B5C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2" name="Freeform 88">
            <a:extLst>
              <a:ext uri="{FF2B5EF4-FFF2-40B4-BE49-F238E27FC236}">
                <a16:creationId xmlns:a16="http://schemas.microsoft.com/office/drawing/2014/main" id="{72686BA7-3F9F-4BA1-B335-D2D7826E314C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295275</xdr:colOff>
      <xdr:row>7</xdr:row>
      <xdr:rowOff>171450</xdr:rowOff>
    </xdr:from>
    <xdr:to>
      <xdr:col>5</xdr:col>
      <xdr:colOff>228600</xdr:colOff>
      <xdr:row>7</xdr:row>
      <xdr:rowOff>1343025</xdr:rowOff>
    </xdr:to>
    <xdr:sp macro="" textlink="">
      <xdr:nvSpPr>
        <xdr:cNvPr id="1113" name="Text Box 89">
          <a:extLst>
            <a:ext uri="{FF2B5EF4-FFF2-40B4-BE49-F238E27FC236}">
              <a16:creationId xmlns:a16="http://schemas.microsoft.com/office/drawing/2014/main" id="{15E62B76-0FA6-4C71-ABFB-21A72E338671}"/>
            </a:ext>
          </a:extLst>
        </xdr:cNvPr>
        <xdr:cNvSpPr txBox="1">
          <a:spLocks noChangeArrowheads="1"/>
        </xdr:cNvSpPr>
      </xdr:nvSpPr>
      <xdr:spPr bwMode="auto">
        <a:xfrm>
          <a:off x="1171575" y="1809750"/>
          <a:ext cx="2476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広島呉道路</a:t>
          </a:r>
        </a:p>
      </xdr:txBody>
    </xdr:sp>
    <xdr:clientData/>
  </xdr:twoCellAnchor>
  <xdr:twoCellAnchor editAs="oneCell">
    <xdr:from>
      <xdr:col>5</xdr:col>
      <xdr:colOff>247650</xdr:colOff>
      <xdr:row>3</xdr:row>
      <xdr:rowOff>19050</xdr:rowOff>
    </xdr:from>
    <xdr:to>
      <xdr:col>19</xdr:col>
      <xdr:colOff>76200</xdr:colOff>
      <xdr:row>10</xdr:row>
      <xdr:rowOff>190500</xdr:rowOff>
    </xdr:to>
    <xdr:pic>
      <xdr:nvPicPr>
        <xdr:cNvPr id="1114" name="Picture 90">
          <a:extLst>
            <a:ext uri="{FF2B5EF4-FFF2-40B4-BE49-F238E27FC236}">
              <a16:creationId xmlns:a16="http://schemas.microsoft.com/office/drawing/2014/main" id="{14732883-779F-40A7-9E0A-8761571C8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742950"/>
          <a:ext cx="4229100" cy="3419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19050</xdr:colOff>
      <xdr:row>15</xdr:row>
      <xdr:rowOff>1266825</xdr:rowOff>
    </xdr:from>
    <xdr:to>
      <xdr:col>7</xdr:col>
      <xdr:colOff>57150</xdr:colOff>
      <xdr:row>15</xdr:row>
      <xdr:rowOff>1428750</xdr:rowOff>
    </xdr:to>
    <xdr:sp macro="" textlink="">
      <xdr:nvSpPr>
        <xdr:cNvPr id="1115" name="Text Box 91">
          <a:extLst>
            <a:ext uri="{FF2B5EF4-FFF2-40B4-BE49-F238E27FC236}">
              <a16:creationId xmlns:a16="http://schemas.microsoft.com/office/drawing/2014/main" id="{620C7270-A2D7-429E-A3E7-38906E4F3031}"/>
            </a:ext>
          </a:extLst>
        </xdr:cNvPr>
        <xdr:cNvSpPr txBox="1">
          <a:spLocks noChangeArrowheads="1"/>
        </xdr:cNvSpPr>
      </xdr:nvSpPr>
      <xdr:spPr bwMode="auto">
        <a:xfrm>
          <a:off x="1524000" y="63817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6.3m</a:t>
          </a:r>
        </a:p>
      </xdr:txBody>
    </xdr:sp>
    <xdr:clientData/>
  </xdr:twoCellAnchor>
  <xdr:twoCellAnchor>
    <xdr:from>
      <xdr:col>9</xdr:col>
      <xdr:colOff>171450</xdr:colOff>
      <xdr:row>15</xdr:row>
      <xdr:rowOff>1200150</xdr:rowOff>
    </xdr:from>
    <xdr:to>
      <xdr:col>10</xdr:col>
      <xdr:colOff>209550</xdr:colOff>
      <xdr:row>15</xdr:row>
      <xdr:rowOff>1362075</xdr:rowOff>
    </xdr:to>
    <xdr:sp macro="" textlink="">
      <xdr:nvSpPr>
        <xdr:cNvPr id="1116" name="Text Box 92">
          <a:extLst>
            <a:ext uri="{FF2B5EF4-FFF2-40B4-BE49-F238E27FC236}">
              <a16:creationId xmlns:a16="http://schemas.microsoft.com/office/drawing/2014/main" id="{55424D79-2572-4B49-92DB-6FAC45CC4F00}"/>
            </a:ext>
          </a:extLst>
        </xdr:cNvPr>
        <xdr:cNvSpPr txBox="1">
          <a:spLocks noChangeArrowheads="1"/>
        </xdr:cNvSpPr>
      </xdr:nvSpPr>
      <xdr:spPr bwMode="auto">
        <a:xfrm>
          <a:off x="2619375" y="63150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13.0m</a:t>
          </a:r>
        </a:p>
      </xdr:txBody>
    </xdr:sp>
    <xdr:clientData/>
  </xdr:twoCellAnchor>
  <xdr:twoCellAnchor>
    <xdr:from>
      <xdr:col>0</xdr:col>
      <xdr:colOff>76200</xdr:colOff>
      <xdr:row>9</xdr:row>
      <xdr:rowOff>76200</xdr:rowOff>
    </xdr:from>
    <xdr:to>
      <xdr:col>7</xdr:col>
      <xdr:colOff>304800</xdr:colOff>
      <xdr:row>13</xdr:row>
      <xdr:rowOff>0</xdr:rowOff>
    </xdr:to>
    <xdr:sp macro="" textlink="">
      <xdr:nvSpPr>
        <xdr:cNvPr id="1117" name="Text Box 93">
          <a:extLst>
            <a:ext uri="{FF2B5EF4-FFF2-40B4-BE49-F238E27FC236}">
              <a16:creationId xmlns:a16="http://schemas.microsoft.com/office/drawing/2014/main" id="{EFA8FA6B-8A1A-46AE-9C44-A775CEF8D312}"/>
            </a:ext>
          </a:extLst>
        </xdr:cNvPr>
        <xdr:cNvSpPr txBox="1">
          <a:spLocks noChangeArrowheads="1"/>
        </xdr:cNvSpPr>
      </xdr:nvSpPr>
      <xdr:spPr bwMode="auto">
        <a:xfrm>
          <a:off x="76200" y="3819525"/>
          <a:ext cx="2047875" cy="838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指定色:R24-358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Ｓ８０筐体使用</a:t>
          </a:r>
        </a:p>
      </xdr:txBody>
    </xdr:sp>
    <xdr:clientData/>
  </xdr:twoCellAnchor>
  <xdr:twoCellAnchor editAs="oneCell">
    <xdr:from>
      <xdr:col>20</xdr:col>
      <xdr:colOff>247650</xdr:colOff>
      <xdr:row>2</xdr:row>
      <xdr:rowOff>133350</xdr:rowOff>
    </xdr:from>
    <xdr:to>
      <xdr:col>23</xdr:col>
      <xdr:colOff>0</xdr:colOff>
      <xdr:row>5</xdr:row>
      <xdr:rowOff>142875</xdr:rowOff>
    </xdr:to>
    <xdr:pic>
      <xdr:nvPicPr>
        <xdr:cNvPr id="1119" name="Picture 95">
          <a:extLst>
            <a:ext uri="{FF2B5EF4-FFF2-40B4-BE49-F238E27FC236}">
              <a16:creationId xmlns:a16="http://schemas.microsoft.com/office/drawing/2014/main" id="{0A6924E5-0177-411D-8D12-BD24A4C74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2865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238125</xdr:colOff>
      <xdr:row>15</xdr:row>
      <xdr:rowOff>1181100</xdr:rowOff>
    </xdr:from>
    <xdr:to>
      <xdr:col>8</xdr:col>
      <xdr:colOff>276225</xdr:colOff>
      <xdr:row>15</xdr:row>
      <xdr:rowOff>1343025</xdr:rowOff>
    </xdr:to>
    <xdr:sp macro="" textlink="">
      <xdr:nvSpPr>
        <xdr:cNvPr id="1122" name="Text Box 98">
          <a:extLst>
            <a:ext uri="{FF2B5EF4-FFF2-40B4-BE49-F238E27FC236}">
              <a16:creationId xmlns:a16="http://schemas.microsoft.com/office/drawing/2014/main" id="{9E18B86F-7217-42F8-9BB2-E5313AF2C477}"/>
            </a:ext>
          </a:extLst>
        </xdr:cNvPr>
        <xdr:cNvSpPr txBox="1">
          <a:spLocks noChangeArrowheads="1"/>
        </xdr:cNvSpPr>
      </xdr:nvSpPr>
      <xdr:spPr bwMode="auto">
        <a:xfrm>
          <a:off x="2057400" y="62960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歩灯1</a:t>
          </a:r>
        </a:p>
      </xdr:txBody>
    </xdr:sp>
    <xdr:clientData/>
  </xdr:twoCellAnchor>
  <xdr:twoCellAnchor>
    <xdr:from>
      <xdr:col>4</xdr:col>
      <xdr:colOff>152400</xdr:colOff>
      <xdr:row>15</xdr:row>
      <xdr:rowOff>238125</xdr:rowOff>
    </xdr:from>
    <xdr:to>
      <xdr:col>5</xdr:col>
      <xdr:colOff>190500</xdr:colOff>
      <xdr:row>15</xdr:row>
      <xdr:rowOff>400050</xdr:rowOff>
    </xdr:to>
    <xdr:sp macro="" textlink="">
      <xdr:nvSpPr>
        <xdr:cNvPr id="1123" name="Text Box 99">
          <a:extLst>
            <a:ext uri="{FF2B5EF4-FFF2-40B4-BE49-F238E27FC236}">
              <a16:creationId xmlns:a16="http://schemas.microsoft.com/office/drawing/2014/main" id="{602A5D3D-916A-4E79-82C5-77222963B43F}"/>
            </a:ext>
          </a:extLst>
        </xdr:cNvPr>
        <xdr:cNvSpPr txBox="1">
          <a:spLocks noChangeArrowheads="1"/>
        </xdr:cNvSpPr>
      </xdr:nvSpPr>
      <xdr:spPr bwMode="auto">
        <a:xfrm>
          <a:off x="1028700" y="53530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歩灯1</a:t>
          </a:r>
        </a:p>
      </xdr:txBody>
    </xdr:sp>
    <xdr:clientData/>
  </xdr:twoCellAnchor>
  <xdr:twoCellAnchor>
    <xdr:from>
      <xdr:col>6</xdr:col>
      <xdr:colOff>19050</xdr:colOff>
      <xdr:row>15</xdr:row>
      <xdr:rowOff>123825</xdr:rowOff>
    </xdr:from>
    <xdr:to>
      <xdr:col>7</xdr:col>
      <xdr:colOff>57150</xdr:colOff>
      <xdr:row>15</xdr:row>
      <xdr:rowOff>285750</xdr:rowOff>
    </xdr:to>
    <xdr:sp macro="" textlink="">
      <xdr:nvSpPr>
        <xdr:cNvPr id="1125" name="Text Box 101">
          <a:extLst>
            <a:ext uri="{FF2B5EF4-FFF2-40B4-BE49-F238E27FC236}">
              <a16:creationId xmlns:a16="http://schemas.microsoft.com/office/drawing/2014/main" id="{45E0BE57-3C42-4BA4-9756-082379643A88}"/>
            </a:ext>
          </a:extLst>
        </xdr:cNvPr>
        <xdr:cNvSpPr txBox="1">
          <a:spLocks noChangeArrowheads="1"/>
        </xdr:cNvSpPr>
      </xdr:nvSpPr>
      <xdr:spPr bwMode="auto">
        <a:xfrm>
          <a:off x="1524000" y="52387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6.1m</a:t>
          </a:r>
        </a:p>
      </xdr:txBody>
    </xdr:sp>
    <xdr:clientData/>
  </xdr:twoCellAnchor>
  <xdr:twoCellAnchor>
    <xdr:from>
      <xdr:col>12</xdr:col>
      <xdr:colOff>171450</xdr:colOff>
      <xdr:row>15</xdr:row>
      <xdr:rowOff>1200150</xdr:rowOff>
    </xdr:from>
    <xdr:to>
      <xdr:col>13</xdr:col>
      <xdr:colOff>209550</xdr:colOff>
      <xdr:row>15</xdr:row>
      <xdr:rowOff>1362075</xdr:rowOff>
    </xdr:to>
    <xdr:sp macro="" textlink="">
      <xdr:nvSpPr>
        <xdr:cNvPr id="1126" name="Text Box 102">
          <a:extLst>
            <a:ext uri="{FF2B5EF4-FFF2-40B4-BE49-F238E27FC236}">
              <a16:creationId xmlns:a16="http://schemas.microsoft.com/office/drawing/2014/main" id="{AA624CBC-D455-4DB5-BF2C-CE84022E2F1D}"/>
            </a:ext>
          </a:extLst>
        </xdr:cNvPr>
        <xdr:cNvSpPr txBox="1">
          <a:spLocks noChangeArrowheads="1"/>
        </xdr:cNvSpPr>
      </xdr:nvSpPr>
      <xdr:spPr bwMode="auto">
        <a:xfrm>
          <a:off x="3562350" y="63150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12.9m</a:t>
          </a:r>
        </a:p>
      </xdr:txBody>
    </xdr:sp>
    <xdr:clientData/>
  </xdr:twoCellAnchor>
  <xdr:twoCellAnchor>
    <xdr:from>
      <xdr:col>12</xdr:col>
      <xdr:colOff>190500</xdr:colOff>
      <xdr:row>15</xdr:row>
      <xdr:rowOff>247650</xdr:rowOff>
    </xdr:from>
    <xdr:to>
      <xdr:col>13</xdr:col>
      <xdr:colOff>228600</xdr:colOff>
      <xdr:row>15</xdr:row>
      <xdr:rowOff>409575</xdr:rowOff>
    </xdr:to>
    <xdr:sp macro="" textlink="">
      <xdr:nvSpPr>
        <xdr:cNvPr id="1127" name="Text Box 103">
          <a:extLst>
            <a:ext uri="{FF2B5EF4-FFF2-40B4-BE49-F238E27FC236}">
              <a16:creationId xmlns:a16="http://schemas.microsoft.com/office/drawing/2014/main" id="{C8991D2A-3AC5-4F80-9645-72653EBAF678}"/>
            </a:ext>
          </a:extLst>
        </xdr:cNvPr>
        <xdr:cNvSpPr txBox="1">
          <a:spLocks noChangeArrowheads="1"/>
        </xdr:cNvSpPr>
      </xdr:nvSpPr>
      <xdr:spPr bwMode="auto">
        <a:xfrm>
          <a:off x="3581400" y="53625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9</xdr:col>
      <xdr:colOff>190500</xdr:colOff>
      <xdr:row>15</xdr:row>
      <xdr:rowOff>257175</xdr:rowOff>
    </xdr:from>
    <xdr:to>
      <xdr:col>10</xdr:col>
      <xdr:colOff>228600</xdr:colOff>
      <xdr:row>15</xdr:row>
      <xdr:rowOff>419100</xdr:rowOff>
    </xdr:to>
    <xdr:sp macro="" textlink="">
      <xdr:nvSpPr>
        <xdr:cNvPr id="1128" name="Text Box 104">
          <a:extLst>
            <a:ext uri="{FF2B5EF4-FFF2-40B4-BE49-F238E27FC236}">
              <a16:creationId xmlns:a16="http://schemas.microsoft.com/office/drawing/2014/main" id="{AC599A24-8740-45F3-AD54-A9163C8E5CA8}"/>
            </a:ext>
          </a:extLst>
        </xdr:cNvPr>
        <xdr:cNvSpPr txBox="1">
          <a:spLocks noChangeArrowheads="1"/>
        </xdr:cNvSpPr>
      </xdr:nvSpPr>
      <xdr:spPr bwMode="auto">
        <a:xfrm>
          <a:off x="2638425" y="53721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 editAs="oneCell">
    <xdr:from>
      <xdr:col>21</xdr:col>
      <xdr:colOff>228600</xdr:colOff>
      <xdr:row>15</xdr:row>
      <xdr:rowOff>447675</xdr:rowOff>
    </xdr:from>
    <xdr:to>
      <xdr:col>23</xdr:col>
      <xdr:colOff>295275</xdr:colOff>
      <xdr:row>15</xdr:row>
      <xdr:rowOff>1143000</xdr:rowOff>
    </xdr:to>
    <xdr:pic>
      <xdr:nvPicPr>
        <xdr:cNvPr id="1129" name="Picture 105">
          <a:extLst>
            <a:ext uri="{FF2B5EF4-FFF2-40B4-BE49-F238E27FC236}">
              <a16:creationId xmlns:a16="http://schemas.microsoft.com/office/drawing/2014/main" id="{AC82E089-BEF7-479A-9350-BB8AE0A06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556260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Y18" sqref="Y18"/>
    </sheetView>
  </sheetViews>
  <sheetFormatPr defaultRowHeight="12" x14ac:dyDescent="0.15"/>
  <cols>
    <col min="1" max="1" width="7.5" style="42" bestFit="1" customWidth="1"/>
    <col min="2" max="2" width="2.25" style="47" bestFit="1" customWidth="1"/>
    <col min="3" max="3" width="5.25" style="47" bestFit="1" customWidth="1"/>
    <col min="4" max="4" width="2.25" style="47" bestFit="1" customWidth="1"/>
    <col min="5" max="24" width="4.125" style="24" customWidth="1"/>
    <col min="25" max="16384" width="9" style="24"/>
  </cols>
  <sheetData>
    <row r="1" spans="1:30" ht="15" customHeight="1" x14ac:dyDescent="0.15">
      <c r="A1" s="69" t="s">
        <v>0</v>
      </c>
      <c r="B1" s="70"/>
      <c r="C1" s="70"/>
      <c r="D1" s="70"/>
      <c r="E1" s="71"/>
      <c r="F1" s="75" t="s">
        <v>52</v>
      </c>
      <c r="G1" s="70"/>
      <c r="H1" s="101" t="s">
        <v>23</v>
      </c>
      <c r="I1" s="101"/>
      <c r="J1" s="101"/>
      <c r="K1" s="101"/>
      <c r="L1" s="70" t="s">
        <v>54</v>
      </c>
      <c r="M1" s="71"/>
      <c r="N1" s="103" t="s">
        <v>48</v>
      </c>
      <c r="O1" s="71"/>
      <c r="P1" s="105">
        <v>46070</v>
      </c>
      <c r="Q1" s="106"/>
      <c r="R1" s="106"/>
      <c r="S1" s="107"/>
      <c r="T1" s="104" t="s">
        <v>4</v>
      </c>
      <c r="U1" s="104"/>
      <c r="V1" s="104" t="s">
        <v>63</v>
      </c>
      <c r="W1" s="104"/>
      <c r="X1" s="104"/>
    </row>
    <row r="2" spans="1:30" ht="7.5" customHeight="1" x14ac:dyDescent="0.15">
      <c r="A2" s="72"/>
      <c r="B2" s="73"/>
      <c r="C2" s="73"/>
      <c r="D2" s="73"/>
      <c r="E2" s="74"/>
      <c r="F2" s="72"/>
      <c r="G2" s="73"/>
      <c r="H2" s="102"/>
      <c r="I2" s="102"/>
      <c r="J2" s="102"/>
      <c r="K2" s="102"/>
      <c r="L2" s="73"/>
      <c r="M2" s="74"/>
      <c r="N2" s="84"/>
      <c r="O2" s="86"/>
      <c r="P2" s="108"/>
      <c r="Q2" s="109"/>
      <c r="R2" s="109"/>
      <c r="S2" s="110"/>
      <c r="T2" s="69" t="s">
        <v>8</v>
      </c>
      <c r="U2" s="71"/>
      <c r="V2" s="78">
        <v>46023</v>
      </c>
      <c r="W2" s="79"/>
      <c r="X2" s="80"/>
    </row>
    <row r="3" spans="1:30" ht="7.5" customHeight="1" x14ac:dyDescent="0.15">
      <c r="A3" s="84" t="s">
        <v>5</v>
      </c>
      <c r="B3" s="85"/>
      <c r="C3" s="85"/>
      <c r="D3" s="85"/>
      <c r="E3" s="86"/>
      <c r="F3" s="88" t="s">
        <v>53</v>
      </c>
      <c r="G3" s="89"/>
      <c r="H3" s="90" t="s">
        <v>23</v>
      </c>
      <c r="I3" s="90"/>
      <c r="J3" s="90"/>
      <c r="K3" s="90"/>
      <c r="L3" s="92" t="s">
        <v>49</v>
      </c>
      <c r="M3" s="93"/>
      <c r="N3" s="84"/>
      <c r="O3" s="86"/>
      <c r="P3" s="96">
        <v>0.10694444444444444</v>
      </c>
      <c r="Q3" s="97"/>
      <c r="R3" s="97"/>
      <c r="S3" s="100" t="s">
        <v>7</v>
      </c>
      <c r="T3" s="76"/>
      <c r="U3" s="77"/>
      <c r="V3" s="81"/>
      <c r="W3" s="82"/>
      <c r="X3" s="83"/>
    </row>
    <row r="4" spans="1:30" ht="15" customHeight="1" x14ac:dyDescent="0.15">
      <c r="A4" s="76"/>
      <c r="B4" s="87"/>
      <c r="C4" s="87"/>
      <c r="D4" s="87"/>
      <c r="E4" s="77"/>
      <c r="F4" s="76"/>
      <c r="G4" s="87"/>
      <c r="H4" s="91"/>
      <c r="I4" s="91"/>
      <c r="J4" s="91"/>
      <c r="K4" s="91"/>
      <c r="L4" s="94"/>
      <c r="M4" s="95"/>
      <c r="N4" s="76"/>
      <c r="O4" s="77"/>
      <c r="P4" s="98"/>
      <c r="Q4" s="99"/>
      <c r="R4" s="99"/>
      <c r="S4" s="77"/>
      <c r="T4" s="104" t="s">
        <v>50</v>
      </c>
      <c r="U4" s="104"/>
      <c r="V4" s="104" t="s">
        <v>62</v>
      </c>
      <c r="W4" s="104"/>
      <c r="X4" s="104"/>
      <c r="Z4" s="25" t="s">
        <v>51</v>
      </c>
      <c r="AA4" s="26">
        <v>817</v>
      </c>
    </row>
    <row r="5" spans="1:30" ht="18" customHeight="1" x14ac:dyDescent="0.15">
      <c r="A5" s="54"/>
      <c r="B5" s="55"/>
      <c r="C5" s="55"/>
      <c r="D5" s="55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30" ht="18" customHeight="1" x14ac:dyDescent="0.15">
      <c r="A6" s="56"/>
      <c r="B6" s="57"/>
      <c r="C6" s="57"/>
      <c r="D6" s="57"/>
      <c r="X6" s="35"/>
    </row>
    <row r="7" spans="1:30" ht="18" customHeight="1" x14ac:dyDescent="0.15">
      <c r="A7" s="56"/>
      <c r="B7" s="57"/>
      <c r="C7" s="57"/>
      <c r="D7" s="57"/>
      <c r="X7" s="35"/>
    </row>
    <row r="8" spans="1:30" ht="18" customHeight="1" x14ac:dyDescent="0.15">
      <c r="A8" s="56"/>
      <c r="B8" s="57"/>
      <c r="C8" s="57"/>
      <c r="D8" s="57"/>
      <c r="X8" s="35"/>
    </row>
    <row r="9" spans="1:30" ht="18" customHeight="1" x14ac:dyDescent="0.15">
      <c r="A9" s="56"/>
      <c r="B9" s="57"/>
      <c r="C9" s="57"/>
      <c r="D9" s="57"/>
      <c r="X9" s="35"/>
    </row>
    <row r="10" spans="1:30" ht="147.75" customHeight="1" x14ac:dyDescent="0.15">
      <c r="A10" s="56"/>
      <c r="B10" s="57"/>
      <c r="C10" s="57"/>
      <c r="D10" s="57"/>
      <c r="X10" s="35"/>
    </row>
    <row r="11" spans="1:30" ht="18" customHeight="1" x14ac:dyDescent="0.15">
      <c r="A11" s="56"/>
      <c r="B11" s="57"/>
      <c r="C11" s="57"/>
      <c r="D11" s="57"/>
      <c r="X11" s="35"/>
    </row>
    <row r="12" spans="1:30" ht="18" customHeight="1" x14ac:dyDescent="0.15">
      <c r="A12" s="56"/>
      <c r="B12" s="57"/>
      <c r="C12" s="57"/>
      <c r="D12" s="57"/>
      <c r="X12" s="35"/>
    </row>
    <row r="13" spans="1:30" ht="18" customHeight="1" x14ac:dyDescent="0.15">
      <c r="A13" s="56"/>
      <c r="B13" s="57"/>
      <c r="C13" s="57"/>
      <c r="D13" s="57"/>
      <c r="X13" s="35"/>
    </row>
    <row r="14" spans="1:30" ht="18" customHeight="1" x14ac:dyDescent="0.15">
      <c r="A14" s="61"/>
      <c r="B14" s="62"/>
      <c r="C14" s="57"/>
      <c r="D14" s="57"/>
      <c r="X14" s="35"/>
      <c r="Z14" s="24">
        <v>40</v>
      </c>
      <c r="AA14" s="24">
        <f>Z14/3.6</f>
        <v>11.111111111111111</v>
      </c>
      <c r="AC14" s="49">
        <v>28.1</v>
      </c>
      <c r="AD14" s="49">
        <f>AC14/AA14</f>
        <v>2.5290000000000004</v>
      </c>
    </row>
    <row r="15" spans="1:30" ht="18" customHeight="1" x14ac:dyDescent="0.15">
      <c r="A15" s="63"/>
      <c r="B15" s="64"/>
      <c r="C15" s="57"/>
      <c r="D15" s="57"/>
      <c r="P15" s="36"/>
      <c r="Q15" s="36"/>
      <c r="R15" s="36"/>
      <c r="S15" s="36"/>
      <c r="T15" s="36"/>
      <c r="U15" s="36"/>
      <c r="V15" s="36"/>
      <c r="W15" s="36"/>
      <c r="X15" s="37"/>
      <c r="Z15" s="24">
        <v>30</v>
      </c>
      <c r="AA15" s="24">
        <f>Z15/3.6</f>
        <v>8.3333333333333339</v>
      </c>
      <c r="AC15" s="49">
        <v>31.2</v>
      </c>
      <c r="AD15" s="49">
        <f>AC15/AA15</f>
        <v>3.7439999999999998</v>
      </c>
    </row>
    <row r="16" spans="1:30" s="39" customFormat="1" ht="18" customHeight="1" x14ac:dyDescent="0.15">
      <c r="A16" s="65" t="s">
        <v>10</v>
      </c>
      <c r="B16" s="65"/>
      <c r="C16" s="65"/>
      <c r="D16" s="65"/>
      <c r="E16" s="29">
        <v>1</v>
      </c>
      <c r="F16" s="29">
        <v>2</v>
      </c>
      <c r="G16" s="29">
        <v>3</v>
      </c>
      <c r="H16" s="29">
        <v>4</v>
      </c>
      <c r="I16" s="29">
        <v>5</v>
      </c>
      <c r="J16" s="29">
        <v>6</v>
      </c>
      <c r="K16" s="29">
        <v>7</v>
      </c>
      <c r="L16" s="29">
        <v>8</v>
      </c>
      <c r="M16" s="29">
        <v>9</v>
      </c>
      <c r="N16" s="29">
        <v>10</v>
      </c>
      <c r="O16" s="29">
        <v>11</v>
      </c>
      <c r="P16" s="29">
        <v>12</v>
      </c>
      <c r="Q16" s="29">
        <v>13</v>
      </c>
      <c r="R16" s="38">
        <v>14</v>
      </c>
      <c r="S16" s="29">
        <v>15</v>
      </c>
      <c r="T16" s="29">
        <v>16</v>
      </c>
      <c r="U16" s="29">
        <v>17</v>
      </c>
      <c r="V16" s="29">
        <v>18</v>
      </c>
      <c r="W16" s="29">
        <v>19</v>
      </c>
      <c r="X16" s="29">
        <v>20</v>
      </c>
    </row>
    <row r="17" spans="1:25" s="42" customFormat="1" ht="18" customHeight="1" x14ac:dyDescent="0.15">
      <c r="A17" s="65" t="s">
        <v>11</v>
      </c>
      <c r="B17" s="65"/>
      <c r="C17" s="65"/>
      <c r="D17" s="65"/>
      <c r="E17" s="40" t="s">
        <v>24</v>
      </c>
      <c r="F17" s="40" t="s">
        <v>25</v>
      </c>
      <c r="G17" s="40" t="s">
        <v>26</v>
      </c>
      <c r="H17" s="40" t="s">
        <v>27</v>
      </c>
      <c r="I17" s="40" t="s">
        <v>28</v>
      </c>
      <c r="J17" s="40" t="s">
        <v>29</v>
      </c>
      <c r="K17" s="40" t="s">
        <v>30</v>
      </c>
      <c r="L17" s="40" t="s">
        <v>31</v>
      </c>
      <c r="M17" s="40" t="s">
        <v>32</v>
      </c>
      <c r="N17" s="41" t="s">
        <v>33</v>
      </c>
      <c r="O17" s="40"/>
      <c r="P17" s="40"/>
      <c r="Q17" s="40"/>
      <c r="R17" s="41"/>
      <c r="S17" s="40"/>
      <c r="T17" s="40"/>
      <c r="U17" s="40"/>
      <c r="V17" s="40"/>
      <c r="W17" s="40"/>
      <c r="X17" s="40"/>
    </row>
    <row r="18" spans="1:25" s="42" customFormat="1" ht="125.1" customHeight="1" x14ac:dyDescent="0.15">
      <c r="A18" s="58"/>
      <c r="B18" s="59"/>
      <c r="C18" s="59"/>
      <c r="D18" s="60"/>
      <c r="E18" s="43"/>
      <c r="F18" s="44"/>
      <c r="G18" s="44"/>
      <c r="H18" s="44"/>
      <c r="I18" s="44"/>
      <c r="J18" s="43"/>
      <c r="K18" s="44"/>
      <c r="L18" s="44"/>
      <c r="M18" s="44"/>
      <c r="N18" s="44"/>
      <c r="O18" s="43"/>
      <c r="P18" s="44"/>
      <c r="Q18" s="44"/>
      <c r="R18" s="44"/>
      <c r="S18" s="44"/>
      <c r="T18" s="44"/>
      <c r="U18" s="44"/>
      <c r="V18" s="44"/>
      <c r="W18" s="44"/>
      <c r="X18" s="41"/>
      <c r="Y18" s="45"/>
    </row>
    <row r="19" spans="1:25" ht="18" customHeight="1" x14ac:dyDescent="0.15">
      <c r="A19" s="58" t="s">
        <v>60</v>
      </c>
      <c r="B19" s="59"/>
      <c r="C19" s="59" t="s">
        <v>35</v>
      </c>
      <c r="D19" s="6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 spans="1:25" ht="18" customHeight="1" x14ac:dyDescent="0.15">
      <c r="A20" s="58" t="s">
        <v>36</v>
      </c>
      <c r="B20" s="59"/>
      <c r="C20" s="59" t="s">
        <v>37</v>
      </c>
      <c r="D20" s="6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spans="1:25" ht="18" customHeight="1" x14ac:dyDescent="0.15">
      <c r="A21" s="58" t="s">
        <v>61</v>
      </c>
      <c r="B21" s="59"/>
      <c r="C21" s="59" t="s">
        <v>39</v>
      </c>
      <c r="D21" s="6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 spans="1:25" ht="18" customHeight="1" x14ac:dyDescent="0.15">
      <c r="A22" s="58" t="s">
        <v>40</v>
      </c>
      <c r="B22" s="59"/>
      <c r="C22" s="59" t="s">
        <v>41</v>
      </c>
      <c r="D22" s="6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</row>
    <row r="23" spans="1:25" ht="18" customHeight="1" x14ac:dyDescent="0.15">
      <c r="A23" s="58"/>
      <c r="B23" s="59"/>
      <c r="C23" s="59"/>
      <c r="D23" s="6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</row>
    <row r="24" spans="1:25" ht="18" customHeight="1" x14ac:dyDescent="0.15">
      <c r="A24" s="58"/>
      <c r="B24" s="59"/>
      <c r="C24" s="59"/>
      <c r="D24" s="6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spans="1:25" ht="18" customHeight="1" x14ac:dyDescent="0.15">
      <c r="A25" s="68"/>
      <c r="B25" s="66"/>
      <c r="C25" s="66"/>
      <c r="D25" s="67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</row>
    <row r="26" spans="1:25" ht="18" customHeight="1" x14ac:dyDescent="0.15">
      <c r="A26" s="68"/>
      <c r="B26" s="66"/>
      <c r="C26" s="66"/>
      <c r="D26" s="67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</row>
    <row r="27" spans="1:25" ht="18" customHeight="1" x14ac:dyDescent="0.15">
      <c r="A27" s="68"/>
      <c r="B27" s="66"/>
      <c r="C27" s="66"/>
      <c r="D27" s="67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</row>
    <row r="28" spans="1:25" ht="18" customHeight="1" x14ac:dyDescent="0.15">
      <c r="A28" s="68"/>
      <c r="B28" s="66"/>
      <c r="C28" s="66"/>
      <c r="D28" s="67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 spans="1:25" ht="18" customHeight="1" x14ac:dyDescent="0.15">
      <c r="A29" s="68"/>
      <c r="B29" s="66"/>
      <c r="C29" s="66"/>
      <c r="D29" s="67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 spans="1:25" ht="18" customHeight="1" x14ac:dyDescent="0.15">
      <c r="A30" s="68"/>
      <c r="B30" s="66"/>
      <c r="C30" s="66"/>
      <c r="D30" s="67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spans="1:25" ht="18" customHeight="1" x14ac:dyDescent="0.15">
      <c r="A31" s="68"/>
      <c r="B31" s="66"/>
      <c r="C31" s="66"/>
      <c r="D31" s="67"/>
      <c r="E31" s="30"/>
      <c r="F31" s="30"/>
      <c r="G31" s="30"/>
      <c r="H31" s="46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spans="1:25" ht="18" customHeight="1" x14ac:dyDescent="0.15">
      <c r="A32" s="27" t="s">
        <v>55</v>
      </c>
      <c r="B32" s="28"/>
      <c r="C32" s="50"/>
      <c r="D32" s="51"/>
      <c r="E32" s="29">
        <v>109</v>
      </c>
      <c r="F32" s="29"/>
      <c r="G32" s="29"/>
      <c r="H32" s="29"/>
      <c r="I32" s="29"/>
      <c r="J32" s="29">
        <v>109</v>
      </c>
      <c r="K32" s="29"/>
      <c r="L32" s="29"/>
      <c r="M32" s="29"/>
      <c r="N32" s="29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spans="1:27" ht="18" customHeight="1" x14ac:dyDescent="0.15">
      <c r="A33" s="27" t="s">
        <v>56</v>
      </c>
      <c r="B33" s="28" t="s">
        <v>43</v>
      </c>
      <c r="C33" s="31">
        <f>SUM(E33:X33)</f>
        <v>51</v>
      </c>
      <c r="D33" s="48" t="s">
        <v>44</v>
      </c>
      <c r="E33" s="29">
        <v>10</v>
      </c>
      <c r="F33" s="29">
        <v>5</v>
      </c>
      <c r="G33" s="29">
        <v>2</v>
      </c>
      <c r="H33" s="29">
        <v>3</v>
      </c>
      <c r="I33" s="29">
        <v>3</v>
      </c>
      <c r="J33" s="29">
        <v>14</v>
      </c>
      <c r="K33" s="29">
        <v>5</v>
      </c>
      <c r="L33" s="29">
        <v>2</v>
      </c>
      <c r="M33" s="29">
        <v>3</v>
      </c>
      <c r="N33" s="29">
        <v>4</v>
      </c>
      <c r="O33" s="29"/>
      <c r="P33" s="29"/>
      <c r="Q33" s="29"/>
      <c r="R33" s="29"/>
      <c r="S33" s="30"/>
      <c r="T33" s="30"/>
      <c r="U33" s="30"/>
      <c r="V33" s="30"/>
      <c r="W33" s="30"/>
      <c r="X33" s="52" t="s">
        <v>59</v>
      </c>
    </row>
    <row r="34" spans="1:27" ht="18" customHeight="1" x14ac:dyDescent="0.15">
      <c r="A34" s="27" t="s">
        <v>57</v>
      </c>
      <c r="B34" s="28" t="s">
        <v>43</v>
      </c>
      <c r="C34" s="31">
        <f>SUM(E34:X34)</f>
        <v>54</v>
      </c>
      <c r="D34" s="48" t="s">
        <v>44</v>
      </c>
      <c r="E34" s="29">
        <v>10</v>
      </c>
      <c r="F34" s="29">
        <v>5</v>
      </c>
      <c r="G34" s="29">
        <v>5</v>
      </c>
      <c r="H34" s="29">
        <v>3</v>
      </c>
      <c r="I34" s="29">
        <v>3</v>
      </c>
      <c r="J34" s="29">
        <v>14</v>
      </c>
      <c r="K34" s="29">
        <v>5</v>
      </c>
      <c r="L34" s="29">
        <v>2</v>
      </c>
      <c r="M34" s="29">
        <v>3</v>
      </c>
      <c r="N34" s="29">
        <v>4</v>
      </c>
      <c r="O34" s="29"/>
      <c r="P34" s="29"/>
      <c r="Q34" s="29"/>
      <c r="R34" s="29"/>
      <c r="S34" s="30"/>
      <c r="T34" s="30"/>
      <c r="U34" s="30"/>
      <c r="V34" s="30"/>
      <c r="W34" s="30"/>
      <c r="X34" s="53" t="s">
        <v>58</v>
      </c>
      <c r="Y34" s="32"/>
      <c r="Z34" s="24">
        <v>120</v>
      </c>
      <c r="AA34" s="24">
        <f>Z34-INT(Z34/8)-3</f>
        <v>102</v>
      </c>
    </row>
    <row r="35" spans="1:27" ht="18" customHeight="1" x14ac:dyDescent="0.15">
      <c r="A35" s="27" t="s">
        <v>16</v>
      </c>
      <c r="B35" s="28" t="s">
        <v>43</v>
      </c>
      <c r="C35" s="31">
        <f>SUM(E35:X35)</f>
        <v>140</v>
      </c>
      <c r="D35" s="48" t="s">
        <v>44</v>
      </c>
      <c r="E35" s="29">
        <v>94</v>
      </c>
      <c r="F35" s="29">
        <v>5</v>
      </c>
      <c r="G35" s="29">
        <v>3</v>
      </c>
      <c r="H35" s="29">
        <v>3</v>
      </c>
      <c r="I35" s="29">
        <v>3</v>
      </c>
      <c r="J35" s="29">
        <v>18</v>
      </c>
      <c r="K35" s="29">
        <v>5</v>
      </c>
      <c r="L35" s="29">
        <v>2</v>
      </c>
      <c r="M35" s="29">
        <v>3</v>
      </c>
      <c r="N35" s="29">
        <v>4</v>
      </c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32"/>
      <c r="Z35" s="24">
        <v>140</v>
      </c>
      <c r="AA35" s="24">
        <f>Z35-INT(Z35/8)-3</f>
        <v>120</v>
      </c>
    </row>
    <row r="36" spans="1:27" ht="18" customHeight="1" x14ac:dyDescent="0.15">
      <c r="A36" s="58" t="s">
        <v>17</v>
      </c>
      <c r="B36" s="59"/>
      <c r="C36" s="59"/>
      <c r="D36" s="60"/>
      <c r="E36" s="29">
        <v>110</v>
      </c>
      <c r="F36" s="29">
        <v>110</v>
      </c>
      <c r="G36" s="29">
        <v>110</v>
      </c>
      <c r="H36" s="29">
        <v>10</v>
      </c>
      <c r="I36" s="29">
        <v>10</v>
      </c>
      <c r="J36" s="29">
        <v>110</v>
      </c>
      <c r="K36" s="29">
        <v>110</v>
      </c>
      <c r="L36" s="29">
        <v>110</v>
      </c>
      <c r="M36" s="29">
        <v>10</v>
      </c>
      <c r="N36" s="29">
        <v>10</v>
      </c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27" ht="18" customHeight="1" x14ac:dyDescent="0.15">
      <c r="A37" s="58" t="s">
        <v>18</v>
      </c>
      <c r="B37" s="59"/>
      <c r="C37" s="59"/>
      <c r="D37" s="60"/>
      <c r="E37" s="29">
        <v>6</v>
      </c>
      <c r="F37" s="29">
        <v>0.95</v>
      </c>
      <c r="G37" s="29">
        <v>0.95</v>
      </c>
      <c r="H37" s="29">
        <v>0.95</v>
      </c>
      <c r="I37" s="29">
        <v>0.95</v>
      </c>
      <c r="J37" s="29">
        <v>6</v>
      </c>
      <c r="K37" s="29">
        <v>0.95</v>
      </c>
      <c r="L37" s="29">
        <v>0.95</v>
      </c>
      <c r="M37" s="29">
        <v>0.95</v>
      </c>
      <c r="N37" s="29">
        <v>0.95</v>
      </c>
      <c r="O37" s="29"/>
      <c r="P37" s="29"/>
      <c r="Q37" s="29"/>
      <c r="R37" s="29"/>
      <c r="S37" s="29"/>
      <c r="T37" s="29"/>
      <c r="U37" s="29"/>
      <c r="V37" s="29"/>
      <c r="W37" s="29"/>
      <c r="X37" s="29"/>
    </row>
    <row r="38" spans="1:27" ht="18" customHeight="1" x14ac:dyDescent="0.15">
      <c r="A38" s="58" t="s">
        <v>19</v>
      </c>
      <c r="B38" s="59"/>
      <c r="C38" s="59"/>
      <c r="D38" s="60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</row>
  </sheetData>
  <mergeCells count="72">
    <mergeCell ref="T2:U3"/>
    <mergeCell ref="V2:X3"/>
    <mergeCell ref="A3:E4"/>
    <mergeCell ref="F3:G4"/>
    <mergeCell ref="H3:K4"/>
    <mergeCell ref="L3:M4"/>
    <mergeCell ref="P3:R4"/>
    <mergeCell ref="S3:S4"/>
    <mergeCell ref="H1:K2"/>
    <mergeCell ref="L1:M2"/>
    <mergeCell ref="N1:O4"/>
    <mergeCell ref="V1:X1"/>
    <mergeCell ref="T4:U4"/>
    <mergeCell ref="V4:X4"/>
    <mergeCell ref="P1:S2"/>
    <mergeCell ref="T1:U1"/>
    <mergeCell ref="A36:D36"/>
    <mergeCell ref="A37:D37"/>
    <mergeCell ref="A38:D38"/>
    <mergeCell ref="A1:E2"/>
    <mergeCell ref="F1:G2"/>
    <mergeCell ref="A31:B31"/>
    <mergeCell ref="C31:D31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</mergeCells>
  <phoneticPr fontId="1"/>
  <pageMargins left="0.78740157480314965" right="0" top="0.39370078740157483" bottom="0" header="0.19685039370078741" footer="0.19685039370078741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workbookViewId="0">
      <selection sqref="A1:E1"/>
    </sheetView>
  </sheetViews>
  <sheetFormatPr defaultRowHeight="11.25" x14ac:dyDescent="0.15"/>
  <cols>
    <col min="1" max="1" width="5.125" style="23" customWidth="1"/>
    <col min="2" max="2" width="0.875" style="23" customWidth="1"/>
    <col min="3" max="3" width="4.625" style="23" customWidth="1"/>
    <col min="4" max="4" width="0.875" style="23" customWidth="1"/>
    <col min="5" max="24" width="4.125" style="2" customWidth="1"/>
    <col min="25" max="16384" width="9" style="2"/>
  </cols>
  <sheetData>
    <row r="1" spans="1:25" ht="20.100000000000001" customHeight="1" x14ac:dyDescent="0.15">
      <c r="A1" s="122" t="s">
        <v>0</v>
      </c>
      <c r="B1" s="122"/>
      <c r="C1" s="122"/>
      <c r="D1" s="122"/>
      <c r="E1" s="122"/>
      <c r="F1" s="117" t="s">
        <v>20</v>
      </c>
      <c r="G1" s="118"/>
      <c r="H1" s="119" t="s">
        <v>1</v>
      </c>
      <c r="I1" s="120"/>
      <c r="J1" s="120"/>
      <c r="K1" s="120"/>
      <c r="L1" s="120"/>
      <c r="M1" s="120"/>
      <c r="N1" s="121" t="s">
        <v>2</v>
      </c>
      <c r="O1" s="121"/>
      <c r="P1" s="122" t="s">
        <v>3</v>
      </c>
      <c r="Q1" s="122"/>
      <c r="R1" s="122"/>
      <c r="S1" s="122"/>
      <c r="T1" s="115" t="s">
        <v>4</v>
      </c>
      <c r="U1" s="115"/>
      <c r="V1" s="123" t="s">
        <v>21</v>
      </c>
      <c r="W1" s="123"/>
      <c r="X1" s="123"/>
    </row>
    <row r="2" spans="1:25" ht="20.100000000000001" customHeight="1" x14ac:dyDescent="0.15">
      <c r="A2" s="111" t="s">
        <v>5</v>
      </c>
      <c r="B2" s="111"/>
      <c r="C2" s="111"/>
      <c r="D2" s="111"/>
      <c r="E2" s="111"/>
      <c r="F2" s="131" t="s">
        <v>22</v>
      </c>
      <c r="G2" s="132"/>
      <c r="H2" s="126" t="s">
        <v>23</v>
      </c>
      <c r="I2" s="126"/>
      <c r="J2" s="126"/>
      <c r="K2" s="126"/>
      <c r="L2" s="124" t="s">
        <v>47</v>
      </c>
      <c r="M2" s="125"/>
      <c r="N2" s="111" t="s">
        <v>6</v>
      </c>
      <c r="O2" s="111"/>
      <c r="P2" s="112">
        <v>0.6166666666666667</v>
      </c>
      <c r="Q2" s="113"/>
      <c r="R2" s="114"/>
      <c r="S2" s="3" t="s">
        <v>7</v>
      </c>
      <c r="T2" s="115" t="s">
        <v>8</v>
      </c>
      <c r="U2" s="115"/>
      <c r="V2" s="116" t="s">
        <v>9</v>
      </c>
      <c r="W2" s="116"/>
      <c r="X2" s="116"/>
    </row>
    <row r="3" spans="1:25" ht="18" customHeight="1" x14ac:dyDescent="0.15">
      <c r="A3" s="127"/>
      <c r="B3" s="128"/>
      <c r="C3" s="128"/>
      <c r="D3" s="12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29"/>
      <c r="B4" s="130"/>
      <c r="C4" s="130"/>
      <c r="D4" s="130"/>
      <c r="X4" s="7"/>
    </row>
    <row r="5" spans="1:25" ht="18" customHeight="1" x14ac:dyDescent="0.15">
      <c r="A5" s="129"/>
      <c r="B5" s="130"/>
      <c r="C5" s="130"/>
      <c r="D5" s="130"/>
      <c r="X5" s="7"/>
    </row>
    <row r="6" spans="1:25" ht="18" customHeight="1" x14ac:dyDescent="0.15">
      <c r="A6" s="129"/>
      <c r="B6" s="130"/>
      <c r="C6" s="130"/>
      <c r="D6" s="130"/>
      <c r="X6" s="7"/>
    </row>
    <row r="7" spans="1:25" ht="18" customHeight="1" x14ac:dyDescent="0.15">
      <c r="A7" s="129"/>
      <c r="B7" s="130"/>
      <c r="C7" s="130"/>
      <c r="D7" s="130"/>
      <c r="X7" s="7"/>
    </row>
    <row r="8" spans="1:25" ht="147.75" customHeight="1" x14ac:dyDescent="0.15">
      <c r="A8" s="129"/>
      <c r="B8" s="130"/>
      <c r="C8" s="130"/>
      <c r="D8" s="130"/>
      <c r="X8" s="7"/>
    </row>
    <row r="9" spans="1:25" ht="18" customHeight="1" x14ac:dyDescent="0.15">
      <c r="A9" s="129"/>
      <c r="B9" s="130"/>
      <c r="C9" s="130"/>
      <c r="D9" s="130"/>
      <c r="X9" s="7"/>
    </row>
    <row r="10" spans="1:25" ht="18" customHeight="1" x14ac:dyDescent="0.15">
      <c r="A10" s="129"/>
      <c r="B10" s="130"/>
      <c r="C10" s="130"/>
      <c r="D10" s="130"/>
      <c r="X10" s="7"/>
    </row>
    <row r="11" spans="1:25" ht="18" customHeight="1" x14ac:dyDescent="0.15">
      <c r="A11" s="129"/>
      <c r="B11" s="130"/>
      <c r="C11" s="130"/>
      <c r="D11" s="130"/>
      <c r="X11" s="7"/>
    </row>
    <row r="12" spans="1:25" ht="18" customHeight="1" x14ac:dyDescent="0.15">
      <c r="A12" s="134"/>
      <c r="B12" s="135"/>
      <c r="C12" s="130"/>
      <c r="D12" s="130"/>
      <c r="X12" s="7"/>
    </row>
    <row r="13" spans="1:25" ht="18" customHeight="1" x14ac:dyDescent="0.15">
      <c r="A13" s="132"/>
      <c r="B13" s="136"/>
      <c r="C13" s="130"/>
      <c r="D13" s="130"/>
      <c r="P13" s="8"/>
      <c r="Q13" s="8"/>
      <c r="R13" s="8"/>
      <c r="S13" s="8"/>
      <c r="T13" s="8"/>
      <c r="U13" s="8"/>
      <c r="V13" s="8"/>
      <c r="W13" s="8"/>
      <c r="X13" s="3"/>
    </row>
    <row r="14" spans="1:25" s="10" customFormat="1" ht="18" customHeight="1" x14ac:dyDescent="0.15">
      <c r="A14" s="133" t="s">
        <v>10</v>
      </c>
      <c r="B14" s="133"/>
      <c r="C14" s="133"/>
      <c r="D14" s="133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9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3" customFormat="1" ht="18" customHeight="1" x14ac:dyDescent="0.15">
      <c r="A15" s="133" t="s">
        <v>11</v>
      </c>
      <c r="B15" s="133"/>
      <c r="C15" s="133"/>
      <c r="D15" s="133"/>
      <c r="E15" s="11" t="s">
        <v>24</v>
      </c>
      <c r="F15" s="11" t="s">
        <v>25</v>
      </c>
      <c r="G15" s="11" t="s">
        <v>26</v>
      </c>
      <c r="H15" s="11" t="s">
        <v>27</v>
      </c>
      <c r="I15" s="11" t="s">
        <v>28</v>
      </c>
      <c r="J15" s="11" t="s">
        <v>29</v>
      </c>
      <c r="K15" s="11" t="s">
        <v>30</v>
      </c>
      <c r="L15" s="11" t="s">
        <v>31</v>
      </c>
      <c r="M15" s="11" t="s">
        <v>32</v>
      </c>
      <c r="N15" s="12" t="s">
        <v>33</v>
      </c>
      <c r="O15" s="11"/>
      <c r="P15" s="11"/>
      <c r="Q15" s="11"/>
      <c r="R15" s="12"/>
      <c r="S15" s="11"/>
      <c r="T15" s="11"/>
      <c r="U15" s="11"/>
      <c r="V15" s="11"/>
      <c r="W15" s="11"/>
      <c r="X15" s="11"/>
    </row>
    <row r="16" spans="1:25" s="13" customFormat="1" ht="125.1" customHeight="1" x14ac:dyDescent="0.15">
      <c r="A16" s="143"/>
      <c r="B16" s="144"/>
      <c r="C16" s="144"/>
      <c r="D16" s="145"/>
      <c r="E16" s="14"/>
      <c r="F16" s="15"/>
      <c r="G16" s="15"/>
      <c r="H16" s="15"/>
      <c r="I16" s="15"/>
      <c r="J16" s="14"/>
      <c r="K16" s="15"/>
      <c r="L16" s="15"/>
      <c r="M16" s="15"/>
      <c r="N16" s="15"/>
      <c r="O16" s="14"/>
      <c r="P16" s="15"/>
      <c r="Q16" s="15"/>
      <c r="R16" s="15"/>
      <c r="S16" s="15"/>
      <c r="T16" s="15"/>
      <c r="U16" s="15"/>
      <c r="V16" s="15"/>
      <c r="W16" s="15"/>
      <c r="X16" s="12"/>
      <c r="Y16" s="16"/>
    </row>
    <row r="17" spans="1:24" ht="18" customHeight="1" x14ac:dyDescent="0.15">
      <c r="A17" s="143" t="s">
        <v>34</v>
      </c>
      <c r="B17" s="144"/>
      <c r="C17" s="144" t="s">
        <v>35</v>
      </c>
      <c r="D17" s="145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8" customHeight="1" x14ac:dyDescent="0.15">
      <c r="A18" s="143" t="s">
        <v>36</v>
      </c>
      <c r="B18" s="144"/>
      <c r="C18" s="144" t="s">
        <v>37</v>
      </c>
      <c r="D18" s="145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8" customHeight="1" x14ac:dyDescent="0.15">
      <c r="A19" s="143" t="s">
        <v>38</v>
      </c>
      <c r="B19" s="144"/>
      <c r="C19" s="144" t="s">
        <v>39</v>
      </c>
      <c r="D19" s="14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8" customHeight="1" x14ac:dyDescent="0.15">
      <c r="A20" s="143" t="s">
        <v>40</v>
      </c>
      <c r="B20" s="144"/>
      <c r="C20" s="144" t="s">
        <v>41</v>
      </c>
      <c r="D20" s="145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8" customHeight="1" x14ac:dyDescent="0.15">
      <c r="A21" s="143"/>
      <c r="B21" s="144"/>
      <c r="C21" s="144"/>
      <c r="D21" s="145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8" customHeight="1" x14ac:dyDescent="0.15">
      <c r="A22" s="143"/>
      <c r="B22" s="144"/>
      <c r="C22" s="144"/>
      <c r="D22" s="145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8" customHeight="1" x14ac:dyDescent="0.15">
      <c r="A23" s="140"/>
      <c r="B23" s="141"/>
      <c r="C23" s="141"/>
      <c r="D23" s="142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8" customHeight="1" x14ac:dyDescent="0.15">
      <c r="A24" s="140"/>
      <c r="B24" s="141"/>
      <c r="C24" s="141"/>
      <c r="D24" s="142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8" customHeight="1" x14ac:dyDescent="0.15">
      <c r="A25" s="140"/>
      <c r="B25" s="141"/>
      <c r="C25" s="141"/>
      <c r="D25" s="142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8" customHeight="1" x14ac:dyDescent="0.15">
      <c r="A26" s="140"/>
      <c r="B26" s="141"/>
      <c r="C26" s="141"/>
      <c r="D26" s="142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8" customHeight="1" x14ac:dyDescent="0.15">
      <c r="A27" s="140"/>
      <c r="B27" s="141"/>
      <c r="C27" s="141"/>
      <c r="D27" s="142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8" customHeight="1" x14ac:dyDescent="0.15">
      <c r="A28" s="140"/>
      <c r="B28" s="141"/>
      <c r="C28" s="141"/>
      <c r="D28" s="142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8" customHeight="1" x14ac:dyDescent="0.15">
      <c r="A29" s="140"/>
      <c r="B29" s="141"/>
      <c r="C29" s="141"/>
      <c r="D29" s="142"/>
      <c r="E29" s="17"/>
      <c r="F29" s="17"/>
      <c r="G29" s="17"/>
      <c r="H29" s="18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8" customHeight="1" x14ac:dyDescent="0.15">
      <c r="A30" s="140"/>
      <c r="B30" s="141"/>
      <c r="C30" s="141"/>
      <c r="D30" s="142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18" customHeight="1" x14ac:dyDescent="0.15">
      <c r="A31" s="137" t="s">
        <v>12</v>
      </c>
      <c r="B31" s="138"/>
      <c r="C31" s="138"/>
      <c r="D31" s="139"/>
      <c r="E31" s="17"/>
      <c r="F31" s="17"/>
      <c r="G31" s="17"/>
      <c r="H31" s="17"/>
      <c r="I31" s="1" t="s">
        <v>42</v>
      </c>
      <c r="J31" s="17"/>
      <c r="K31" s="17"/>
      <c r="L31" s="17"/>
      <c r="M31" s="17"/>
      <c r="N31" s="1" t="s">
        <v>42</v>
      </c>
      <c r="O31" s="148" t="s">
        <v>14</v>
      </c>
      <c r="P31" s="149"/>
      <c r="Q31" s="146">
        <v>2</v>
      </c>
      <c r="R31" s="17"/>
      <c r="S31" s="17"/>
      <c r="T31" s="17"/>
      <c r="U31" s="17"/>
      <c r="V31" s="17"/>
      <c r="W31" s="17"/>
      <c r="X31" s="17"/>
    </row>
    <row r="32" spans="1:24" ht="18" customHeight="1" x14ac:dyDescent="0.15">
      <c r="A32" s="137" t="s">
        <v>15</v>
      </c>
      <c r="B32" s="138"/>
      <c r="C32" s="138"/>
      <c r="D32" s="139"/>
      <c r="E32" s="1" t="s">
        <v>13</v>
      </c>
      <c r="F32" s="17"/>
      <c r="G32" s="17"/>
      <c r="H32" s="17"/>
      <c r="I32" s="17"/>
      <c r="J32" s="1" t="s">
        <v>13</v>
      </c>
      <c r="K32" s="17"/>
      <c r="L32" s="17"/>
      <c r="M32" s="17"/>
      <c r="N32" s="17"/>
      <c r="O32" s="150"/>
      <c r="P32" s="151"/>
      <c r="Q32" s="147"/>
      <c r="R32" s="17"/>
      <c r="S32" s="17"/>
      <c r="T32" s="17"/>
      <c r="U32" s="17"/>
      <c r="V32" s="17"/>
      <c r="W32" s="17"/>
      <c r="X32" s="17"/>
    </row>
    <row r="33" spans="1:24" ht="18" customHeight="1" x14ac:dyDescent="0.15">
      <c r="A33" s="19" t="s">
        <v>16</v>
      </c>
      <c r="B33" s="20" t="s">
        <v>43</v>
      </c>
      <c r="C33" s="21">
        <f>SUM(E33:X33)</f>
        <v>100</v>
      </c>
      <c r="D33" s="22" t="s">
        <v>44</v>
      </c>
      <c r="E33" s="1">
        <v>60</v>
      </c>
      <c r="F33" s="1">
        <v>5</v>
      </c>
      <c r="G33" s="1">
        <v>2</v>
      </c>
      <c r="H33" s="1">
        <v>3</v>
      </c>
      <c r="I33" s="1">
        <v>3</v>
      </c>
      <c r="J33" s="1">
        <v>13</v>
      </c>
      <c r="K33" s="1">
        <v>5</v>
      </c>
      <c r="L33" s="1">
        <v>2</v>
      </c>
      <c r="M33" s="1">
        <v>3</v>
      </c>
      <c r="N33" s="1">
        <v>4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37" t="s">
        <v>17</v>
      </c>
      <c r="B34" s="138"/>
      <c r="C34" s="138"/>
      <c r="D34" s="139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37" t="s">
        <v>18</v>
      </c>
      <c r="B35" s="138"/>
      <c r="C35" s="138"/>
      <c r="D35" s="139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37" t="s">
        <v>19</v>
      </c>
      <c r="B36" s="138"/>
      <c r="C36" s="138"/>
      <c r="D36" s="139"/>
      <c r="E36" s="4" t="s">
        <v>45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45</v>
      </c>
      <c r="L36" s="4" t="s">
        <v>45</v>
      </c>
      <c r="M36" s="4" t="s">
        <v>45</v>
      </c>
      <c r="N36" s="4" t="s">
        <v>45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C19:D19"/>
    <mergeCell ref="A20:B20"/>
    <mergeCell ref="C20:D20"/>
    <mergeCell ref="A21:B21"/>
    <mergeCell ref="C21:D21"/>
    <mergeCell ref="Q31:Q32"/>
    <mergeCell ref="A32:D32"/>
    <mergeCell ref="A23:B23"/>
    <mergeCell ref="C23:D23"/>
    <mergeCell ref="A24:B24"/>
    <mergeCell ref="C24:D24"/>
    <mergeCell ref="O31:P32"/>
    <mergeCell ref="A16:D16"/>
    <mergeCell ref="A17:B17"/>
    <mergeCell ref="C17:D17"/>
    <mergeCell ref="A18:B18"/>
    <mergeCell ref="A28:B28"/>
    <mergeCell ref="C28:D28"/>
    <mergeCell ref="A25:B25"/>
    <mergeCell ref="C25:D25"/>
    <mergeCell ref="A26:B26"/>
    <mergeCell ref="C26:D26"/>
    <mergeCell ref="A22:B22"/>
    <mergeCell ref="C22:D22"/>
    <mergeCell ref="C18:D18"/>
    <mergeCell ref="A27:B27"/>
    <mergeCell ref="C27:D27"/>
    <mergeCell ref="A19:B19"/>
    <mergeCell ref="A36:D36"/>
    <mergeCell ref="A31:D31"/>
    <mergeCell ref="A29:B29"/>
    <mergeCell ref="C29:D29"/>
    <mergeCell ref="A30:B30"/>
    <mergeCell ref="C30:D30"/>
    <mergeCell ref="A34:D34"/>
    <mergeCell ref="A35:D35"/>
    <mergeCell ref="A14:D14"/>
    <mergeCell ref="A15:D15"/>
    <mergeCell ref="A11:B11"/>
    <mergeCell ref="C11:D11"/>
    <mergeCell ref="A12:B12"/>
    <mergeCell ref="C12:D12"/>
    <mergeCell ref="C13:D13"/>
    <mergeCell ref="A13:B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  <mergeCell ref="A1:E1"/>
    <mergeCell ref="H2:K2"/>
    <mergeCell ref="A3:B3"/>
    <mergeCell ref="C3:D3"/>
    <mergeCell ref="A4:B4"/>
    <mergeCell ref="C4:D4"/>
    <mergeCell ref="A2:E2"/>
    <mergeCell ref="F2:G2"/>
    <mergeCell ref="N2:O2"/>
    <mergeCell ref="P2:R2"/>
    <mergeCell ref="T2:U2"/>
    <mergeCell ref="V2:X2"/>
    <mergeCell ref="F1:G1"/>
    <mergeCell ref="H1:M1"/>
    <mergeCell ref="N1:O1"/>
    <mergeCell ref="P1:S1"/>
    <mergeCell ref="T1:U1"/>
    <mergeCell ref="V1:X1"/>
    <mergeCell ref="L2:M2"/>
  </mergeCells>
  <phoneticPr fontId="1"/>
  <pageMargins left="0.78740157480314965" right="0.19685039370078741" top="0.39370078740157483" bottom="0.59055118110236227" header="0.19685039370078741" footer="0.19685039370078741"/>
  <pageSetup paperSize="9" scale="95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2026-02-17</vt:lpstr>
      <vt:lpstr>250186</vt:lpstr>
      <vt:lpstr>'2026-02-17'!Print_Area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2025-06-04T08:10:01Z</cp:lastPrinted>
  <dcterms:created xsi:type="dcterms:W3CDTF">2002-07-31T02:53:31Z</dcterms:created>
  <dcterms:modified xsi:type="dcterms:W3CDTF">2026-02-26T09:28:25Z</dcterms:modified>
</cp:coreProperties>
</file>