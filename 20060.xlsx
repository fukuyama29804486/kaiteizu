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B03B6782-EA1A-449C-9CE6-806A58E90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9" sheetId="6" r:id="rId1"/>
    <sheet name="2023-11-07" sheetId="5" r:id="rId2"/>
    <sheet name="2023-10-11" sheetId="4" r:id="rId3"/>
    <sheet name="140719" sheetId="3" r:id="rId4"/>
    <sheet name="140119" sheetId="2" r:id="rId5"/>
    <sheet name="250060" sheetId="1" r:id="rId6"/>
  </sheets>
  <definedNames>
    <definedName name="_xlnm.Print_Area" localSheetId="0">'2026-02-19'!$A$1:$X$38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5" i="6" l="1"/>
  <c r="AA15" i="6"/>
  <c r="AA14" i="6"/>
  <c r="AD14" i="6" s="1"/>
  <c r="AA34" i="6"/>
  <c r="AA33" i="6"/>
  <c r="C35" i="6"/>
  <c r="C34" i="6"/>
  <c r="C33" i="6"/>
  <c r="C33" i="5"/>
  <c r="C32" i="5"/>
  <c r="C31" i="5"/>
  <c r="C32" i="4"/>
  <c r="C31" i="4"/>
  <c r="C33" i="4"/>
  <c r="C33" i="3"/>
  <c r="C33" i="2"/>
  <c r="C33" i="1"/>
</calcChain>
</file>

<file path=xl/sharedStrings.xml><?xml version="1.0" encoding="utf-8"?>
<sst xmlns="http://schemas.openxmlformats.org/spreadsheetml/2006/main" count="374" uniqueCount="75">
  <si>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</si>
  <si>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2-0060 </t>
    <phoneticPr fontId="1"/>
  </si>
  <si>
    <t>海上自衛隊呉教育隊前</t>
    <rPh sb="0" eb="2">
      <t>カイジョウ</t>
    </rPh>
    <rPh sb="2" eb="4">
      <t>ジエイ</t>
    </rPh>
    <rPh sb="4" eb="5">
      <t>タイ</t>
    </rPh>
    <rPh sb="5" eb="6">
      <t>クレ</t>
    </rPh>
    <rPh sb="6" eb="8">
      <t>キョウイク</t>
    </rPh>
    <rPh sb="8" eb="9">
      <t>タイ</t>
    </rPh>
    <rPh sb="9" eb="10">
      <t>マエ</t>
    </rPh>
    <phoneticPr fontId="1"/>
  </si>
  <si>
    <t>運　用</t>
    <rPh sb="0" eb="1">
      <t>ウン</t>
    </rPh>
    <rPh sb="2" eb="3">
      <t>ヨウ</t>
    </rPh>
    <phoneticPr fontId="1"/>
  </si>
  <si>
    <t>H.14年12月 2日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</si>
  <si>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</si>
  <si>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2C0746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</si>
  <si>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</si>
  <si>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250060 </t>
    <phoneticPr fontId="1"/>
  </si>
  <si>
    <t>（Ⅰ型）</t>
    <rPh sb="2" eb="3">
      <t>カタ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</si>
  <si>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</si>
  <si>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</si>
  <si>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</si>
  <si>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平成14年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</si>
  <si>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</si>
  <si>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</si>
  <si>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</si>
  <si>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</si>
  <si>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</si>
  <si>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</si>
  <si>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</si>
  <si>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</si>
  <si>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</si>
  <si>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</si>
  <si>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</si>
  <si>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</si>
  <si>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 １Ｐ</t>
    <phoneticPr fontId="1"/>
  </si>
  <si>
    <t>[ 1P ]</t>
    <phoneticPr fontId="1"/>
  </si>
  <si>
    <t>１</t>
    <phoneticPr fontId="1"/>
  </si>
  <si>
    <t>[ 1V ]</t>
    <phoneticPr fontId="1"/>
  </si>
  <si>
    <t>３</t>
    <phoneticPr fontId="1"/>
  </si>
  <si>
    <t>[ 3V ]</t>
    <phoneticPr fontId="1"/>
  </si>
  <si>
    <t>３左矢</t>
    <rPh sb="1" eb="3">
      <t>ヒダリヤ</t>
    </rPh>
    <phoneticPr fontId="1"/>
  </si>
  <si>
    <t xml:space="preserve">[ 3A ] </t>
    <phoneticPr fontId="1"/>
  </si>
  <si>
    <t xml:space="preserve">  ２Ｐ</t>
    <phoneticPr fontId="1"/>
  </si>
  <si>
    <t>[ 2P ]</t>
    <phoneticPr fontId="1"/>
  </si>
  <si>
    <t>２</t>
    <phoneticPr fontId="1"/>
  </si>
  <si>
    <t xml:space="preserve">[ 2V ] </t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</si>
  <si>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</si>
  <si>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</si>
  <si>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</si>
  <si>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</si>
  <si>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○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</si>
  <si>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</si>
  <si>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</si>
  <si>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</si>
  <si>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</si>
  <si>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</si>
  <si>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</si>
  <si>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</si>
  <si>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</si>
  <si>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3 G</t>
  </si>
  <si>
    <t>3 Y</t>
  </si>
  <si>
    <t>3 R</t>
  </si>
  <si>
    <t xml:space="preserve">020060 </t>
    <phoneticPr fontId="1"/>
  </si>
  <si>
    <t>（U形）</t>
    <rPh sb="2" eb="3">
      <t>ケイ</t>
    </rPh>
    <phoneticPr fontId="1"/>
  </si>
  <si>
    <t>ＰＵ</t>
    <phoneticPr fontId="1"/>
  </si>
  <si>
    <t>ＰＬ１</t>
    <phoneticPr fontId="1"/>
  </si>
  <si>
    <t>（ PL2 の時間帯を除く時間帯 ）</t>
    <rPh sb="7" eb="10">
      <t>ジカンタイ</t>
    </rPh>
    <rPh sb="11" eb="12">
      <t>ノゾ</t>
    </rPh>
    <rPh sb="13" eb="16">
      <t>ジカンタイ</t>
    </rPh>
    <phoneticPr fontId="1"/>
  </si>
  <si>
    <t>ＰＬ２</t>
    <phoneticPr fontId="1"/>
  </si>
  <si>
    <t>（ 月～金 17:00～19:00 ）</t>
    <rPh sb="2" eb="3">
      <t>ツキ</t>
    </rPh>
    <rPh sb="4" eb="5">
      <t>キン</t>
    </rPh>
    <phoneticPr fontId="1"/>
  </si>
  <si>
    <t xml:space="preserve">02-0060 </t>
    <phoneticPr fontId="1"/>
  </si>
  <si>
    <t xml:space="preserve">20060 </t>
    <phoneticPr fontId="1"/>
  </si>
  <si>
    <t>(UD-TTR)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</si>
  <si>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</si>
  <si>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</si>
  <si>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</si>
  <si>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</si>
  <si>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02-0060</t>
    <phoneticPr fontId="1"/>
  </si>
  <si>
    <t>20060</t>
    <phoneticPr fontId="1"/>
  </si>
  <si>
    <t xml:space="preserve">  PL2 の時間帯を除く</t>
    <rPh sb="7" eb="10">
      <t>ジカンタイ</t>
    </rPh>
    <rPh sb="11" eb="12">
      <t>ノゾ</t>
    </rPh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</si>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</sst>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5.5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9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right" vertical="center"/>
    </xf>
    <xf numFmtId="177" fontId="13" fillId="0" borderId="9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9" fillId="0" borderId="8" xfId="0" applyNumberFormat="1" applyFont="1" applyBorder="1" applyAlignment="1">
      <alignment horizontal="left" vertical="center"/>
    </xf>
    <xf numFmtId="176" fontId="9" fillId="0" borderId="7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181" fontId="10" fillId="0" borderId="0" xfId="0" applyNumberFormat="1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8" fontId="10" fillId="0" borderId="13" xfId="0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center" vertical="center"/>
    </xf>
    <xf numFmtId="178" fontId="10" fillId="0" borderId="22" xfId="0" applyNumberFormat="1" applyFont="1" applyBorder="1" applyAlignment="1">
      <alignment horizontal="center" vertical="center"/>
    </xf>
    <xf numFmtId="178" fontId="10" fillId="0" borderId="23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10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11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79" fontId="10" fillId="0" borderId="13" xfId="0" applyNumberFormat="1" applyFont="1" applyBorder="1" applyAlignment="1">
      <alignment horizontal="center" vertical="center"/>
    </xf>
    <xf numFmtId="179" fontId="10" fillId="0" borderId="3" xfId="0" applyNumberFormat="1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80" fontId="10" fillId="0" borderId="24" xfId="0" applyNumberFormat="1" applyFont="1" applyBorder="1" applyAlignment="1">
      <alignment horizontal="center" vertical="center"/>
    </xf>
    <xf numFmtId="180" fontId="10" fillId="0" borderId="25" xfId="0" applyNumberFormat="1" applyFont="1" applyBorder="1" applyAlignment="1">
      <alignment horizontal="center" vertical="center"/>
    </xf>
    <xf numFmtId="180" fontId="10" fillId="0" borderId="11" xfId="0" applyNumberFormat="1" applyFont="1" applyBorder="1" applyAlignment="1">
      <alignment horizontal="center" vertical="center"/>
    </xf>
    <xf numFmtId="180" fontId="10" fillId="0" borderId="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shrinkToFit="1"/>
    </xf>
    <xf numFmtId="0" fontId="10" fillId="0" borderId="22" xfId="0" applyFont="1" applyBorder="1" applyAlignment="1">
      <alignment horizontal="left" vertical="center" shrinkToFit="1"/>
    </xf>
    <xf numFmtId="0" fontId="10" fillId="0" borderId="20" xfId="0" applyFont="1" applyBorder="1" applyAlignment="1">
      <alignment horizontal="center" vertical="center"/>
    </xf>
    <xf numFmtId="178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right" vertical="center"/>
    </xf>
    <xf numFmtId="0" fontId="10" fillId="0" borderId="15" xfId="0" applyFont="1" applyBorder="1" applyAlignment="1">
      <alignment horizontal="left" vertical="center" shrinkToFi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32" fontId="10" fillId="0" borderId="14" xfId="0" applyNumberFormat="1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49" fontId="10" fillId="0" borderId="17" xfId="0" applyNumberFormat="1" applyFont="1" applyBorder="1" applyAlignment="1">
      <alignment horizontal="right" vertical="center"/>
    </xf>
    <xf numFmtId="49" fontId="10" fillId="0" borderId="18" xfId="0" applyNumberFormat="1" applyFont="1" applyBorder="1" applyAlignment="1">
      <alignment horizontal="right" vertical="center"/>
    </xf>
    <xf numFmtId="0" fontId="10" fillId="0" borderId="19" xfId="0" applyFont="1" applyBorder="1" applyAlignment="1">
      <alignment vertical="center" shrinkToFit="1"/>
    </xf>
    <xf numFmtId="0" fontId="10" fillId="0" borderId="12" xfId="0" applyFont="1" applyBorder="1" applyAlignment="1">
      <alignment vertical="center" shrinkToFit="1"/>
    </xf>
    <xf numFmtId="0" fontId="10" fillId="0" borderId="1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5" xfId="0" applyFont="1" applyBorder="1" applyAlignment="1">
      <alignment horizontal="left" vertical="center"/>
    </xf>
    <xf numFmtId="178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32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right" vertical="center"/>
    </xf>
    <xf numFmtId="49" fontId="2" fillId="0" borderId="18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123825</xdr:rowOff>
    </xdr:from>
    <xdr:to>
      <xdr:col>21</xdr:col>
      <xdr:colOff>238125</xdr:colOff>
      <xdr:row>14</xdr:row>
      <xdr:rowOff>88648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0248F407-C5AE-450C-B4C6-E45714046274}"/>
            </a:ext>
          </a:extLst>
        </xdr:cNvPr>
        <xdr:cNvGrpSpPr>
          <a:grpSpLocks noChangeAspect="1"/>
        </xdr:cNvGrpSpPr>
      </xdr:nvGrpSpPr>
      <xdr:grpSpPr>
        <a:xfrm>
          <a:off x="676275" y="703608"/>
          <a:ext cx="6279046" cy="3932192"/>
          <a:chOff x="1647825" y="1714500"/>
          <a:chExt cx="10885718" cy="6771428"/>
        </a:xfrm>
      </xdr:grpSpPr>
      <xdr:pic>
        <xdr:nvPicPr>
          <xdr:cNvPr id="129" name="図 128">
            <a:extLst>
              <a:ext uri="{FF2B5EF4-FFF2-40B4-BE49-F238E27FC236}">
                <a16:creationId xmlns:a16="http://schemas.microsoft.com/office/drawing/2014/main" id="{F69A7BB0-9346-46DB-8300-CFC175CBAB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676400" y="1714500"/>
            <a:ext cx="10857143" cy="6771428"/>
          </a:xfrm>
          <a:prstGeom prst="rect">
            <a:avLst/>
          </a:prstGeom>
        </xdr:spPr>
      </xdr:pic>
      <xdr:sp macro="" textlink="">
        <xdr:nvSpPr>
          <xdr:cNvPr id="131" name="正方形/長方形 130">
            <a:extLst>
              <a:ext uri="{FF2B5EF4-FFF2-40B4-BE49-F238E27FC236}">
                <a16:creationId xmlns:a16="http://schemas.microsoft.com/office/drawing/2014/main" id="{CB7308B3-5C23-4999-96AD-BDF7EC2D361E}"/>
              </a:ext>
            </a:extLst>
          </xdr:cNvPr>
          <xdr:cNvSpPr/>
        </xdr:nvSpPr>
        <xdr:spPr bwMode="auto">
          <a:xfrm>
            <a:off x="1647825" y="1762124"/>
            <a:ext cx="6762750" cy="11715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9</xdr:col>
      <xdr:colOff>38100</xdr:colOff>
      <xdr:row>17</xdr:row>
      <xdr:rowOff>561975</xdr:rowOff>
    </xdr:from>
    <xdr:to>
      <xdr:col>10</xdr:col>
      <xdr:colOff>28575</xdr:colOff>
      <xdr:row>17</xdr:row>
      <xdr:rowOff>1304925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CB52496-0B43-4B5A-A656-354BDCB38CAB}"/>
            </a:ext>
          </a:extLst>
        </xdr:cNvPr>
        <xdr:cNvGrpSpPr>
          <a:grpSpLocks/>
        </xdr:cNvGrpSpPr>
      </xdr:nvGrpSpPr>
      <xdr:grpSpPr bwMode="auto">
        <a:xfrm flipH="1" flipV="1">
          <a:off x="2978426" y="5804866"/>
          <a:ext cx="305214" cy="742950"/>
          <a:chOff x="424" y="565"/>
          <a:chExt cx="32" cy="78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7383BCCE-B526-44A5-9943-CC13069F35C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DCC8520A-3477-4ED5-8518-4B9080D79C4F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B7A918CD-17A9-4E91-BD9F-1955CF14624B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23833C50-01A2-4A63-9CDA-78FEF9D3CF99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796B7423-5ADC-428D-99E4-B29B0280DE3D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2B490FB1-5097-40E8-9E1A-729AD6775A1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4B066954-CA72-47D5-9186-0A4464CB439A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17</xdr:row>
      <xdr:rowOff>28575</xdr:rowOff>
    </xdr:from>
    <xdr:to>
      <xdr:col>2</xdr:col>
      <xdr:colOff>228600</xdr:colOff>
      <xdr:row>17</xdr:row>
      <xdr:rowOff>1540575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5BCAF4CD-A4EA-4211-8319-28C0B376BEE1}"/>
            </a:ext>
          </a:extLst>
        </xdr:cNvPr>
        <xdr:cNvSpPr txBox="1">
          <a:spLocks noChangeArrowheads="1"/>
        </xdr:cNvSpPr>
      </xdr:nvSpPr>
      <xdr:spPr bwMode="auto">
        <a:xfrm>
          <a:off x="228600" y="5219700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18</xdr:row>
      <xdr:rowOff>104775</xdr:rowOff>
    </xdr:from>
    <xdr:to>
      <xdr:col>14</xdr:col>
      <xdr:colOff>9525</xdr:colOff>
      <xdr:row>18</xdr:row>
      <xdr:rowOff>152400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C4499BB-3368-401E-AC89-4AC01A2B4324}"/>
            </a:ext>
          </a:extLst>
        </xdr:cNvPr>
        <xdr:cNvGrpSpPr>
          <a:grpSpLocks/>
        </xdr:cNvGrpSpPr>
      </xdr:nvGrpSpPr>
      <xdr:grpSpPr bwMode="auto">
        <a:xfrm>
          <a:off x="2005634" y="6929645"/>
          <a:ext cx="2517913" cy="47625"/>
          <a:chOff x="158" y="715"/>
          <a:chExt cx="33" cy="5"/>
        </a:xfrm>
      </xdr:grpSpPr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958F8D6C-451F-48E0-8066-E910D679C4E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804507ED-084D-46B6-87C3-7475F3333AA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2DA1A0C-4727-4BE8-A725-BD1E402535A7}"/>
            </a:ext>
          </a:extLst>
        </xdr:cNvPr>
        <xdr:cNvGrpSpPr>
          <a:grpSpLocks/>
        </xdr:cNvGrpSpPr>
      </xdr:nvGrpSpPr>
      <xdr:grpSpPr bwMode="auto">
        <a:xfrm>
          <a:off x="2635112" y="7152033"/>
          <a:ext cx="1888435" cy="47625"/>
          <a:chOff x="158" y="715"/>
          <a:chExt cx="33" cy="5"/>
        </a:xfrm>
      </xdr:grpSpPr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D65D3119-98DD-42C0-974B-B5AC9EA0CC2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84588AFD-4116-4062-BF09-E324ED575F6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35EE9B9-74AA-40A1-A1E1-3CE248F74717}"/>
            </a:ext>
          </a:extLst>
        </xdr:cNvPr>
        <xdr:cNvGrpSpPr>
          <a:grpSpLocks/>
        </xdr:cNvGrpSpPr>
      </xdr:nvGrpSpPr>
      <xdr:grpSpPr bwMode="auto">
        <a:xfrm>
          <a:off x="1728995" y="686297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F5FF828F-F412-49DC-992B-C8D97A2E985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06DB490C-CCC5-4EDE-AA93-72073561407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B7FFD654-BA6E-42FB-9EEC-ED61A18030D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AD7AE492-02B5-4D63-90B7-FDB8B4D3A4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2A4A9634-9512-4D75-8183-3E4F986FE54D}"/>
            </a:ext>
          </a:extLst>
        </xdr:cNvPr>
        <xdr:cNvSpPr>
          <a:spLocks noChangeShapeType="1"/>
        </xdr:cNvSpPr>
      </xdr:nvSpPr>
      <xdr:spPr bwMode="auto">
        <a:xfrm>
          <a:off x="131445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24" name="Freeform 23">
          <a:extLst>
            <a:ext uri="{FF2B5EF4-FFF2-40B4-BE49-F238E27FC236}">
              <a16:creationId xmlns:a16="http://schemas.microsoft.com/office/drawing/2014/main" id="{B7AF006B-7C6E-48DA-A42E-0EC70A22CAB7}"/>
            </a:ext>
          </a:extLst>
        </xdr:cNvPr>
        <xdr:cNvSpPr>
          <a:spLocks/>
        </xdr:cNvSpPr>
      </xdr:nvSpPr>
      <xdr:spPr bwMode="auto">
        <a:xfrm>
          <a:off x="226695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4C00B2CE-0281-46E4-85FC-0A7B3F14E253}"/>
            </a:ext>
          </a:extLst>
        </xdr:cNvPr>
        <xdr:cNvSpPr>
          <a:spLocks noChangeShapeType="1"/>
        </xdr:cNvSpPr>
      </xdr:nvSpPr>
      <xdr:spPr bwMode="auto">
        <a:xfrm>
          <a:off x="131445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17</xdr:row>
      <xdr:rowOff>419100</xdr:rowOff>
    </xdr:from>
    <xdr:to>
      <xdr:col>13</xdr:col>
      <xdr:colOff>180975</xdr:colOff>
      <xdr:row>17</xdr:row>
      <xdr:rowOff>1152525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0ED695A-3F71-4D39-B424-076D2F63C832}"/>
            </a:ext>
          </a:extLst>
        </xdr:cNvPr>
        <xdr:cNvGrpSpPr>
          <a:grpSpLocks/>
        </xdr:cNvGrpSpPr>
      </xdr:nvGrpSpPr>
      <xdr:grpSpPr bwMode="auto">
        <a:xfrm rot="5400000">
          <a:off x="3984970" y="6000129"/>
          <a:ext cx="733425" cy="57150"/>
          <a:chOff x="123" y="549"/>
          <a:chExt cx="77" cy="6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F4FD52D4-0FBD-4B9F-B38D-FD878F0BA2A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AD56BD57-BCCF-42FE-B36F-7A375DB9A93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D9D61494-D8B0-4581-811F-79A66964105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20</xdr:row>
      <xdr:rowOff>47625</xdr:rowOff>
    </xdr:from>
    <xdr:to>
      <xdr:col>7</xdr:col>
      <xdr:colOff>304800</xdr:colOff>
      <xdr:row>20</xdr:row>
      <xdr:rowOff>190500</xdr:rowOff>
    </xdr:to>
    <xdr:sp macro="" textlink="">
      <xdr:nvSpPr>
        <xdr:cNvPr id="30" name="Freeform 33">
          <a:extLst>
            <a:ext uri="{FF2B5EF4-FFF2-40B4-BE49-F238E27FC236}">
              <a16:creationId xmlns:a16="http://schemas.microsoft.com/office/drawing/2014/main" id="{337692AA-F051-4CFF-B741-892314AB07B7}"/>
            </a:ext>
          </a:extLst>
        </xdr:cNvPr>
        <xdr:cNvSpPr>
          <a:spLocks/>
        </xdr:cNvSpPr>
      </xdr:nvSpPr>
      <xdr:spPr bwMode="auto">
        <a:xfrm>
          <a:off x="22669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114300</xdr:rowOff>
    </xdr:from>
    <xdr:to>
      <xdr:col>7</xdr:col>
      <xdr:colOff>0</xdr:colOff>
      <xdr:row>20</xdr:row>
      <xdr:rowOff>114300</xdr:rowOff>
    </xdr:to>
    <xdr:sp macro="" textlink="">
      <xdr:nvSpPr>
        <xdr:cNvPr id="31" name="Line 34">
          <a:extLst>
            <a:ext uri="{FF2B5EF4-FFF2-40B4-BE49-F238E27FC236}">
              <a16:creationId xmlns:a16="http://schemas.microsoft.com/office/drawing/2014/main" id="{2578E398-F6DD-45B0-899B-B96F68EF95B5}"/>
            </a:ext>
          </a:extLst>
        </xdr:cNvPr>
        <xdr:cNvSpPr>
          <a:spLocks noChangeShapeType="1"/>
        </xdr:cNvSpPr>
      </xdr:nvSpPr>
      <xdr:spPr bwMode="auto">
        <a:xfrm>
          <a:off x="131445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20</xdr:row>
      <xdr:rowOff>47625</xdr:rowOff>
    </xdr:from>
    <xdr:to>
      <xdr:col>12</xdr:col>
      <xdr:colOff>304800</xdr:colOff>
      <xdr:row>20</xdr:row>
      <xdr:rowOff>190500</xdr:rowOff>
    </xdr:to>
    <xdr:sp macro="" textlink="">
      <xdr:nvSpPr>
        <xdr:cNvPr id="32" name="Freeform 35">
          <a:extLst>
            <a:ext uri="{FF2B5EF4-FFF2-40B4-BE49-F238E27FC236}">
              <a16:creationId xmlns:a16="http://schemas.microsoft.com/office/drawing/2014/main" id="{2F483FCF-FECB-4487-AA79-D151DAE26922}"/>
            </a:ext>
          </a:extLst>
        </xdr:cNvPr>
        <xdr:cNvSpPr>
          <a:spLocks/>
        </xdr:cNvSpPr>
      </xdr:nvSpPr>
      <xdr:spPr bwMode="auto">
        <a:xfrm>
          <a:off x="3838575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33" name="Group 36">
          <a:extLst>
            <a:ext uri="{FF2B5EF4-FFF2-40B4-BE49-F238E27FC236}">
              <a16:creationId xmlns:a16="http://schemas.microsoft.com/office/drawing/2014/main" id="{86E59B36-6325-4B7C-B6F5-57A7B96AD5D5}"/>
            </a:ext>
          </a:extLst>
        </xdr:cNvPr>
        <xdr:cNvGrpSpPr>
          <a:grpSpLocks/>
        </xdr:cNvGrpSpPr>
      </xdr:nvGrpSpPr>
      <xdr:grpSpPr bwMode="auto">
        <a:xfrm>
          <a:off x="4199283" y="7383946"/>
          <a:ext cx="314739" cy="47625"/>
          <a:chOff x="158" y="715"/>
          <a:chExt cx="33" cy="5"/>
        </a:xfrm>
      </xdr:grpSpPr>
      <xdr:sp macro="" textlink="">
        <xdr:nvSpPr>
          <xdr:cNvPr id="34" name="Line 37">
            <a:extLst>
              <a:ext uri="{FF2B5EF4-FFF2-40B4-BE49-F238E27FC236}">
                <a16:creationId xmlns:a16="http://schemas.microsoft.com/office/drawing/2014/main" id="{E847878D-6E19-452C-9743-5B5776ED91B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8">
            <a:extLst>
              <a:ext uri="{FF2B5EF4-FFF2-40B4-BE49-F238E27FC236}">
                <a16:creationId xmlns:a16="http://schemas.microsoft.com/office/drawing/2014/main" id="{33632576-4B6E-4E5D-AE80-FE18147500D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20</xdr:row>
      <xdr:rowOff>95250</xdr:rowOff>
    </xdr:from>
    <xdr:to>
      <xdr:col>12</xdr:col>
      <xdr:colOff>0</xdr:colOff>
      <xdr:row>20</xdr:row>
      <xdr:rowOff>142875</xdr:rowOff>
    </xdr:to>
    <xdr:grpSp>
      <xdr:nvGrpSpPr>
        <xdr:cNvPr id="36" name="Group 39">
          <a:extLst>
            <a:ext uri="{FF2B5EF4-FFF2-40B4-BE49-F238E27FC236}">
              <a16:creationId xmlns:a16="http://schemas.microsoft.com/office/drawing/2014/main" id="{F9B21B6A-C012-4CA4-A234-6931D665BC95}"/>
            </a:ext>
          </a:extLst>
        </xdr:cNvPr>
        <xdr:cNvGrpSpPr>
          <a:grpSpLocks/>
        </xdr:cNvGrpSpPr>
      </xdr:nvGrpSpPr>
      <xdr:grpSpPr bwMode="auto">
        <a:xfrm>
          <a:off x="2625587" y="7383946"/>
          <a:ext cx="1258956" cy="47625"/>
          <a:chOff x="158" y="715"/>
          <a:chExt cx="33" cy="5"/>
        </a:xfrm>
      </xdr:grpSpPr>
      <xdr:sp macro="" textlink="">
        <xdr:nvSpPr>
          <xdr:cNvPr id="37" name="Line 40">
            <a:extLst>
              <a:ext uri="{FF2B5EF4-FFF2-40B4-BE49-F238E27FC236}">
                <a16:creationId xmlns:a16="http://schemas.microsoft.com/office/drawing/2014/main" id="{6076C24D-EAA0-46AC-B77B-D6817C99EBF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1">
            <a:extLst>
              <a:ext uri="{FF2B5EF4-FFF2-40B4-BE49-F238E27FC236}">
                <a16:creationId xmlns:a16="http://schemas.microsoft.com/office/drawing/2014/main" id="{619023D8-1662-4452-AE63-D5B63518EC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23</xdr:row>
      <xdr:rowOff>47625</xdr:rowOff>
    </xdr:from>
    <xdr:to>
      <xdr:col>12</xdr:col>
      <xdr:colOff>304800</xdr:colOff>
      <xdr:row>23</xdr:row>
      <xdr:rowOff>190500</xdr:rowOff>
    </xdr:to>
    <xdr:sp macro="" textlink="">
      <xdr:nvSpPr>
        <xdr:cNvPr id="39" name="Freeform 42">
          <a:extLst>
            <a:ext uri="{FF2B5EF4-FFF2-40B4-BE49-F238E27FC236}">
              <a16:creationId xmlns:a16="http://schemas.microsoft.com/office/drawing/2014/main" id="{BA947CFB-FDBE-45D1-9CED-DD53B0672157}"/>
            </a:ext>
          </a:extLst>
        </xdr:cNvPr>
        <xdr:cNvSpPr>
          <a:spLocks/>
        </xdr:cNvSpPr>
      </xdr:nvSpPr>
      <xdr:spPr bwMode="auto">
        <a:xfrm>
          <a:off x="3838575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22</xdr:row>
      <xdr:rowOff>38100</xdr:rowOff>
    </xdr:from>
    <xdr:to>
      <xdr:col>10</xdr:col>
      <xdr:colOff>266700</xdr:colOff>
      <xdr:row>22</xdr:row>
      <xdr:rowOff>190500</xdr:rowOff>
    </xdr:to>
    <xdr:grpSp>
      <xdr:nvGrpSpPr>
        <xdr:cNvPr id="40" name="Group 43">
          <a:extLst>
            <a:ext uri="{FF2B5EF4-FFF2-40B4-BE49-F238E27FC236}">
              <a16:creationId xmlns:a16="http://schemas.microsoft.com/office/drawing/2014/main" id="{99DDEFEE-CDEA-43AA-901E-E937F304A397}"/>
            </a:ext>
          </a:extLst>
        </xdr:cNvPr>
        <xdr:cNvGrpSpPr>
          <a:grpSpLocks/>
        </xdr:cNvGrpSpPr>
      </xdr:nvGrpSpPr>
      <xdr:grpSpPr bwMode="auto">
        <a:xfrm>
          <a:off x="3302690" y="7790622"/>
          <a:ext cx="219075" cy="152400"/>
          <a:chOff x="132" y="708"/>
          <a:chExt cx="20" cy="14"/>
        </a:xfrm>
      </xdr:grpSpPr>
      <xdr:sp macro="" textlink="">
        <xdr:nvSpPr>
          <xdr:cNvPr id="41" name="Line 44">
            <a:extLst>
              <a:ext uri="{FF2B5EF4-FFF2-40B4-BE49-F238E27FC236}">
                <a16:creationId xmlns:a16="http://schemas.microsoft.com/office/drawing/2014/main" id="{6E75D886-3406-4DE2-B233-80BBF8164CC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5">
            <a:extLst>
              <a:ext uri="{FF2B5EF4-FFF2-40B4-BE49-F238E27FC236}">
                <a16:creationId xmlns:a16="http://schemas.microsoft.com/office/drawing/2014/main" id="{91434C38-B9AF-49DE-834B-2E8415D6189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46">
            <a:extLst>
              <a:ext uri="{FF2B5EF4-FFF2-40B4-BE49-F238E27FC236}">
                <a16:creationId xmlns:a16="http://schemas.microsoft.com/office/drawing/2014/main" id="{5F65D6B7-3EA9-47FF-8BCE-0D22AC76DD7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47">
            <a:extLst>
              <a:ext uri="{FF2B5EF4-FFF2-40B4-BE49-F238E27FC236}">
                <a16:creationId xmlns:a16="http://schemas.microsoft.com/office/drawing/2014/main" id="{543D9B2B-C9BB-41B8-B7CF-39A13CD2C3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22</xdr:row>
      <xdr:rowOff>95250</xdr:rowOff>
    </xdr:from>
    <xdr:to>
      <xdr:col>14</xdr:col>
      <xdr:colOff>0</xdr:colOff>
      <xdr:row>22</xdr:row>
      <xdr:rowOff>142875</xdr:rowOff>
    </xdr:to>
    <xdr:grpSp>
      <xdr:nvGrpSpPr>
        <xdr:cNvPr id="45" name="Group 48">
          <a:extLst>
            <a:ext uri="{FF2B5EF4-FFF2-40B4-BE49-F238E27FC236}">
              <a16:creationId xmlns:a16="http://schemas.microsoft.com/office/drawing/2014/main" id="{070A84C8-D65A-437E-ADB8-68106F3B638C}"/>
            </a:ext>
          </a:extLst>
        </xdr:cNvPr>
        <xdr:cNvGrpSpPr>
          <a:grpSpLocks/>
        </xdr:cNvGrpSpPr>
      </xdr:nvGrpSpPr>
      <xdr:grpSpPr bwMode="auto">
        <a:xfrm>
          <a:off x="3569804" y="7847772"/>
          <a:ext cx="944218" cy="47625"/>
          <a:chOff x="158" y="715"/>
          <a:chExt cx="33" cy="5"/>
        </a:xfrm>
      </xdr:grpSpPr>
      <xdr:sp macro="" textlink="">
        <xdr:nvSpPr>
          <xdr:cNvPr id="46" name="Line 49">
            <a:extLst>
              <a:ext uri="{FF2B5EF4-FFF2-40B4-BE49-F238E27FC236}">
                <a16:creationId xmlns:a16="http://schemas.microsoft.com/office/drawing/2014/main" id="{DCE5475F-94C7-44A8-9696-21468987371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50">
            <a:extLst>
              <a:ext uri="{FF2B5EF4-FFF2-40B4-BE49-F238E27FC236}">
                <a16:creationId xmlns:a16="http://schemas.microsoft.com/office/drawing/2014/main" id="{11F0A678-2F52-483B-B873-D7CE8D0AB83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23</xdr:row>
      <xdr:rowOff>95250</xdr:rowOff>
    </xdr:from>
    <xdr:to>
      <xdr:col>14</xdr:col>
      <xdr:colOff>0</xdr:colOff>
      <xdr:row>23</xdr:row>
      <xdr:rowOff>142875</xdr:rowOff>
    </xdr:to>
    <xdr:grpSp>
      <xdr:nvGrpSpPr>
        <xdr:cNvPr id="48" name="Group 51">
          <a:extLst>
            <a:ext uri="{FF2B5EF4-FFF2-40B4-BE49-F238E27FC236}">
              <a16:creationId xmlns:a16="http://schemas.microsoft.com/office/drawing/2014/main" id="{ACAD35AC-A239-46F1-BAA0-9911A2711EAD}"/>
            </a:ext>
          </a:extLst>
        </xdr:cNvPr>
        <xdr:cNvGrpSpPr>
          <a:grpSpLocks/>
        </xdr:cNvGrpSpPr>
      </xdr:nvGrpSpPr>
      <xdr:grpSpPr bwMode="auto">
        <a:xfrm>
          <a:off x="4199283" y="8079685"/>
          <a:ext cx="314739" cy="47625"/>
          <a:chOff x="158" y="715"/>
          <a:chExt cx="33" cy="5"/>
        </a:xfrm>
      </xdr:grpSpPr>
      <xdr:sp macro="" textlink="">
        <xdr:nvSpPr>
          <xdr:cNvPr id="49" name="Line 52">
            <a:extLst>
              <a:ext uri="{FF2B5EF4-FFF2-40B4-BE49-F238E27FC236}">
                <a16:creationId xmlns:a16="http://schemas.microsoft.com/office/drawing/2014/main" id="{E6E80688-A585-4F34-B11E-83D221C5A7F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53">
            <a:extLst>
              <a:ext uri="{FF2B5EF4-FFF2-40B4-BE49-F238E27FC236}">
                <a16:creationId xmlns:a16="http://schemas.microsoft.com/office/drawing/2014/main" id="{5860E66D-0946-4542-9AAD-881E6E0CABA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22</xdr:row>
      <xdr:rowOff>114300</xdr:rowOff>
    </xdr:from>
    <xdr:to>
      <xdr:col>10</xdr:col>
      <xdr:colOff>0</xdr:colOff>
      <xdr:row>22</xdr:row>
      <xdr:rowOff>114300</xdr:rowOff>
    </xdr:to>
    <xdr:sp macro="" textlink="">
      <xdr:nvSpPr>
        <xdr:cNvPr id="51" name="Line 54">
          <a:extLst>
            <a:ext uri="{FF2B5EF4-FFF2-40B4-BE49-F238E27FC236}">
              <a16:creationId xmlns:a16="http://schemas.microsoft.com/office/drawing/2014/main" id="{4BC3B1C1-B152-48AA-8482-93247A635E0E}"/>
            </a:ext>
          </a:extLst>
        </xdr:cNvPr>
        <xdr:cNvSpPr>
          <a:spLocks noChangeShapeType="1"/>
        </xdr:cNvSpPr>
      </xdr:nvSpPr>
      <xdr:spPr bwMode="auto">
        <a:xfrm>
          <a:off x="288607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23</xdr:row>
      <xdr:rowOff>114300</xdr:rowOff>
    </xdr:from>
    <xdr:to>
      <xdr:col>12</xdr:col>
      <xdr:colOff>0</xdr:colOff>
      <xdr:row>23</xdr:row>
      <xdr:rowOff>114300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9E0AF71A-4B15-4827-892E-F5E76507B641}"/>
            </a:ext>
          </a:extLst>
        </xdr:cNvPr>
        <xdr:cNvSpPr>
          <a:spLocks noChangeShapeType="1"/>
        </xdr:cNvSpPr>
      </xdr:nvSpPr>
      <xdr:spPr bwMode="auto">
        <a:xfrm>
          <a:off x="2886075" y="7953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23</xdr:row>
      <xdr:rowOff>95250</xdr:rowOff>
    </xdr:from>
    <xdr:to>
      <xdr:col>9</xdr:col>
      <xdr:colOff>0</xdr:colOff>
      <xdr:row>23</xdr:row>
      <xdr:rowOff>142875</xdr:rowOff>
    </xdr:to>
    <xdr:grpSp>
      <xdr:nvGrpSpPr>
        <xdr:cNvPr id="53" name="Group 56">
          <a:extLst>
            <a:ext uri="{FF2B5EF4-FFF2-40B4-BE49-F238E27FC236}">
              <a16:creationId xmlns:a16="http://schemas.microsoft.com/office/drawing/2014/main" id="{547A9D0E-2A4C-4E5C-8363-52C1A15B94B3}"/>
            </a:ext>
          </a:extLst>
        </xdr:cNvPr>
        <xdr:cNvGrpSpPr>
          <a:grpSpLocks/>
        </xdr:cNvGrpSpPr>
      </xdr:nvGrpSpPr>
      <xdr:grpSpPr bwMode="auto">
        <a:xfrm>
          <a:off x="1366630" y="8079685"/>
          <a:ext cx="1573696" cy="47625"/>
          <a:chOff x="158" y="715"/>
          <a:chExt cx="33" cy="5"/>
        </a:xfrm>
      </xdr:grpSpPr>
      <xdr:sp macro="" textlink="">
        <xdr:nvSpPr>
          <xdr:cNvPr id="54" name="Line 57">
            <a:extLst>
              <a:ext uri="{FF2B5EF4-FFF2-40B4-BE49-F238E27FC236}">
                <a16:creationId xmlns:a16="http://schemas.microsoft.com/office/drawing/2014/main" id="{C835F5B9-033E-47A9-B0EC-7AB3BF7CED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58">
            <a:extLst>
              <a:ext uri="{FF2B5EF4-FFF2-40B4-BE49-F238E27FC236}">
                <a16:creationId xmlns:a16="http://schemas.microsoft.com/office/drawing/2014/main" id="{6DC8A256-E2C7-47EB-8CDD-A38D0FE06CC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22</xdr:row>
      <xdr:rowOff>95250</xdr:rowOff>
    </xdr:from>
    <xdr:to>
      <xdr:col>9</xdr:col>
      <xdr:colOff>0</xdr:colOff>
      <xdr:row>22</xdr:row>
      <xdr:rowOff>142875</xdr:rowOff>
    </xdr:to>
    <xdr:grpSp>
      <xdr:nvGrpSpPr>
        <xdr:cNvPr id="56" name="Group 59">
          <a:extLst>
            <a:ext uri="{FF2B5EF4-FFF2-40B4-BE49-F238E27FC236}">
              <a16:creationId xmlns:a16="http://schemas.microsoft.com/office/drawing/2014/main" id="{7B6EAD9B-4EB1-4345-A1C0-94734471A799}"/>
            </a:ext>
          </a:extLst>
        </xdr:cNvPr>
        <xdr:cNvGrpSpPr>
          <a:grpSpLocks/>
        </xdr:cNvGrpSpPr>
      </xdr:nvGrpSpPr>
      <xdr:grpSpPr bwMode="auto">
        <a:xfrm>
          <a:off x="1366630" y="7847772"/>
          <a:ext cx="1573696" cy="47625"/>
          <a:chOff x="158" y="715"/>
          <a:chExt cx="33" cy="5"/>
        </a:xfrm>
      </xdr:grpSpPr>
      <xdr:sp macro="" textlink="">
        <xdr:nvSpPr>
          <xdr:cNvPr id="57" name="Line 60">
            <a:extLst>
              <a:ext uri="{FF2B5EF4-FFF2-40B4-BE49-F238E27FC236}">
                <a16:creationId xmlns:a16="http://schemas.microsoft.com/office/drawing/2014/main" id="{102C7B5A-A96C-44D1-BDCB-AA4A65E38BC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1">
            <a:extLst>
              <a:ext uri="{FF2B5EF4-FFF2-40B4-BE49-F238E27FC236}">
                <a16:creationId xmlns:a16="http://schemas.microsoft.com/office/drawing/2014/main" id="{E2AABC10-B872-4B47-8999-5FB23611D1B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21</xdr:row>
      <xdr:rowOff>38100</xdr:rowOff>
    </xdr:from>
    <xdr:to>
      <xdr:col>11</xdr:col>
      <xdr:colOff>295275</xdr:colOff>
      <xdr:row>21</xdr:row>
      <xdr:rowOff>209550</xdr:rowOff>
    </xdr:to>
    <xdr:grpSp>
      <xdr:nvGrpSpPr>
        <xdr:cNvPr id="59" name="Group 62">
          <a:extLst>
            <a:ext uri="{FF2B5EF4-FFF2-40B4-BE49-F238E27FC236}">
              <a16:creationId xmlns:a16="http://schemas.microsoft.com/office/drawing/2014/main" id="{2935A0D6-8D7A-4EBF-AF52-DD143C83ECA5}"/>
            </a:ext>
          </a:extLst>
        </xdr:cNvPr>
        <xdr:cNvGrpSpPr>
          <a:grpSpLocks/>
        </xdr:cNvGrpSpPr>
      </xdr:nvGrpSpPr>
      <xdr:grpSpPr bwMode="auto">
        <a:xfrm>
          <a:off x="2310848" y="7558709"/>
          <a:ext cx="1554231" cy="171450"/>
          <a:chOff x="191" y="779"/>
          <a:chExt cx="163" cy="18"/>
        </a:xfrm>
      </xdr:grpSpPr>
      <xdr:sp macro="" textlink="">
        <xdr:nvSpPr>
          <xdr:cNvPr id="62" name="Line 68">
            <a:extLst>
              <a:ext uri="{FF2B5EF4-FFF2-40B4-BE49-F238E27FC236}">
                <a16:creationId xmlns:a16="http://schemas.microsoft.com/office/drawing/2014/main" id="{3A9B3E18-E2BF-4C7A-A418-20A65965A3BC}"/>
              </a:ext>
            </a:extLst>
          </xdr:cNvPr>
          <xdr:cNvSpPr>
            <a:spLocks noChangeShapeType="1"/>
          </xdr:cNvSpPr>
        </xdr:nvSpPr>
        <xdr:spPr bwMode="auto">
          <a:xfrm>
            <a:off x="191" y="788"/>
            <a:ext cx="163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0" name="Group 63">
            <a:extLst>
              <a:ext uri="{FF2B5EF4-FFF2-40B4-BE49-F238E27FC236}">
                <a16:creationId xmlns:a16="http://schemas.microsoft.com/office/drawing/2014/main" id="{27DD24B5-804B-4747-BDA9-F6A4CAD9862D}"/>
              </a:ext>
            </a:extLst>
          </xdr:cNvPr>
          <xdr:cNvGrpSpPr>
            <a:grpSpLocks/>
          </xdr:cNvGrpSpPr>
        </xdr:nvGrpSpPr>
        <xdr:grpSpPr bwMode="auto">
          <a:xfrm rot="10800000">
            <a:off x="259" y="779"/>
            <a:ext cx="29" cy="18"/>
            <a:chOff x="226" y="755"/>
            <a:chExt cx="29" cy="18"/>
          </a:xfrm>
        </xdr:grpSpPr>
        <xdr:sp macro="" textlink="">
          <xdr:nvSpPr>
            <xdr:cNvPr id="63" name="Oval 64">
              <a:extLst>
                <a:ext uri="{FF2B5EF4-FFF2-40B4-BE49-F238E27FC236}">
                  <a16:creationId xmlns:a16="http://schemas.microsoft.com/office/drawing/2014/main" id="{2682033D-14C2-4353-9E17-5F908FF622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" name="Line 65">
              <a:extLst>
                <a:ext uri="{FF2B5EF4-FFF2-40B4-BE49-F238E27FC236}">
                  <a16:creationId xmlns:a16="http://schemas.microsoft.com/office/drawing/2014/main" id="{FC3DBA96-D7CD-414E-B5FE-684DC71E6DD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5" name="Freeform 66">
              <a:extLst>
                <a:ext uri="{FF2B5EF4-FFF2-40B4-BE49-F238E27FC236}">
                  <a16:creationId xmlns:a16="http://schemas.microsoft.com/office/drawing/2014/main" id="{002F2D48-9F1E-4047-82A4-408E3FFA699C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0 h 208"/>
                <a:gd name="T2" fmla="*/ 0 w 268"/>
                <a:gd name="T3" fmla="*/ 0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11</xdr:col>
      <xdr:colOff>304800</xdr:colOff>
      <xdr:row>17</xdr:row>
      <xdr:rowOff>276225</xdr:rowOff>
    </xdr:from>
    <xdr:to>
      <xdr:col>12</xdr:col>
      <xdr:colOff>295275</xdr:colOff>
      <xdr:row>17</xdr:row>
      <xdr:rowOff>1019175</xdr:rowOff>
    </xdr:to>
    <xdr:grpSp>
      <xdr:nvGrpSpPr>
        <xdr:cNvPr id="66" name="Group 69">
          <a:extLst>
            <a:ext uri="{FF2B5EF4-FFF2-40B4-BE49-F238E27FC236}">
              <a16:creationId xmlns:a16="http://schemas.microsoft.com/office/drawing/2014/main" id="{3C002580-67E4-4F8F-94BE-CE9E47CEF576}"/>
            </a:ext>
          </a:extLst>
        </xdr:cNvPr>
        <xdr:cNvGrpSpPr>
          <a:grpSpLocks/>
        </xdr:cNvGrpSpPr>
      </xdr:nvGrpSpPr>
      <xdr:grpSpPr bwMode="auto">
        <a:xfrm>
          <a:off x="3874604" y="5519116"/>
          <a:ext cx="305214" cy="742950"/>
          <a:chOff x="424" y="565"/>
          <a:chExt cx="32" cy="78"/>
        </a:xfrm>
      </xdr:grpSpPr>
      <xdr:sp macro="" textlink="">
        <xdr:nvSpPr>
          <xdr:cNvPr id="67" name="Line 70">
            <a:extLst>
              <a:ext uri="{FF2B5EF4-FFF2-40B4-BE49-F238E27FC236}">
                <a16:creationId xmlns:a16="http://schemas.microsoft.com/office/drawing/2014/main" id="{76654647-F6AD-488E-9BEE-67E701BE4CB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Freeform 71">
            <a:extLst>
              <a:ext uri="{FF2B5EF4-FFF2-40B4-BE49-F238E27FC236}">
                <a16:creationId xmlns:a16="http://schemas.microsoft.com/office/drawing/2014/main" id="{B6E50F03-E3BB-4F50-9504-3594566A0EDB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" name="Line 72">
            <a:extLst>
              <a:ext uri="{FF2B5EF4-FFF2-40B4-BE49-F238E27FC236}">
                <a16:creationId xmlns:a16="http://schemas.microsoft.com/office/drawing/2014/main" id="{FCDC6FB3-DC7D-4522-B00A-5C1B780D5922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Freeform 73">
            <a:extLst>
              <a:ext uri="{FF2B5EF4-FFF2-40B4-BE49-F238E27FC236}">
                <a16:creationId xmlns:a16="http://schemas.microsoft.com/office/drawing/2014/main" id="{F627DBE9-462D-46E3-BB45-71487968FD6A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1" name="Freeform 74">
            <a:extLst>
              <a:ext uri="{FF2B5EF4-FFF2-40B4-BE49-F238E27FC236}">
                <a16:creationId xmlns:a16="http://schemas.microsoft.com/office/drawing/2014/main" id="{307F5F53-AAC5-42C6-93EC-B6A770351F88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Line 75">
            <a:extLst>
              <a:ext uri="{FF2B5EF4-FFF2-40B4-BE49-F238E27FC236}">
                <a16:creationId xmlns:a16="http://schemas.microsoft.com/office/drawing/2014/main" id="{02EF61A4-CC45-4D0D-AD1E-481B8DA468A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76">
            <a:extLst>
              <a:ext uri="{FF2B5EF4-FFF2-40B4-BE49-F238E27FC236}">
                <a16:creationId xmlns:a16="http://schemas.microsoft.com/office/drawing/2014/main" id="{2E237889-6C0D-4E99-A619-7CAB11A2F4E1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17</xdr:row>
      <xdr:rowOff>295275</xdr:rowOff>
    </xdr:from>
    <xdr:to>
      <xdr:col>8</xdr:col>
      <xdr:colOff>38100</xdr:colOff>
      <xdr:row>17</xdr:row>
      <xdr:rowOff>352425</xdr:rowOff>
    </xdr:to>
    <xdr:grpSp>
      <xdr:nvGrpSpPr>
        <xdr:cNvPr id="74" name="Group 81">
          <a:extLst>
            <a:ext uri="{FF2B5EF4-FFF2-40B4-BE49-F238E27FC236}">
              <a16:creationId xmlns:a16="http://schemas.microsoft.com/office/drawing/2014/main" id="{EFC331C7-39EF-498B-888E-18FC10199387}"/>
            </a:ext>
          </a:extLst>
        </xdr:cNvPr>
        <xdr:cNvGrpSpPr>
          <a:grpSpLocks/>
        </xdr:cNvGrpSpPr>
      </xdr:nvGrpSpPr>
      <xdr:grpSpPr bwMode="auto">
        <a:xfrm rot="-5400000">
          <a:off x="2425148" y="5356777"/>
          <a:ext cx="57150" cy="419928"/>
          <a:chOff x="122" y="579"/>
          <a:chExt cx="6" cy="44"/>
        </a:xfrm>
      </xdr:grpSpPr>
      <xdr:sp macro="" textlink="">
        <xdr:nvSpPr>
          <xdr:cNvPr id="75" name="Line 82">
            <a:extLst>
              <a:ext uri="{FF2B5EF4-FFF2-40B4-BE49-F238E27FC236}">
                <a16:creationId xmlns:a16="http://schemas.microsoft.com/office/drawing/2014/main" id="{76077E38-9B7D-475D-8BAE-8ED2077D3BF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83">
            <a:extLst>
              <a:ext uri="{FF2B5EF4-FFF2-40B4-BE49-F238E27FC236}">
                <a16:creationId xmlns:a16="http://schemas.microsoft.com/office/drawing/2014/main" id="{7860B76C-D6BF-4D65-B0AA-00EA8476B38D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7" name="Freeform 84">
            <a:extLst>
              <a:ext uri="{FF2B5EF4-FFF2-40B4-BE49-F238E27FC236}">
                <a16:creationId xmlns:a16="http://schemas.microsoft.com/office/drawing/2014/main" id="{ACDDD7A2-B75F-4E89-96A7-5E11BAF8F8FC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17</xdr:row>
      <xdr:rowOff>447675</xdr:rowOff>
    </xdr:from>
    <xdr:to>
      <xdr:col>8</xdr:col>
      <xdr:colOff>38100</xdr:colOff>
      <xdr:row>17</xdr:row>
      <xdr:rowOff>628650</xdr:rowOff>
    </xdr:to>
    <xdr:grpSp>
      <xdr:nvGrpSpPr>
        <xdr:cNvPr id="78" name="Group 85">
          <a:extLst>
            <a:ext uri="{FF2B5EF4-FFF2-40B4-BE49-F238E27FC236}">
              <a16:creationId xmlns:a16="http://schemas.microsoft.com/office/drawing/2014/main" id="{DBE1E1E9-A6CD-49A2-A891-A17DF8534E19}"/>
            </a:ext>
          </a:extLst>
        </xdr:cNvPr>
        <xdr:cNvGrpSpPr>
          <a:grpSpLocks/>
        </xdr:cNvGrpSpPr>
      </xdr:nvGrpSpPr>
      <xdr:grpSpPr bwMode="auto">
        <a:xfrm>
          <a:off x="2205659" y="5690566"/>
          <a:ext cx="458028" cy="180975"/>
          <a:chOff x="180" y="589"/>
          <a:chExt cx="48" cy="19"/>
        </a:xfrm>
      </xdr:grpSpPr>
      <xdr:sp macro="" textlink="">
        <xdr:nvSpPr>
          <xdr:cNvPr id="79" name="Line 86">
            <a:extLst>
              <a:ext uri="{FF2B5EF4-FFF2-40B4-BE49-F238E27FC236}">
                <a16:creationId xmlns:a16="http://schemas.microsoft.com/office/drawing/2014/main" id="{E29F13E0-7399-4BAE-B15D-EF5A5B8DAAD0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Freeform 87">
            <a:extLst>
              <a:ext uri="{FF2B5EF4-FFF2-40B4-BE49-F238E27FC236}">
                <a16:creationId xmlns:a16="http://schemas.microsoft.com/office/drawing/2014/main" id="{DA897D9C-E9EA-473F-808E-AD6EBAAC83CB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Freeform 88">
            <a:extLst>
              <a:ext uri="{FF2B5EF4-FFF2-40B4-BE49-F238E27FC236}">
                <a16:creationId xmlns:a16="http://schemas.microsoft.com/office/drawing/2014/main" id="{0300275D-E2D1-4E1B-AE07-DC0999DDECDE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2" name="Line 89">
            <a:extLst>
              <a:ext uri="{FF2B5EF4-FFF2-40B4-BE49-F238E27FC236}">
                <a16:creationId xmlns:a16="http://schemas.microsoft.com/office/drawing/2014/main" id="{8BB6B581-02E1-490C-894F-E93A3D57119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Freeform 90">
            <a:extLst>
              <a:ext uri="{FF2B5EF4-FFF2-40B4-BE49-F238E27FC236}">
                <a16:creationId xmlns:a16="http://schemas.microsoft.com/office/drawing/2014/main" id="{AE39C4F5-0EB3-45A4-BEB7-1A5F94E697ED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17</xdr:row>
      <xdr:rowOff>819150</xdr:rowOff>
    </xdr:from>
    <xdr:to>
      <xdr:col>8</xdr:col>
      <xdr:colOff>38100</xdr:colOff>
      <xdr:row>17</xdr:row>
      <xdr:rowOff>1000125</xdr:rowOff>
    </xdr:to>
    <xdr:grpSp>
      <xdr:nvGrpSpPr>
        <xdr:cNvPr id="84" name="Group 91">
          <a:extLst>
            <a:ext uri="{FF2B5EF4-FFF2-40B4-BE49-F238E27FC236}">
              <a16:creationId xmlns:a16="http://schemas.microsoft.com/office/drawing/2014/main" id="{42CC2F40-FE5F-4E49-B274-B42F9B0483F6}"/>
            </a:ext>
          </a:extLst>
        </xdr:cNvPr>
        <xdr:cNvGrpSpPr>
          <a:grpSpLocks/>
        </xdr:cNvGrpSpPr>
      </xdr:nvGrpSpPr>
      <xdr:grpSpPr bwMode="auto">
        <a:xfrm>
          <a:off x="2205659" y="6062041"/>
          <a:ext cx="458028" cy="180975"/>
          <a:chOff x="180" y="627"/>
          <a:chExt cx="48" cy="19"/>
        </a:xfrm>
      </xdr:grpSpPr>
      <xdr:sp macro="" textlink="">
        <xdr:nvSpPr>
          <xdr:cNvPr id="85" name="Line 92">
            <a:extLst>
              <a:ext uri="{FF2B5EF4-FFF2-40B4-BE49-F238E27FC236}">
                <a16:creationId xmlns:a16="http://schemas.microsoft.com/office/drawing/2014/main" id="{FEECF6BF-40C9-4AF2-9A9C-DBA1A582B19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Freeform 93">
            <a:extLst>
              <a:ext uri="{FF2B5EF4-FFF2-40B4-BE49-F238E27FC236}">
                <a16:creationId xmlns:a16="http://schemas.microsoft.com/office/drawing/2014/main" id="{E5FC6B1D-09D5-4DA5-B84F-469907973A2B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7" name="Freeform 94">
            <a:extLst>
              <a:ext uri="{FF2B5EF4-FFF2-40B4-BE49-F238E27FC236}">
                <a16:creationId xmlns:a16="http://schemas.microsoft.com/office/drawing/2014/main" id="{27489F13-5BDD-4B60-BC14-CAD8AEA69BBB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95">
            <a:extLst>
              <a:ext uri="{FF2B5EF4-FFF2-40B4-BE49-F238E27FC236}">
                <a16:creationId xmlns:a16="http://schemas.microsoft.com/office/drawing/2014/main" id="{92420FC6-107D-4585-8A5C-26BEF407A0A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Freeform 96">
            <a:extLst>
              <a:ext uri="{FF2B5EF4-FFF2-40B4-BE49-F238E27FC236}">
                <a16:creationId xmlns:a16="http://schemas.microsoft.com/office/drawing/2014/main" id="{229A5384-FAC7-43F6-B78B-4696D665CF4A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17</xdr:row>
      <xdr:rowOff>571500</xdr:rowOff>
    </xdr:from>
    <xdr:to>
      <xdr:col>6</xdr:col>
      <xdr:colOff>38100</xdr:colOff>
      <xdr:row>17</xdr:row>
      <xdr:rowOff>752475</xdr:rowOff>
    </xdr:to>
    <xdr:grpSp>
      <xdr:nvGrpSpPr>
        <xdr:cNvPr id="90" name="Group 97">
          <a:extLst>
            <a:ext uri="{FF2B5EF4-FFF2-40B4-BE49-F238E27FC236}">
              <a16:creationId xmlns:a16="http://schemas.microsoft.com/office/drawing/2014/main" id="{3A3D0669-522A-49DC-A741-DD2787F47A38}"/>
            </a:ext>
          </a:extLst>
        </xdr:cNvPr>
        <xdr:cNvGrpSpPr>
          <a:grpSpLocks/>
        </xdr:cNvGrpSpPr>
      </xdr:nvGrpSpPr>
      <xdr:grpSpPr bwMode="auto">
        <a:xfrm>
          <a:off x="1576180" y="5814391"/>
          <a:ext cx="458029" cy="180975"/>
          <a:chOff x="114" y="602"/>
          <a:chExt cx="48" cy="19"/>
        </a:xfrm>
      </xdr:grpSpPr>
      <xdr:sp macro="" textlink="">
        <xdr:nvSpPr>
          <xdr:cNvPr id="91" name="Line 98">
            <a:extLst>
              <a:ext uri="{FF2B5EF4-FFF2-40B4-BE49-F238E27FC236}">
                <a16:creationId xmlns:a16="http://schemas.microsoft.com/office/drawing/2014/main" id="{B969707D-8C63-42A9-AA9F-7D4FA7F2C0EE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Freeform 99">
            <a:extLst>
              <a:ext uri="{FF2B5EF4-FFF2-40B4-BE49-F238E27FC236}">
                <a16:creationId xmlns:a16="http://schemas.microsoft.com/office/drawing/2014/main" id="{B916A6CC-CDAA-4F1F-A83C-B663331700C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3" name="Freeform 100">
            <a:extLst>
              <a:ext uri="{FF2B5EF4-FFF2-40B4-BE49-F238E27FC236}">
                <a16:creationId xmlns:a16="http://schemas.microsoft.com/office/drawing/2014/main" id="{3906E460-5AB0-48DE-B694-BFAFA19EA7BA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4" name="Line 101">
            <a:extLst>
              <a:ext uri="{FF2B5EF4-FFF2-40B4-BE49-F238E27FC236}">
                <a16:creationId xmlns:a16="http://schemas.microsoft.com/office/drawing/2014/main" id="{03ADBFAB-D08B-4583-9010-C585E7E111F7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102">
            <a:extLst>
              <a:ext uri="{FF2B5EF4-FFF2-40B4-BE49-F238E27FC236}">
                <a16:creationId xmlns:a16="http://schemas.microsoft.com/office/drawing/2014/main" id="{7E211A3B-D062-46BC-B631-016286B7B6E7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17</xdr:row>
      <xdr:rowOff>933450</xdr:rowOff>
    </xdr:from>
    <xdr:to>
      <xdr:col>6</xdr:col>
      <xdr:colOff>38100</xdr:colOff>
      <xdr:row>17</xdr:row>
      <xdr:rowOff>1114425</xdr:rowOff>
    </xdr:to>
    <xdr:grpSp>
      <xdr:nvGrpSpPr>
        <xdr:cNvPr id="96" name="Group 103">
          <a:extLst>
            <a:ext uri="{FF2B5EF4-FFF2-40B4-BE49-F238E27FC236}">
              <a16:creationId xmlns:a16="http://schemas.microsoft.com/office/drawing/2014/main" id="{FE85B54F-2696-4B6B-8584-EC9F0E0BC983}"/>
            </a:ext>
          </a:extLst>
        </xdr:cNvPr>
        <xdr:cNvGrpSpPr>
          <a:grpSpLocks/>
        </xdr:cNvGrpSpPr>
      </xdr:nvGrpSpPr>
      <xdr:grpSpPr bwMode="auto">
        <a:xfrm>
          <a:off x="1576180" y="6176341"/>
          <a:ext cx="458029" cy="180975"/>
          <a:chOff x="114" y="640"/>
          <a:chExt cx="48" cy="19"/>
        </a:xfrm>
      </xdr:grpSpPr>
      <xdr:sp macro="" textlink="">
        <xdr:nvSpPr>
          <xdr:cNvPr id="97" name="Line 104">
            <a:extLst>
              <a:ext uri="{FF2B5EF4-FFF2-40B4-BE49-F238E27FC236}">
                <a16:creationId xmlns:a16="http://schemas.microsoft.com/office/drawing/2014/main" id="{897AA3A1-F769-43E0-A3FD-0F20A522560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105">
            <a:extLst>
              <a:ext uri="{FF2B5EF4-FFF2-40B4-BE49-F238E27FC236}">
                <a16:creationId xmlns:a16="http://schemas.microsoft.com/office/drawing/2014/main" id="{B79BFCDF-46E2-435F-970D-742DF1B4C2B0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106">
            <a:extLst>
              <a:ext uri="{FF2B5EF4-FFF2-40B4-BE49-F238E27FC236}">
                <a16:creationId xmlns:a16="http://schemas.microsoft.com/office/drawing/2014/main" id="{06B883EB-4B4C-4FEE-8D1B-E795F13853E3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107">
            <a:extLst>
              <a:ext uri="{FF2B5EF4-FFF2-40B4-BE49-F238E27FC236}">
                <a16:creationId xmlns:a16="http://schemas.microsoft.com/office/drawing/2014/main" id="{D42DC983-C710-4CF7-B933-1BA5D3BCDB4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Freeform 108">
            <a:extLst>
              <a:ext uri="{FF2B5EF4-FFF2-40B4-BE49-F238E27FC236}">
                <a16:creationId xmlns:a16="http://schemas.microsoft.com/office/drawing/2014/main" id="{44DE4735-FA91-4D3E-B80F-A6ED0CA912CE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17</xdr:row>
      <xdr:rowOff>447675</xdr:rowOff>
    </xdr:from>
    <xdr:to>
      <xdr:col>11</xdr:col>
      <xdr:colOff>295275</xdr:colOff>
      <xdr:row>17</xdr:row>
      <xdr:rowOff>600075</xdr:rowOff>
    </xdr:to>
    <xdr:grpSp>
      <xdr:nvGrpSpPr>
        <xdr:cNvPr id="102" name="Group 109">
          <a:extLst>
            <a:ext uri="{FF2B5EF4-FFF2-40B4-BE49-F238E27FC236}">
              <a16:creationId xmlns:a16="http://schemas.microsoft.com/office/drawing/2014/main" id="{E6F34771-A2D6-41DC-B31C-C14AF8112B05}"/>
            </a:ext>
          </a:extLst>
        </xdr:cNvPr>
        <xdr:cNvGrpSpPr>
          <a:grpSpLocks/>
        </xdr:cNvGrpSpPr>
      </xdr:nvGrpSpPr>
      <xdr:grpSpPr bwMode="auto">
        <a:xfrm flipV="1">
          <a:off x="3598379" y="5690566"/>
          <a:ext cx="266700" cy="152400"/>
          <a:chOff x="248" y="601"/>
          <a:chExt cx="28" cy="16"/>
        </a:xfrm>
      </xdr:grpSpPr>
      <xdr:sp macro="" textlink="">
        <xdr:nvSpPr>
          <xdr:cNvPr id="103" name="Line 110">
            <a:extLst>
              <a:ext uri="{FF2B5EF4-FFF2-40B4-BE49-F238E27FC236}">
                <a16:creationId xmlns:a16="http://schemas.microsoft.com/office/drawing/2014/main" id="{B1A246BA-8427-4EAE-B459-59DFDD79D718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Freeform 111">
            <a:extLst>
              <a:ext uri="{FF2B5EF4-FFF2-40B4-BE49-F238E27FC236}">
                <a16:creationId xmlns:a16="http://schemas.microsoft.com/office/drawing/2014/main" id="{EEDC3959-D2E0-4958-9FAF-77D1DA5ED50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112">
            <a:extLst>
              <a:ext uri="{FF2B5EF4-FFF2-40B4-BE49-F238E27FC236}">
                <a16:creationId xmlns:a16="http://schemas.microsoft.com/office/drawing/2014/main" id="{ABB69874-6C12-42C4-8DC9-2ECF1B0D829A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Freeform 113">
            <a:extLst>
              <a:ext uri="{FF2B5EF4-FFF2-40B4-BE49-F238E27FC236}">
                <a16:creationId xmlns:a16="http://schemas.microsoft.com/office/drawing/2014/main" id="{B358B08E-B91E-448A-A53E-701746238A0E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41275</xdr:colOff>
      <xdr:row>13</xdr:row>
      <xdr:rowOff>104775</xdr:rowOff>
    </xdr:from>
    <xdr:ext cx="844265" cy="336434"/>
    <xdr:sp macro="" textlink="">
      <xdr:nvSpPr>
        <xdr:cNvPr id="107" name="Text Box 114">
          <a:extLst>
            <a:ext uri="{FF2B5EF4-FFF2-40B4-BE49-F238E27FC236}">
              <a16:creationId xmlns:a16="http://schemas.microsoft.com/office/drawing/2014/main" id="{72BC8265-55DC-4300-95C1-85787A010277}"/>
            </a:ext>
          </a:extLst>
        </xdr:cNvPr>
        <xdr:cNvSpPr txBox="1">
          <a:spLocks noChangeArrowheads="1"/>
        </xdr:cNvSpPr>
      </xdr:nvSpPr>
      <xdr:spPr bwMode="auto">
        <a:xfrm>
          <a:off x="41275" y="438150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oneCellAnchor>
    <xdr:from>
      <xdr:col>12</xdr:col>
      <xdr:colOff>269875</xdr:colOff>
      <xdr:row>17</xdr:row>
      <xdr:rowOff>1181099</xdr:rowOff>
    </xdr:from>
    <xdr:ext cx="361244" cy="222744"/>
    <xdr:sp macro="" textlink="">
      <xdr:nvSpPr>
        <xdr:cNvPr id="108" name="Text Box 116">
          <a:extLst>
            <a:ext uri="{FF2B5EF4-FFF2-40B4-BE49-F238E27FC236}">
              <a16:creationId xmlns:a16="http://schemas.microsoft.com/office/drawing/2014/main" id="{8C772177-3A9C-4AA7-BB81-CFA8AE9FD01F}"/>
            </a:ext>
          </a:extLst>
        </xdr:cNvPr>
        <xdr:cNvSpPr txBox="1">
          <a:spLocks noChangeArrowheads="1"/>
        </xdr:cNvSpPr>
      </xdr:nvSpPr>
      <xdr:spPr bwMode="auto">
        <a:xfrm>
          <a:off x="4146550" y="6372224"/>
          <a:ext cx="361244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17.1m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7</xdr:col>
      <xdr:colOff>3175</xdr:colOff>
      <xdr:row>17</xdr:row>
      <xdr:rowOff>76199</xdr:rowOff>
    </xdr:from>
    <xdr:ext cx="361244" cy="222744"/>
    <xdr:sp macro="" textlink="">
      <xdr:nvSpPr>
        <xdr:cNvPr id="115" name="Text Box 116">
          <a:extLst>
            <a:ext uri="{FF2B5EF4-FFF2-40B4-BE49-F238E27FC236}">
              <a16:creationId xmlns:a16="http://schemas.microsoft.com/office/drawing/2014/main" id="{5CC1912B-7EDE-4F24-983F-4ED56037B76D}"/>
            </a:ext>
          </a:extLst>
        </xdr:cNvPr>
        <xdr:cNvSpPr txBox="1">
          <a:spLocks noChangeArrowheads="1"/>
        </xdr:cNvSpPr>
      </xdr:nvSpPr>
      <xdr:spPr bwMode="auto">
        <a:xfrm>
          <a:off x="2308225" y="5267324"/>
          <a:ext cx="361244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16.9m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15</xdr:col>
      <xdr:colOff>161925</xdr:colOff>
      <xdr:row>9</xdr:row>
      <xdr:rowOff>714375</xdr:rowOff>
    </xdr:from>
    <xdr:to>
      <xdr:col>21</xdr:col>
      <xdr:colOff>95250</xdr:colOff>
      <xdr:row>9</xdr:row>
      <xdr:rowOff>723899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2726DF3E-E890-4A77-B901-E0316D227ECD}"/>
            </a:ext>
          </a:extLst>
        </xdr:cNvPr>
        <xdr:cNvCxnSpPr/>
      </xdr:nvCxnSpPr>
      <xdr:spPr>
        <a:xfrm flipH="1">
          <a:off x="4981575" y="2428875"/>
          <a:ext cx="1819275" cy="9524"/>
        </a:xfrm>
        <a:prstGeom prst="straightConnector1">
          <a:avLst/>
        </a:prstGeom>
        <a:ln w="28575">
          <a:solidFill>
            <a:srgbClr val="FFC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285750</xdr:colOff>
      <xdr:row>9</xdr:row>
      <xdr:rowOff>428624</xdr:rowOff>
    </xdr:from>
    <xdr:ext cx="468389" cy="187872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D3BBE191-A7B7-4BE7-9B9C-27BD5515D28D}"/>
            </a:ext>
          </a:extLst>
        </xdr:cNvPr>
        <xdr:cNvSpPr txBox="1"/>
      </xdr:nvSpPr>
      <xdr:spPr>
        <a:xfrm>
          <a:off x="5105400" y="2143124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FFC000"/>
              </a:solidFill>
            </a:rPr>
            <a:t>34.5m</a:t>
          </a:r>
          <a:endParaRPr kumimoji="1" lang="ja-JP" altLang="en-US" sz="1200">
            <a:solidFill>
              <a:srgbClr val="FFC000"/>
            </a:solidFill>
          </a:endParaRPr>
        </a:p>
      </xdr:txBody>
    </xdr:sp>
    <xdr:clientData/>
  </xdr:oneCellAnchor>
  <xdr:twoCellAnchor>
    <xdr:from>
      <xdr:col>17</xdr:col>
      <xdr:colOff>285751</xdr:colOff>
      <xdr:row>7</xdr:row>
      <xdr:rowOff>76200</xdr:rowOff>
    </xdr:from>
    <xdr:to>
      <xdr:col>17</xdr:col>
      <xdr:colOff>304800</xdr:colOff>
      <xdr:row>9</xdr:row>
      <xdr:rowOff>1352550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EBF8ED4-DB64-4356-AB2F-A6F3500F2217}"/>
            </a:ext>
          </a:extLst>
        </xdr:cNvPr>
        <xdr:cNvCxnSpPr/>
      </xdr:nvCxnSpPr>
      <xdr:spPr>
        <a:xfrm flipH="1" flipV="1">
          <a:off x="5734051" y="1333500"/>
          <a:ext cx="19049" cy="1733550"/>
        </a:xfrm>
        <a:prstGeom prst="straightConnector1">
          <a:avLst/>
        </a:prstGeom>
        <a:ln w="28575">
          <a:solidFill>
            <a:srgbClr val="FFC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114300</xdr:colOff>
      <xdr:row>9</xdr:row>
      <xdr:rowOff>914399</xdr:rowOff>
    </xdr:from>
    <xdr:ext cx="468389" cy="187872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6D4086A0-C36A-4DCB-9AB1-0B322D4B7A65}"/>
            </a:ext>
          </a:extLst>
        </xdr:cNvPr>
        <xdr:cNvSpPr txBox="1"/>
      </xdr:nvSpPr>
      <xdr:spPr>
        <a:xfrm>
          <a:off x="5248275" y="2628899"/>
          <a:ext cx="468389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FFC000"/>
              </a:solidFill>
            </a:rPr>
            <a:t>32.9m</a:t>
          </a:r>
          <a:endParaRPr kumimoji="1" lang="ja-JP" altLang="en-US" sz="1200">
            <a:solidFill>
              <a:srgbClr val="FFC000"/>
            </a:solidFill>
          </a:endParaRPr>
        </a:p>
      </xdr:txBody>
    </xdr:sp>
    <xdr:clientData/>
  </xdr:oneCellAnchor>
  <xdr:twoCellAnchor editAs="oneCell">
    <xdr:from>
      <xdr:col>17</xdr:col>
      <xdr:colOff>142875</xdr:colOff>
      <xdr:row>5</xdr:row>
      <xdr:rowOff>85724</xdr:rowOff>
    </xdr:from>
    <xdr:to>
      <xdr:col>18</xdr:col>
      <xdr:colOff>144377</xdr:colOff>
      <xdr:row>6</xdr:row>
      <xdr:rowOff>141949</xdr:rowOff>
    </xdr:to>
    <xdr:pic>
      <xdr:nvPicPr>
        <xdr:cNvPr id="126" name="図 125">
          <a:extLst>
            <a:ext uri="{FF2B5EF4-FFF2-40B4-BE49-F238E27FC236}">
              <a16:creationId xmlns:a16="http://schemas.microsoft.com/office/drawing/2014/main" id="{79D00ACB-6098-4628-AD0F-62B313781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885824"/>
          <a:ext cx="315827" cy="284825"/>
        </a:xfrm>
        <a:prstGeom prst="rect">
          <a:avLst/>
        </a:prstGeom>
      </xdr:spPr>
    </xdr:pic>
    <xdr:clientData/>
  </xdr:twoCellAnchor>
  <xdr:twoCellAnchor editAs="oneCell">
    <xdr:from>
      <xdr:col>21</xdr:col>
      <xdr:colOff>295275</xdr:colOff>
      <xdr:row>9</xdr:row>
      <xdr:rowOff>971549</xdr:rowOff>
    </xdr:from>
    <xdr:to>
      <xdr:col>22</xdr:col>
      <xdr:colOff>268202</xdr:colOff>
      <xdr:row>9</xdr:row>
      <xdr:rowOff>1259549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FB7FAA30-745D-4DEB-9ECD-7818FAAD8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75" y="268604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9</xdr:row>
      <xdr:rowOff>485774</xdr:rowOff>
    </xdr:from>
    <xdr:to>
      <xdr:col>12</xdr:col>
      <xdr:colOff>106277</xdr:colOff>
      <xdr:row>9</xdr:row>
      <xdr:rowOff>773774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AAF87468-005E-422D-A158-E7BDF964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5700" y="2200274"/>
          <a:ext cx="287252" cy="288000"/>
        </a:xfrm>
        <a:prstGeom prst="rect">
          <a:avLst/>
        </a:prstGeom>
      </xdr:spPr>
    </xdr:pic>
    <xdr:clientData/>
  </xdr:twoCellAnchor>
  <xdr:oneCellAnchor>
    <xdr:from>
      <xdr:col>6</xdr:col>
      <xdr:colOff>107263</xdr:colOff>
      <xdr:row>17</xdr:row>
      <xdr:rowOff>487820</xdr:rowOff>
    </xdr:from>
    <xdr:ext cx="130411" cy="222744"/>
    <xdr:sp macro="" textlink="">
      <xdr:nvSpPr>
        <xdr:cNvPr id="118" name="Text Box 116">
          <a:extLst>
            <a:ext uri="{FF2B5EF4-FFF2-40B4-BE49-F238E27FC236}">
              <a16:creationId xmlns:a16="http://schemas.microsoft.com/office/drawing/2014/main" id="{9198FF64-0DC1-4F68-BDA4-1C47BCBC6ED9}"/>
            </a:ext>
          </a:extLst>
        </xdr:cNvPr>
        <xdr:cNvSpPr txBox="1">
          <a:spLocks noChangeArrowheads="1"/>
        </xdr:cNvSpPr>
      </xdr:nvSpPr>
      <xdr:spPr bwMode="auto">
        <a:xfrm>
          <a:off x="2093906" y="5672141"/>
          <a:ext cx="130411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8</xdr:col>
      <xdr:colOff>21542</xdr:colOff>
      <xdr:row>17</xdr:row>
      <xdr:rowOff>861336</xdr:rowOff>
    </xdr:from>
    <xdr:ext cx="130411" cy="222744"/>
    <xdr:sp macro="" textlink="">
      <xdr:nvSpPr>
        <xdr:cNvPr id="119" name="Text Box 116">
          <a:extLst>
            <a:ext uri="{FF2B5EF4-FFF2-40B4-BE49-F238E27FC236}">
              <a16:creationId xmlns:a16="http://schemas.microsoft.com/office/drawing/2014/main" id="{257CC383-DD1D-4417-815F-9BE94FE047F0}"/>
            </a:ext>
          </a:extLst>
        </xdr:cNvPr>
        <xdr:cNvSpPr txBox="1">
          <a:spLocks noChangeArrowheads="1"/>
        </xdr:cNvSpPr>
      </xdr:nvSpPr>
      <xdr:spPr bwMode="auto">
        <a:xfrm>
          <a:off x="2634113" y="6045657"/>
          <a:ext cx="130411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6</xdr:col>
      <xdr:colOff>20856</xdr:colOff>
      <xdr:row>17</xdr:row>
      <xdr:rowOff>860653</xdr:rowOff>
    </xdr:from>
    <xdr:ext cx="130411" cy="222744"/>
    <xdr:sp macro="" textlink="">
      <xdr:nvSpPr>
        <xdr:cNvPr id="120" name="Text Box 116">
          <a:extLst>
            <a:ext uri="{FF2B5EF4-FFF2-40B4-BE49-F238E27FC236}">
              <a16:creationId xmlns:a16="http://schemas.microsoft.com/office/drawing/2014/main" id="{A3575E81-9FD2-4E5E-B1DA-4AEFF1760224}"/>
            </a:ext>
          </a:extLst>
        </xdr:cNvPr>
        <xdr:cNvSpPr txBox="1">
          <a:spLocks noChangeArrowheads="1"/>
        </xdr:cNvSpPr>
      </xdr:nvSpPr>
      <xdr:spPr bwMode="auto">
        <a:xfrm>
          <a:off x="2007499" y="6044974"/>
          <a:ext cx="130411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4</xdr:col>
      <xdr:colOff>101814</xdr:colOff>
      <xdr:row>17</xdr:row>
      <xdr:rowOff>489172</xdr:rowOff>
    </xdr:from>
    <xdr:ext cx="130411" cy="222744"/>
    <xdr:sp macro="" textlink="">
      <xdr:nvSpPr>
        <xdr:cNvPr id="121" name="Text Box 116">
          <a:extLst>
            <a:ext uri="{FF2B5EF4-FFF2-40B4-BE49-F238E27FC236}">
              <a16:creationId xmlns:a16="http://schemas.microsoft.com/office/drawing/2014/main" id="{7D8CFC63-E705-47A3-8B60-25FDCBFB12BA}"/>
            </a:ext>
          </a:extLst>
        </xdr:cNvPr>
        <xdr:cNvSpPr txBox="1">
          <a:spLocks noChangeArrowheads="1"/>
        </xdr:cNvSpPr>
      </xdr:nvSpPr>
      <xdr:spPr bwMode="auto">
        <a:xfrm>
          <a:off x="1462528" y="5673493"/>
          <a:ext cx="130411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20</xdr:col>
      <xdr:colOff>180242</xdr:colOff>
      <xdr:row>17</xdr:row>
      <xdr:rowOff>1096840</xdr:rowOff>
    </xdr:from>
    <xdr:ext cx="1343025" cy="885825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50647F9B-685B-4C20-B7A3-E0E1DE271F7F}"/>
            </a:ext>
          </a:extLst>
        </xdr:cNvPr>
        <xdr:cNvSpPr txBox="1">
          <a:spLocks noChangeArrowheads="1"/>
        </xdr:cNvSpPr>
      </xdr:nvSpPr>
      <xdr:spPr bwMode="auto">
        <a:xfrm>
          <a:off x="6576646" y="6269648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EC6680S-15330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20</xdr:col>
      <xdr:colOff>247650</xdr:colOff>
      <xdr:row>7</xdr:row>
      <xdr:rowOff>1847850</xdr:rowOff>
    </xdr:to>
    <xdr:pic>
      <xdr:nvPicPr>
        <xdr:cNvPr id="5581" name="Picture 1" descr="20060">
          <a:extLst>
            <a:ext uri="{FF2B5EF4-FFF2-40B4-BE49-F238E27FC236}">
              <a16:creationId xmlns:a16="http://schemas.microsoft.com/office/drawing/2014/main" id="{2EB0E302-D16D-4442-9502-B829414F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733425"/>
          <a:ext cx="5086350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15</xdr:row>
      <xdr:rowOff>561975</xdr:rowOff>
    </xdr:from>
    <xdr:to>
      <xdr:col>10</xdr:col>
      <xdr:colOff>28575</xdr:colOff>
      <xdr:row>15</xdr:row>
      <xdr:rowOff>1304925</xdr:rowOff>
    </xdr:to>
    <xdr:grpSp>
      <xdr:nvGrpSpPr>
        <xdr:cNvPr id="5582" name="Group 2">
          <a:extLst>
            <a:ext uri="{FF2B5EF4-FFF2-40B4-BE49-F238E27FC236}">
              <a16:creationId xmlns:a16="http://schemas.microsoft.com/office/drawing/2014/main" id="{4519C33B-3D84-45A6-A9EF-285CE2FB706B}"/>
            </a:ext>
          </a:extLst>
        </xdr:cNvPr>
        <xdr:cNvGrpSpPr>
          <a:grpSpLocks/>
        </xdr:cNvGrpSpPr>
      </xdr:nvGrpSpPr>
      <xdr:grpSpPr bwMode="auto">
        <a:xfrm flipH="1" flipV="1">
          <a:off x="2924175" y="5676900"/>
          <a:ext cx="304800" cy="742950"/>
          <a:chOff x="424" y="565"/>
          <a:chExt cx="32" cy="78"/>
        </a:xfrm>
      </xdr:grpSpPr>
      <xdr:sp macro="" textlink="">
        <xdr:nvSpPr>
          <xdr:cNvPr id="5689" name="Line 3">
            <a:extLst>
              <a:ext uri="{FF2B5EF4-FFF2-40B4-BE49-F238E27FC236}">
                <a16:creationId xmlns:a16="http://schemas.microsoft.com/office/drawing/2014/main" id="{11FDE3CC-946F-4EC1-BBC7-D33B7E41DCA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0" name="Freeform 4">
            <a:extLst>
              <a:ext uri="{FF2B5EF4-FFF2-40B4-BE49-F238E27FC236}">
                <a16:creationId xmlns:a16="http://schemas.microsoft.com/office/drawing/2014/main" id="{19DBEB07-CD63-4617-9333-FD587537B134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91" name="Line 5">
            <a:extLst>
              <a:ext uri="{FF2B5EF4-FFF2-40B4-BE49-F238E27FC236}">
                <a16:creationId xmlns:a16="http://schemas.microsoft.com/office/drawing/2014/main" id="{9DF32100-6168-4046-AC73-644CDF97BD4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2" name="Freeform 6">
            <a:extLst>
              <a:ext uri="{FF2B5EF4-FFF2-40B4-BE49-F238E27FC236}">
                <a16:creationId xmlns:a16="http://schemas.microsoft.com/office/drawing/2014/main" id="{2D859F78-C2E0-41A9-A32E-8A07C241F88B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93" name="Freeform 7">
            <a:extLst>
              <a:ext uri="{FF2B5EF4-FFF2-40B4-BE49-F238E27FC236}">
                <a16:creationId xmlns:a16="http://schemas.microsoft.com/office/drawing/2014/main" id="{73FA4150-3628-4625-B464-F9755A90A763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94" name="Line 8">
            <a:extLst>
              <a:ext uri="{FF2B5EF4-FFF2-40B4-BE49-F238E27FC236}">
                <a16:creationId xmlns:a16="http://schemas.microsoft.com/office/drawing/2014/main" id="{0DAB0E0E-EF74-4C65-AB9D-131711C6658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95" name="Freeform 9">
            <a:extLst>
              <a:ext uri="{FF2B5EF4-FFF2-40B4-BE49-F238E27FC236}">
                <a16:creationId xmlns:a16="http://schemas.microsoft.com/office/drawing/2014/main" id="{5C50A85F-D831-4DDA-AAFC-882FFC51BA59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15</xdr:row>
      <xdr:rowOff>9525</xdr:rowOff>
    </xdr:from>
    <xdr:to>
      <xdr:col>2</xdr:col>
      <xdr:colOff>228600</xdr:colOff>
      <xdr:row>15</xdr:row>
      <xdr:rowOff>1546225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D7B7D670-14AF-4718-B912-24621D4C62A4}"/>
            </a:ext>
          </a:extLst>
        </xdr:cNvPr>
        <xdr:cNvSpPr txBox="1">
          <a:spLocks noChangeArrowheads="1"/>
        </xdr:cNvSpPr>
      </xdr:nvSpPr>
      <xdr:spPr bwMode="auto">
        <a:xfrm>
          <a:off x="228600" y="5124450"/>
          <a:ext cx="742950" cy="154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5584" name="Group 11">
          <a:extLst>
            <a:ext uri="{FF2B5EF4-FFF2-40B4-BE49-F238E27FC236}">
              <a16:creationId xmlns:a16="http://schemas.microsoft.com/office/drawing/2014/main" id="{9F0962E9-3173-4FD8-B331-6114D9F4A75A}"/>
            </a:ext>
          </a:extLst>
        </xdr:cNvPr>
        <xdr:cNvGrpSpPr>
          <a:grpSpLocks/>
        </xdr:cNvGrpSpPr>
      </xdr:nvGrpSpPr>
      <xdr:grpSpPr bwMode="auto">
        <a:xfrm>
          <a:off x="1952625" y="6800850"/>
          <a:ext cx="2514600" cy="47625"/>
          <a:chOff x="158" y="715"/>
          <a:chExt cx="33" cy="5"/>
        </a:xfrm>
      </xdr:grpSpPr>
      <xdr:sp macro="" textlink="">
        <xdr:nvSpPr>
          <xdr:cNvPr id="5687" name="Line 12">
            <a:extLst>
              <a:ext uri="{FF2B5EF4-FFF2-40B4-BE49-F238E27FC236}">
                <a16:creationId xmlns:a16="http://schemas.microsoft.com/office/drawing/2014/main" id="{CAE99592-3934-490E-859B-8AAFDCC2A68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8" name="Line 13">
            <a:extLst>
              <a:ext uri="{FF2B5EF4-FFF2-40B4-BE49-F238E27FC236}">
                <a16:creationId xmlns:a16="http://schemas.microsoft.com/office/drawing/2014/main" id="{A8E306DE-0E24-4C56-8F43-6C2C53A5F95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5585" name="Group 14">
          <a:extLst>
            <a:ext uri="{FF2B5EF4-FFF2-40B4-BE49-F238E27FC236}">
              <a16:creationId xmlns:a16="http://schemas.microsoft.com/office/drawing/2014/main" id="{F4D75C1D-5EA0-4CD3-A944-9B0D1502CF24}"/>
            </a:ext>
          </a:extLst>
        </xdr:cNvPr>
        <xdr:cNvGrpSpPr>
          <a:grpSpLocks/>
        </xdr:cNvGrpSpPr>
      </xdr:nvGrpSpPr>
      <xdr:grpSpPr bwMode="auto">
        <a:xfrm>
          <a:off x="2581275" y="7019925"/>
          <a:ext cx="1885950" cy="47625"/>
          <a:chOff x="158" y="715"/>
          <a:chExt cx="33" cy="5"/>
        </a:xfrm>
      </xdr:grpSpPr>
      <xdr:sp macro="" textlink="">
        <xdr:nvSpPr>
          <xdr:cNvPr id="5685" name="Line 15">
            <a:extLst>
              <a:ext uri="{FF2B5EF4-FFF2-40B4-BE49-F238E27FC236}">
                <a16:creationId xmlns:a16="http://schemas.microsoft.com/office/drawing/2014/main" id="{EBB74CF0-9894-40E8-A87C-E84B4CF3345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6" name="Line 16">
            <a:extLst>
              <a:ext uri="{FF2B5EF4-FFF2-40B4-BE49-F238E27FC236}">
                <a16:creationId xmlns:a16="http://schemas.microsoft.com/office/drawing/2014/main" id="{866DB74C-3363-4778-8F32-D32621377C8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5586" name="Group 17">
          <a:extLst>
            <a:ext uri="{FF2B5EF4-FFF2-40B4-BE49-F238E27FC236}">
              <a16:creationId xmlns:a16="http://schemas.microsoft.com/office/drawing/2014/main" id="{F673E303-F771-4518-AA31-7067AEE52EBC}"/>
            </a:ext>
          </a:extLst>
        </xdr:cNvPr>
        <xdr:cNvGrpSpPr>
          <a:grpSpLocks/>
        </xdr:cNvGrpSpPr>
      </xdr:nvGrpSpPr>
      <xdr:grpSpPr bwMode="auto">
        <a:xfrm>
          <a:off x="1676400" y="6734175"/>
          <a:ext cx="219075" cy="152400"/>
          <a:chOff x="132" y="708"/>
          <a:chExt cx="20" cy="14"/>
        </a:xfrm>
      </xdr:grpSpPr>
      <xdr:sp macro="" textlink="">
        <xdr:nvSpPr>
          <xdr:cNvPr id="5681" name="Line 18">
            <a:extLst>
              <a:ext uri="{FF2B5EF4-FFF2-40B4-BE49-F238E27FC236}">
                <a16:creationId xmlns:a16="http://schemas.microsoft.com/office/drawing/2014/main" id="{B3190F14-587C-46E2-889F-9A869BC6F14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2" name="Line 19">
            <a:extLst>
              <a:ext uri="{FF2B5EF4-FFF2-40B4-BE49-F238E27FC236}">
                <a16:creationId xmlns:a16="http://schemas.microsoft.com/office/drawing/2014/main" id="{FCF962DF-B0E3-4C87-AD86-81192F61EC7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3" name="Line 20">
            <a:extLst>
              <a:ext uri="{FF2B5EF4-FFF2-40B4-BE49-F238E27FC236}">
                <a16:creationId xmlns:a16="http://schemas.microsoft.com/office/drawing/2014/main" id="{68652CD9-FB24-4EE4-BF40-96E1B941F1A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84" name="Line 21">
            <a:extLst>
              <a:ext uri="{FF2B5EF4-FFF2-40B4-BE49-F238E27FC236}">
                <a16:creationId xmlns:a16="http://schemas.microsoft.com/office/drawing/2014/main" id="{EB9503E5-A5C3-4E97-8E39-880C28E5B8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5587" name="Line 22">
          <a:extLst>
            <a:ext uri="{FF2B5EF4-FFF2-40B4-BE49-F238E27FC236}">
              <a16:creationId xmlns:a16="http://schemas.microsoft.com/office/drawing/2014/main" id="{7E7C4763-4C3B-4545-A7FC-05566A92893D}"/>
            </a:ext>
          </a:extLst>
        </xdr:cNvPr>
        <xdr:cNvSpPr>
          <a:spLocks noChangeShapeType="1"/>
        </xdr:cNvSpPr>
      </xdr:nvSpPr>
      <xdr:spPr bwMode="auto">
        <a:xfrm>
          <a:off x="131445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5588" name="Freeform 23">
          <a:extLst>
            <a:ext uri="{FF2B5EF4-FFF2-40B4-BE49-F238E27FC236}">
              <a16:creationId xmlns:a16="http://schemas.microsoft.com/office/drawing/2014/main" id="{65A224F4-A54F-4CB2-9476-9908CE0C100B}"/>
            </a:ext>
          </a:extLst>
        </xdr:cNvPr>
        <xdr:cNvSpPr>
          <a:spLocks/>
        </xdr:cNvSpPr>
      </xdr:nvSpPr>
      <xdr:spPr bwMode="auto">
        <a:xfrm>
          <a:off x="226695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5589" name="Line 24">
          <a:extLst>
            <a:ext uri="{FF2B5EF4-FFF2-40B4-BE49-F238E27FC236}">
              <a16:creationId xmlns:a16="http://schemas.microsoft.com/office/drawing/2014/main" id="{D869415E-4C93-4A82-ACE0-498B75AF0E7D}"/>
            </a:ext>
          </a:extLst>
        </xdr:cNvPr>
        <xdr:cNvSpPr>
          <a:spLocks noChangeShapeType="1"/>
        </xdr:cNvSpPr>
      </xdr:nvSpPr>
      <xdr:spPr bwMode="auto">
        <a:xfrm>
          <a:off x="131445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15</xdr:row>
      <xdr:rowOff>419100</xdr:rowOff>
    </xdr:from>
    <xdr:to>
      <xdr:col>13</xdr:col>
      <xdr:colOff>180975</xdr:colOff>
      <xdr:row>15</xdr:row>
      <xdr:rowOff>1152525</xdr:rowOff>
    </xdr:to>
    <xdr:grpSp>
      <xdr:nvGrpSpPr>
        <xdr:cNvPr id="5590" name="Group 25">
          <a:extLst>
            <a:ext uri="{FF2B5EF4-FFF2-40B4-BE49-F238E27FC236}">
              <a16:creationId xmlns:a16="http://schemas.microsoft.com/office/drawing/2014/main" id="{09F47B02-DF67-44CC-8A71-E8161FA7546B}"/>
            </a:ext>
          </a:extLst>
        </xdr:cNvPr>
        <xdr:cNvGrpSpPr>
          <a:grpSpLocks/>
        </xdr:cNvGrpSpPr>
      </xdr:nvGrpSpPr>
      <xdr:grpSpPr bwMode="auto">
        <a:xfrm rot="5400000">
          <a:off x="3929062" y="5872163"/>
          <a:ext cx="733425" cy="57150"/>
          <a:chOff x="123" y="549"/>
          <a:chExt cx="77" cy="6"/>
        </a:xfrm>
      </xdr:grpSpPr>
      <xdr:sp macro="" textlink="">
        <xdr:nvSpPr>
          <xdr:cNvPr id="5678" name="Line 26">
            <a:extLst>
              <a:ext uri="{FF2B5EF4-FFF2-40B4-BE49-F238E27FC236}">
                <a16:creationId xmlns:a16="http://schemas.microsoft.com/office/drawing/2014/main" id="{78340C34-260C-43A9-BB68-B287F384F67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9" name="Freeform 27">
            <a:extLst>
              <a:ext uri="{FF2B5EF4-FFF2-40B4-BE49-F238E27FC236}">
                <a16:creationId xmlns:a16="http://schemas.microsoft.com/office/drawing/2014/main" id="{BA6A4BFD-3498-4DCC-AE4F-C51A51B2DE6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80" name="Freeform 28">
            <a:extLst>
              <a:ext uri="{FF2B5EF4-FFF2-40B4-BE49-F238E27FC236}">
                <a16:creationId xmlns:a16="http://schemas.microsoft.com/office/drawing/2014/main" id="{D8B93C92-56EC-4F1A-B459-6A61C4E5E9DD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18</xdr:row>
      <xdr:rowOff>47625</xdr:rowOff>
    </xdr:from>
    <xdr:to>
      <xdr:col>7</xdr:col>
      <xdr:colOff>304800</xdr:colOff>
      <xdr:row>18</xdr:row>
      <xdr:rowOff>190500</xdr:rowOff>
    </xdr:to>
    <xdr:sp macro="" textlink="">
      <xdr:nvSpPr>
        <xdr:cNvPr id="5591" name="Freeform 33">
          <a:extLst>
            <a:ext uri="{FF2B5EF4-FFF2-40B4-BE49-F238E27FC236}">
              <a16:creationId xmlns:a16="http://schemas.microsoft.com/office/drawing/2014/main" id="{97ADC631-7190-4846-BF29-49E187DAF717}"/>
            </a:ext>
          </a:extLst>
        </xdr:cNvPr>
        <xdr:cNvSpPr>
          <a:spLocks/>
        </xdr:cNvSpPr>
      </xdr:nvSpPr>
      <xdr:spPr bwMode="auto">
        <a:xfrm>
          <a:off x="22669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5592" name="Line 34">
          <a:extLst>
            <a:ext uri="{FF2B5EF4-FFF2-40B4-BE49-F238E27FC236}">
              <a16:creationId xmlns:a16="http://schemas.microsoft.com/office/drawing/2014/main" id="{E2B3897B-050F-486C-8BC7-E5C3EDF8B503}"/>
            </a:ext>
          </a:extLst>
        </xdr:cNvPr>
        <xdr:cNvSpPr>
          <a:spLocks noChangeShapeType="1"/>
        </xdr:cNvSpPr>
      </xdr:nvSpPr>
      <xdr:spPr bwMode="auto">
        <a:xfrm>
          <a:off x="131445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18</xdr:row>
      <xdr:rowOff>47625</xdr:rowOff>
    </xdr:from>
    <xdr:to>
      <xdr:col>12</xdr:col>
      <xdr:colOff>304800</xdr:colOff>
      <xdr:row>18</xdr:row>
      <xdr:rowOff>190500</xdr:rowOff>
    </xdr:to>
    <xdr:sp macro="" textlink="">
      <xdr:nvSpPr>
        <xdr:cNvPr id="5593" name="Freeform 35">
          <a:extLst>
            <a:ext uri="{FF2B5EF4-FFF2-40B4-BE49-F238E27FC236}">
              <a16:creationId xmlns:a16="http://schemas.microsoft.com/office/drawing/2014/main" id="{19AC17D2-1635-4AB9-BA2C-A4F7D84978B2}"/>
            </a:ext>
          </a:extLst>
        </xdr:cNvPr>
        <xdr:cNvSpPr>
          <a:spLocks/>
        </xdr:cNvSpPr>
      </xdr:nvSpPr>
      <xdr:spPr bwMode="auto">
        <a:xfrm>
          <a:off x="3838575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5594" name="Group 36">
          <a:extLst>
            <a:ext uri="{FF2B5EF4-FFF2-40B4-BE49-F238E27FC236}">
              <a16:creationId xmlns:a16="http://schemas.microsoft.com/office/drawing/2014/main" id="{24B2DE50-B031-4756-84CA-61E01641AFCE}"/>
            </a:ext>
          </a:extLst>
        </xdr:cNvPr>
        <xdr:cNvGrpSpPr>
          <a:grpSpLocks/>
        </xdr:cNvGrpSpPr>
      </xdr:nvGrpSpPr>
      <xdr:grpSpPr bwMode="auto">
        <a:xfrm>
          <a:off x="4143375" y="7248525"/>
          <a:ext cx="314325" cy="47625"/>
          <a:chOff x="158" y="715"/>
          <a:chExt cx="33" cy="5"/>
        </a:xfrm>
      </xdr:grpSpPr>
      <xdr:sp macro="" textlink="">
        <xdr:nvSpPr>
          <xdr:cNvPr id="5676" name="Line 37">
            <a:extLst>
              <a:ext uri="{FF2B5EF4-FFF2-40B4-BE49-F238E27FC236}">
                <a16:creationId xmlns:a16="http://schemas.microsoft.com/office/drawing/2014/main" id="{0EAF0F82-6B1E-4AA7-9693-B8488F74839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7" name="Line 38">
            <a:extLst>
              <a:ext uri="{FF2B5EF4-FFF2-40B4-BE49-F238E27FC236}">
                <a16:creationId xmlns:a16="http://schemas.microsoft.com/office/drawing/2014/main" id="{F224034D-7710-43EB-A0C1-1777A5F58F4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95250</xdr:rowOff>
    </xdr:from>
    <xdr:to>
      <xdr:col>12</xdr:col>
      <xdr:colOff>0</xdr:colOff>
      <xdr:row>18</xdr:row>
      <xdr:rowOff>142875</xdr:rowOff>
    </xdr:to>
    <xdr:grpSp>
      <xdr:nvGrpSpPr>
        <xdr:cNvPr id="5595" name="Group 39">
          <a:extLst>
            <a:ext uri="{FF2B5EF4-FFF2-40B4-BE49-F238E27FC236}">
              <a16:creationId xmlns:a16="http://schemas.microsoft.com/office/drawing/2014/main" id="{BE0A32B3-364F-4B4A-94BA-3E2153C105D5}"/>
            </a:ext>
          </a:extLst>
        </xdr:cNvPr>
        <xdr:cNvGrpSpPr>
          <a:grpSpLocks/>
        </xdr:cNvGrpSpPr>
      </xdr:nvGrpSpPr>
      <xdr:grpSpPr bwMode="auto">
        <a:xfrm>
          <a:off x="2571750" y="7248525"/>
          <a:ext cx="1257300" cy="47625"/>
          <a:chOff x="158" y="715"/>
          <a:chExt cx="33" cy="5"/>
        </a:xfrm>
      </xdr:grpSpPr>
      <xdr:sp macro="" textlink="">
        <xdr:nvSpPr>
          <xdr:cNvPr id="5674" name="Line 40">
            <a:extLst>
              <a:ext uri="{FF2B5EF4-FFF2-40B4-BE49-F238E27FC236}">
                <a16:creationId xmlns:a16="http://schemas.microsoft.com/office/drawing/2014/main" id="{01610426-BB56-454A-95AD-38581459BC2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5" name="Line 41">
            <a:extLst>
              <a:ext uri="{FF2B5EF4-FFF2-40B4-BE49-F238E27FC236}">
                <a16:creationId xmlns:a16="http://schemas.microsoft.com/office/drawing/2014/main" id="{97ECC254-E590-4801-928D-4E4DBF0A090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5596" name="Freeform 42">
          <a:extLst>
            <a:ext uri="{FF2B5EF4-FFF2-40B4-BE49-F238E27FC236}">
              <a16:creationId xmlns:a16="http://schemas.microsoft.com/office/drawing/2014/main" id="{673E3ADA-C5E8-4915-8507-3B09507BAFD4}"/>
            </a:ext>
          </a:extLst>
        </xdr:cNvPr>
        <xdr:cNvSpPr>
          <a:spLocks/>
        </xdr:cNvSpPr>
      </xdr:nvSpPr>
      <xdr:spPr bwMode="auto">
        <a:xfrm>
          <a:off x="3838575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5597" name="Group 43">
          <a:extLst>
            <a:ext uri="{FF2B5EF4-FFF2-40B4-BE49-F238E27FC236}">
              <a16:creationId xmlns:a16="http://schemas.microsoft.com/office/drawing/2014/main" id="{1D21F79B-9569-47E0-8E30-EC15C67B8E8A}"/>
            </a:ext>
          </a:extLst>
        </xdr:cNvPr>
        <xdr:cNvGrpSpPr>
          <a:grpSpLocks/>
        </xdr:cNvGrpSpPr>
      </xdr:nvGrpSpPr>
      <xdr:grpSpPr bwMode="auto">
        <a:xfrm>
          <a:off x="3248025" y="7648575"/>
          <a:ext cx="219075" cy="152400"/>
          <a:chOff x="132" y="708"/>
          <a:chExt cx="20" cy="14"/>
        </a:xfrm>
      </xdr:grpSpPr>
      <xdr:sp macro="" textlink="">
        <xdr:nvSpPr>
          <xdr:cNvPr id="5670" name="Line 44">
            <a:extLst>
              <a:ext uri="{FF2B5EF4-FFF2-40B4-BE49-F238E27FC236}">
                <a16:creationId xmlns:a16="http://schemas.microsoft.com/office/drawing/2014/main" id="{BCF669FB-2558-4342-BD14-47DEB3E8CC0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1" name="Line 45">
            <a:extLst>
              <a:ext uri="{FF2B5EF4-FFF2-40B4-BE49-F238E27FC236}">
                <a16:creationId xmlns:a16="http://schemas.microsoft.com/office/drawing/2014/main" id="{2DDE278F-EDA4-44DF-9E12-6B6031A33D0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2" name="Line 46">
            <a:extLst>
              <a:ext uri="{FF2B5EF4-FFF2-40B4-BE49-F238E27FC236}">
                <a16:creationId xmlns:a16="http://schemas.microsoft.com/office/drawing/2014/main" id="{C661E74E-FDFD-487A-978E-770F824BC1B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73" name="Line 47">
            <a:extLst>
              <a:ext uri="{FF2B5EF4-FFF2-40B4-BE49-F238E27FC236}">
                <a16:creationId xmlns:a16="http://schemas.microsoft.com/office/drawing/2014/main" id="{F5ED47AB-FAB4-4ABD-A387-96ADCD26C2F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5598" name="Group 48">
          <a:extLst>
            <a:ext uri="{FF2B5EF4-FFF2-40B4-BE49-F238E27FC236}">
              <a16:creationId xmlns:a16="http://schemas.microsoft.com/office/drawing/2014/main" id="{3F66DD8E-53D5-4592-86B6-9DCE00660BC1}"/>
            </a:ext>
          </a:extLst>
        </xdr:cNvPr>
        <xdr:cNvGrpSpPr>
          <a:grpSpLocks/>
        </xdr:cNvGrpSpPr>
      </xdr:nvGrpSpPr>
      <xdr:grpSpPr bwMode="auto">
        <a:xfrm>
          <a:off x="3514725" y="7705725"/>
          <a:ext cx="942975" cy="47625"/>
          <a:chOff x="158" y="715"/>
          <a:chExt cx="33" cy="5"/>
        </a:xfrm>
      </xdr:grpSpPr>
      <xdr:sp macro="" textlink="">
        <xdr:nvSpPr>
          <xdr:cNvPr id="5668" name="Line 49">
            <a:extLst>
              <a:ext uri="{FF2B5EF4-FFF2-40B4-BE49-F238E27FC236}">
                <a16:creationId xmlns:a16="http://schemas.microsoft.com/office/drawing/2014/main" id="{CDA65986-4FFD-4012-BBA2-9F3B91D3D7E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9" name="Line 50">
            <a:extLst>
              <a:ext uri="{FF2B5EF4-FFF2-40B4-BE49-F238E27FC236}">
                <a16:creationId xmlns:a16="http://schemas.microsoft.com/office/drawing/2014/main" id="{E245ED4A-DCD3-4C9F-B31F-84CEB505C1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5599" name="Group 51">
          <a:extLst>
            <a:ext uri="{FF2B5EF4-FFF2-40B4-BE49-F238E27FC236}">
              <a16:creationId xmlns:a16="http://schemas.microsoft.com/office/drawing/2014/main" id="{D21A82CD-FC9D-446D-9C2A-A77259CFE77F}"/>
            </a:ext>
          </a:extLst>
        </xdr:cNvPr>
        <xdr:cNvGrpSpPr>
          <a:grpSpLocks/>
        </xdr:cNvGrpSpPr>
      </xdr:nvGrpSpPr>
      <xdr:grpSpPr bwMode="auto">
        <a:xfrm>
          <a:off x="4143375" y="7934325"/>
          <a:ext cx="314325" cy="47625"/>
          <a:chOff x="158" y="715"/>
          <a:chExt cx="33" cy="5"/>
        </a:xfrm>
      </xdr:grpSpPr>
      <xdr:sp macro="" textlink="">
        <xdr:nvSpPr>
          <xdr:cNvPr id="5666" name="Line 52">
            <a:extLst>
              <a:ext uri="{FF2B5EF4-FFF2-40B4-BE49-F238E27FC236}">
                <a16:creationId xmlns:a16="http://schemas.microsoft.com/office/drawing/2014/main" id="{04B60451-895F-4E4A-9DF3-7E9335DFE39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7" name="Line 53">
            <a:extLst>
              <a:ext uri="{FF2B5EF4-FFF2-40B4-BE49-F238E27FC236}">
                <a16:creationId xmlns:a16="http://schemas.microsoft.com/office/drawing/2014/main" id="{CFF25619-B97B-4BD7-8DEF-E4BEF4936C7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5600" name="Line 54">
          <a:extLst>
            <a:ext uri="{FF2B5EF4-FFF2-40B4-BE49-F238E27FC236}">
              <a16:creationId xmlns:a16="http://schemas.microsoft.com/office/drawing/2014/main" id="{9A11E270-B083-44E2-94B6-5CD596FC2AC3}"/>
            </a:ext>
          </a:extLst>
        </xdr:cNvPr>
        <xdr:cNvSpPr>
          <a:spLocks noChangeShapeType="1"/>
        </xdr:cNvSpPr>
      </xdr:nvSpPr>
      <xdr:spPr bwMode="auto">
        <a:xfrm>
          <a:off x="288607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5601" name="Line 55">
          <a:extLst>
            <a:ext uri="{FF2B5EF4-FFF2-40B4-BE49-F238E27FC236}">
              <a16:creationId xmlns:a16="http://schemas.microsoft.com/office/drawing/2014/main" id="{1313D41D-4AEC-4DE8-B6EF-A116A184CC00}"/>
            </a:ext>
          </a:extLst>
        </xdr:cNvPr>
        <xdr:cNvSpPr>
          <a:spLocks noChangeShapeType="1"/>
        </xdr:cNvSpPr>
      </xdr:nvSpPr>
      <xdr:spPr bwMode="auto">
        <a:xfrm>
          <a:off x="2886075" y="7953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5602" name="Group 56">
          <a:extLst>
            <a:ext uri="{FF2B5EF4-FFF2-40B4-BE49-F238E27FC236}">
              <a16:creationId xmlns:a16="http://schemas.microsoft.com/office/drawing/2014/main" id="{3F479BC2-F052-4CD5-99B6-376B7037BD30}"/>
            </a:ext>
          </a:extLst>
        </xdr:cNvPr>
        <xdr:cNvGrpSpPr>
          <a:grpSpLocks/>
        </xdr:cNvGrpSpPr>
      </xdr:nvGrpSpPr>
      <xdr:grpSpPr bwMode="auto">
        <a:xfrm>
          <a:off x="1314450" y="7934325"/>
          <a:ext cx="1571625" cy="47625"/>
          <a:chOff x="158" y="715"/>
          <a:chExt cx="33" cy="5"/>
        </a:xfrm>
      </xdr:grpSpPr>
      <xdr:sp macro="" textlink="">
        <xdr:nvSpPr>
          <xdr:cNvPr id="5664" name="Line 57">
            <a:extLst>
              <a:ext uri="{FF2B5EF4-FFF2-40B4-BE49-F238E27FC236}">
                <a16:creationId xmlns:a16="http://schemas.microsoft.com/office/drawing/2014/main" id="{7EE8AA52-D961-47FF-84F9-3F47ABEB1E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5" name="Line 58">
            <a:extLst>
              <a:ext uri="{FF2B5EF4-FFF2-40B4-BE49-F238E27FC236}">
                <a16:creationId xmlns:a16="http://schemas.microsoft.com/office/drawing/2014/main" id="{BBBFCDF4-704A-4051-A3BF-D314EA63201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5603" name="Group 59">
          <a:extLst>
            <a:ext uri="{FF2B5EF4-FFF2-40B4-BE49-F238E27FC236}">
              <a16:creationId xmlns:a16="http://schemas.microsoft.com/office/drawing/2014/main" id="{40A1ED97-C0D8-4B2C-95FF-CC85C68ACC6C}"/>
            </a:ext>
          </a:extLst>
        </xdr:cNvPr>
        <xdr:cNvGrpSpPr>
          <a:grpSpLocks/>
        </xdr:cNvGrpSpPr>
      </xdr:nvGrpSpPr>
      <xdr:grpSpPr bwMode="auto">
        <a:xfrm>
          <a:off x="1314450" y="7705725"/>
          <a:ext cx="1571625" cy="47625"/>
          <a:chOff x="158" y="715"/>
          <a:chExt cx="33" cy="5"/>
        </a:xfrm>
      </xdr:grpSpPr>
      <xdr:sp macro="" textlink="">
        <xdr:nvSpPr>
          <xdr:cNvPr id="5662" name="Line 60">
            <a:extLst>
              <a:ext uri="{FF2B5EF4-FFF2-40B4-BE49-F238E27FC236}">
                <a16:creationId xmlns:a16="http://schemas.microsoft.com/office/drawing/2014/main" id="{3CED2610-E543-4864-8713-D2755C27820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63" name="Line 61">
            <a:extLst>
              <a:ext uri="{FF2B5EF4-FFF2-40B4-BE49-F238E27FC236}">
                <a16:creationId xmlns:a16="http://schemas.microsoft.com/office/drawing/2014/main" id="{978A8388-6C4A-49CD-A302-448331B2C7A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38100</xdr:rowOff>
    </xdr:from>
    <xdr:to>
      <xdr:col>12</xdr:col>
      <xdr:colOff>0</xdr:colOff>
      <xdr:row>19</xdr:row>
      <xdr:rowOff>209550</xdr:rowOff>
    </xdr:to>
    <xdr:grpSp>
      <xdr:nvGrpSpPr>
        <xdr:cNvPr id="5604" name="Group 62">
          <a:extLst>
            <a:ext uri="{FF2B5EF4-FFF2-40B4-BE49-F238E27FC236}">
              <a16:creationId xmlns:a16="http://schemas.microsoft.com/office/drawing/2014/main" id="{5726F960-D3CB-43D3-BD5E-7540FC1A5F87}"/>
            </a:ext>
          </a:extLst>
        </xdr:cNvPr>
        <xdr:cNvGrpSpPr>
          <a:grpSpLocks/>
        </xdr:cNvGrpSpPr>
      </xdr:nvGrpSpPr>
      <xdr:grpSpPr bwMode="auto">
        <a:xfrm>
          <a:off x="2257425" y="7419975"/>
          <a:ext cx="1571625" cy="171450"/>
          <a:chOff x="191" y="779"/>
          <a:chExt cx="165" cy="18"/>
        </a:xfrm>
      </xdr:grpSpPr>
      <xdr:grpSp>
        <xdr:nvGrpSpPr>
          <xdr:cNvPr id="5656" name="Group 63">
            <a:extLst>
              <a:ext uri="{FF2B5EF4-FFF2-40B4-BE49-F238E27FC236}">
                <a16:creationId xmlns:a16="http://schemas.microsoft.com/office/drawing/2014/main" id="{4D6A661F-89F5-44F1-92D4-B628457AC052}"/>
              </a:ext>
            </a:extLst>
          </xdr:cNvPr>
          <xdr:cNvGrpSpPr>
            <a:grpSpLocks/>
          </xdr:cNvGrpSpPr>
        </xdr:nvGrpSpPr>
        <xdr:grpSpPr bwMode="auto">
          <a:xfrm rot="10800000">
            <a:off x="259" y="779"/>
            <a:ext cx="29" cy="18"/>
            <a:chOff x="226" y="755"/>
            <a:chExt cx="29" cy="18"/>
          </a:xfrm>
        </xdr:grpSpPr>
        <xdr:sp macro="" textlink="">
          <xdr:nvSpPr>
            <xdr:cNvPr id="5659" name="Oval 64">
              <a:extLst>
                <a:ext uri="{FF2B5EF4-FFF2-40B4-BE49-F238E27FC236}">
                  <a16:creationId xmlns:a16="http://schemas.microsoft.com/office/drawing/2014/main" id="{28ADB8C4-83B6-4B91-B91E-BD6467EAB4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0" name="Line 65">
              <a:extLst>
                <a:ext uri="{FF2B5EF4-FFF2-40B4-BE49-F238E27FC236}">
                  <a16:creationId xmlns:a16="http://schemas.microsoft.com/office/drawing/2014/main" id="{A726F3F4-8CF3-48AE-9E13-4F669E040B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661" name="Freeform 66">
              <a:extLst>
                <a:ext uri="{FF2B5EF4-FFF2-40B4-BE49-F238E27FC236}">
                  <a16:creationId xmlns:a16="http://schemas.microsoft.com/office/drawing/2014/main" id="{52138B77-C3A8-43A1-93C2-C5172989AC4C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0 h 208"/>
                <a:gd name="T2" fmla="*/ 0 w 268"/>
                <a:gd name="T3" fmla="*/ 0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5657" name="Line 67">
            <a:extLst>
              <a:ext uri="{FF2B5EF4-FFF2-40B4-BE49-F238E27FC236}">
                <a16:creationId xmlns:a16="http://schemas.microsoft.com/office/drawing/2014/main" id="{7C31735A-2F23-467F-95CA-31F4C2AACF80}"/>
              </a:ext>
            </a:extLst>
          </xdr:cNvPr>
          <xdr:cNvSpPr>
            <a:spLocks noChangeShapeType="1"/>
          </xdr:cNvSpPr>
        </xdr:nvSpPr>
        <xdr:spPr bwMode="auto">
          <a:xfrm>
            <a:off x="288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8" name="Line 68">
            <a:extLst>
              <a:ext uri="{FF2B5EF4-FFF2-40B4-BE49-F238E27FC236}">
                <a16:creationId xmlns:a16="http://schemas.microsoft.com/office/drawing/2014/main" id="{F1630A8D-2A47-4B70-8A6E-7F0AF2CB83C6}"/>
              </a:ext>
            </a:extLst>
          </xdr:cNvPr>
          <xdr:cNvSpPr>
            <a:spLocks noChangeShapeType="1"/>
          </xdr:cNvSpPr>
        </xdr:nvSpPr>
        <xdr:spPr bwMode="auto">
          <a:xfrm>
            <a:off x="191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304800</xdr:colOff>
      <xdr:row>15</xdr:row>
      <xdr:rowOff>276225</xdr:rowOff>
    </xdr:from>
    <xdr:to>
      <xdr:col>12</xdr:col>
      <xdr:colOff>295275</xdr:colOff>
      <xdr:row>15</xdr:row>
      <xdr:rowOff>1019175</xdr:rowOff>
    </xdr:to>
    <xdr:grpSp>
      <xdr:nvGrpSpPr>
        <xdr:cNvPr id="5605" name="Group 69">
          <a:extLst>
            <a:ext uri="{FF2B5EF4-FFF2-40B4-BE49-F238E27FC236}">
              <a16:creationId xmlns:a16="http://schemas.microsoft.com/office/drawing/2014/main" id="{E90A8512-D54A-4779-8166-3511482FAF3E}"/>
            </a:ext>
          </a:extLst>
        </xdr:cNvPr>
        <xdr:cNvGrpSpPr>
          <a:grpSpLocks/>
        </xdr:cNvGrpSpPr>
      </xdr:nvGrpSpPr>
      <xdr:grpSpPr bwMode="auto">
        <a:xfrm>
          <a:off x="3819525" y="5391150"/>
          <a:ext cx="304800" cy="742950"/>
          <a:chOff x="424" y="565"/>
          <a:chExt cx="32" cy="78"/>
        </a:xfrm>
      </xdr:grpSpPr>
      <xdr:sp macro="" textlink="">
        <xdr:nvSpPr>
          <xdr:cNvPr id="5649" name="Line 70">
            <a:extLst>
              <a:ext uri="{FF2B5EF4-FFF2-40B4-BE49-F238E27FC236}">
                <a16:creationId xmlns:a16="http://schemas.microsoft.com/office/drawing/2014/main" id="{D90E709A-2EBB-4FBA-BB1D-4671DD0222D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0" name="Freeform 71">
            <a:extLst>
              <a:ext uri="{FF2B5EF4-FFF2-40B4-BE49-F238E27FC236}">
                <a16:creationId xmlns:a16="http://schemas.microsoft.com/office/drawing/2014/main" id="{6D8D0142-33D2-47B2-97A1-38C32FD7E7C8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51" name="Line 72">
            <a:extLst>
              <a:ext uri="{FF2B5EF4-FFF2-40B4-BE49-F238E27FC236}">
                <a16:creationId xmlns:a16="http://schemas.microsoft.com/office/drawing/2014/main" id="{C8CE2C36-1450-4E8D-9AE9-0532BF64E86B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2" name="Freeform 73">
            <a:extLst>
              <a:ext uri="{FF2B5EF4-FFF2-40B4-BE49-F238E27FC236}">
                <a16:creationId xmlns:a16="http://schemas.microsoft.com/office/drawing/2014/main" id="{7CA9F273-07D5-4021-8EC4-0E863F8CE936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53" name="Freeform 74">
            <a:extLst>
              <a:ext uri="{FF2B5EF4-FFF2-40B4-BE49-F238E27FC236}">
                <a16:creationId xmlns:a16="http://schemas.microsoft.com/office/drawing/2014/main" id="{6DD026F9-0A52-477C-A6D1-995432C2EBA5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54" name="Line 75">
            <a:extLst>
              <a:ext uri="{FF2B5EF4-FFF2-40B4-BE49-F238E27FC236}">
                <a16:creationId xmlns:a16="http://schemas.microsoft.com/office/drawing/2014/main" id="{693C3DEE-EB68-4FDE-A02D-43E304AEA11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55" name="Freeform 76">
            <a:extLst>
              <a:ext uri="{FF2B5EF4-FFF2-40B4-BE49-F238E27FC236}">
                <a16:creationId xmlns:a16="http://schemas.microsoft.com/office/drawing/2014/main" id="{9E40C9E3-E2FA-4686-B01E-10B3E589D066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295275</xdr:rowOff>
    </xdr:from>
    <xdr:to>
      <xdr:col>8</xdr:col>
      <xdr:colOff>38100</xdr:colOff>
      <xdr:row>15</xdr:row>
      <xdr:rowOff>352425</xdr:rowOff>
    </xdr:to>
    <xdr:grpSp>
      <xdr:nvGrpSpPr>
        <xdr:cNvPr id="5606" name="Group 81">
          <a:extLst>
            <a:ext uri="{FF2B5EF4-FFF2-40B4-BE49-F238E27FC236}">
              <a16:creationId xmlns:a16="http://schemas.microsoft.com/office/drawing/2014/main" id="{EDA78647-9645-4853-A285-5E078FDBBB94}"/>
            </a:ext>
          </a:extLst>
        </xdr:cNvPr>
        <xdr:cNvGrpSpPr>
          <a:grpSpLocks/>
        </xdr:cNvGrpSpPr>
      </xdr:nvGrpSpPr>
      <xdr:grpSpPr bwMode="auto">
        <a:xfrm rot="-5400000">
          <a:off x="2371725" y="5229225"/>
          <a:ext cx="57150" cy="419100"/>
          <a:chOff x="122" y="579"/>
          <a:chExt cx="6" cy="44"/>
        </a:xfrm>
      </xdr:grpSpPr>
      <xdr:sp macro="" textlink="">
        <xdr:nvSpPr>
          <xdr:cNvPr id="5646" name="Line 82">
            <a:extLst>
              <a:ext uri="{FF2B5EF4-FFF2-40B4-BE49-F238E27FC236}">
                <a16:creationId xmlns:a16="http://schemas.microsoft.com/office/drawing/2014/main" id="{EA76C365-FE73-435E-B5AE-979F9AE1D65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7" name="Freeform 83">
            <a:extLst>
              <a:ext uri="{FF2B5EF4-FFF2-40B4-BE49-F238E27FC236}">
                <a16:creationId xmlns:a16="http://schemas.microsoft.com/office/drawing/2014/main" id="{947C553F-1C6A-49C0-A8D8-5B6340484103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48" name="Freeform 84">
            <a:extLst>
              <a:ext uri="{FF2B5EF4-FFF2-40B4-BE49-F238E27FC236}">
                <a16:creationId xmlns:a16="http://schemas.microsoft.com/office/drawing/2014/main" id="{6FF0AA1A-208C-4994-B8F0-D3A36989342E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447675</xdr:rowOff>
    </xdr:from>
    <xdr:to>
      <xdr:col>8</xdr:col>
      <xdr:colOff>38100</xdr:colOff>
      <xdr:row>15</xdr:row>
      <xdr:rowOff>628650</xdr:rowOff>
    </xdr:to>
    <xdr:grpSp>
      <xdr:nvGrpSpPr>
        <xdr:cNvPr id="5607" name="Group 85">
          <a:extLst>
            <a:ext uri="{FF2B5EF4-FFF2-40B4-BE49-F238E27FC236}">
              <a16:creationId xmlns:a16="http://schemas.microsoft.com/office/drawing/2014/main" id="{0358A69D-E927-4A12-BD65-E71F1F69ACB2}"/>
            </a:ext>
          </a:extLst>
        </xdr:cNvPr>
        <xdr:cNvGrpSpPr>
          <a:grpSpLocks/>
        </xdr:cNvGrpSpPr>
      </xdr:nvGrpSpPr>
      <xdr:grpSpPr bwMode="auto">
        <a:xfrm>
          <a:off x="2152650" y="5562600"/>
          <a:ext cx="457200" cy="180975"/>
          <a:chOff x="180" y="589"/>
          <a:chExt cx="48" cy="19"/>
        </a:xfrm>
      </xdr:grpSpPr>
      <xdr:sp macro="" textlink="">
        <xdr:nvSpPr>
          <xdr:cNvPr id="5641" name="Line 86">
            <a:extLst>
              <a:ext uri="{FF2B5EF4-FFF2-40B4-BE49-F238E27FC236}">
                <a16:creationId xmlns:a16="http://schemas.microsoft.com/office/drawing/2014/main" id="{947B7C02-951B-42CA-8609-B92B9673F12E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2" name="Freeform 87">
            <a:extLst>
              <a:ext uri="{FF2B5EF4-FFF2-40B4-BE49-F238E27FC236}">
                <a16:creationId xmlns:a16="http://schemas.microsoft.com/office/drawing/2014/main" id="{260DB52A-2107-477D-9552-032EFEB7EC9A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43" name="Freeform 88">
            <a:extLst>
              <a:ext uri="{FF2B5EF4-FFF2-40B4-BE49-F238E27FC236}">
                <a16:creationId xmlns:a16="http://schemas.microsoft.com/office/drawing/2014/main" id="{E03C10EC-4802-48AB-9800-673D7C53DE0F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44" name="Line 89">
            <a:extLst>
              <a:ext uri="{FF2B5EF4-FFF2-40B4-BE49-F238E27FC236}">
                <a16:creationId xmlns:a16="http://schemas.microsoft.com/office/drawing/2014/main" id="{B60880CC-BCCB-48CE-98F3-963AAC5C22B5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5" name="Freeform 90">
            <a:extLst>
              <a:ext uri="{FF2B5EF4-FFF2-40B4-BE49-F238E27FC236}">
                <a16:creationId xmlns:a16="http://schemas.microsoft.com/office/drawing/2014/main" id="{84AE9101-5133-4883-90ED-0C14308A7435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819150</xdr:rowOff>
    </xdr:from>
    <xdr:to>
      <xdr:col>8</xdr:col>
      <xdr:colOff>38100</xdr:colOff>
      <xdr:row>15</xdr:row>
      <xdr:rowOff>1000125</xdr:rowOff>
    </xdr:to>
    <xdr:grpSp>
      <xdr:nvGrpSpPr>
        <xdr:cNvPr id="5608" name="Group 91">
          <a:extLst>
            <a:ext uri="{FF2B5EF4-FFF2-40B4-BE49-F238E27FC236}">
              <a16:creationId xmlns:a16="http://schemas.microsoft.com/office/drawing/2014/main" id="{83E10C95-1CB7-4555-BD96-5DC7E193840E}"/>
            </a:ext>
          </a:extLst>
        </xdr:cNvPr>
        <xdr:cNvGrpSpPr>
          <a:grpSpLocks/>
        </xdr:cNvGrpSpPr>
      </xdr:nvGrpSpPr>
      <xdr:grpSpPr bwMode="auto">
        <a:xfrm>
          <a:off x="2152650" y="5934075"/>
          <a:ext cx="457200" cy="180975"/>
          <a:chOff x="180" y="627"/>
          <a:chExt cx="48" cy="19"/>
        </a:xfrm>
      </xdr:grpSpPr>
      <xdr:sp macro="" textlink="">
        <xdr:nvSpPr>
          <xdr:cNvPr id="5636" name="Line 92">
            <a:extLst>
              <a:ext uri="{FF2B5EF4-FFF2-40B4-BE49-F238E27FC236}">
                <a16:creationId xmlns:a16="http://schemas.microsoft.com/office/drawing/2014/main" id="{64FE7D7A-058D-4142-BEA2-54BF3F3D9EE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7" name="Freeform 93">
            <a:extLst>
              <a:ext uri="{FF2B5EF4-FFF2-40B4-BE49-F238E27FC236}">
                <a16:creationId xmlns:a16="http://schemas.microsoft.com/office/drawing/2014/main" id="{81D82182-4062-44DD-B52C-F0103D44F41F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38" name="Freeform 94">
            <a:extLst>
              <a:ext uri="{FF2B5EF4-FFF2-40B4-BE49-F238E27FC236}">
                <a16:creationId xmlns:a16="http://schemas.microsoft.com/office/drawing/2014/main" id="{261A1828-5428-4E63-897C-C303D03C9907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39" name="Line 95">
            <a:extLst>
              <a:ext uri="{FF2B5EF4-FFF2-40B4-BE49-F238E27FC236}">
                <a16:creationId xmlns:a16="http://schemas.microsoft.com/office/drawing/2014/main" id="{40AC9BA2-3D2A-4A9D-BEB1-44ED00D26F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40" name="Freeform 96">
            <a:extLst>
              <a:ext uri="{FF2B5EF4-FFF2-40B4-BE49-F238E27FC236}">
                <a16:creationId xmlns:a16="http://schemas.microsoft.com/office/drawing/2014/main" id="{1F3FF0C8-356E-452B-9F9F-93A333B59449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571500</xdr:rowOff>
    </xdr:from>
    <xdr:to>
      <xdr:col>6</xdr:col>
      <xdr:colOff>38100</xdr:colOff>
      <xdr:row>15</xdr:row>
      <xdr:rowOff>752475</xdr:rowOff>
    </xdr:to>
    <xdr:grpSp>
      <xdr:nvGrpSpPr>
        <xdr:cNvPr id="5609" name="Group 97">
          <a:extLst>
            <a:ext uri="{FF2B5EF4-FFF2-40B4-BE49-F238E27FC236}">
              <a16:creationId xmlns:a16="http://schemas.microsoft.com/office/drawing/2014/main" id="{D09193AB-49C2-4859-82E7-CD2B6FA7BB29}"/>
            </a:ext>
          </a:extLst>
        </xdr:cNvPr>
        <xdr:cNvGrpSpPr>
          <a:grpSpLocks/>
        </xdr:cNvGrpSpPr>
      </xdr:nvGrpSpPr>
      <xdr:grpSpPr bwMode="auto">
        <a:xfrm>
          <a:off x="1524000" y="5686425"/>
          <a:ext cx="457200" cy="180975"/>
          <a:chOff x="114" y="602"/>
          <a:chExt cx="48" cy="19"/>
        </a:xfrm>
      </xdr:grpSpPr>
      <xdr:sp macro="" textlink="">
        <xdr:nvSpPr>
          <xdr:cNvPr id="5631" name="Line 98">
            <a:extLst>
              <a:ext uri="{FF2B5EF4-FFF2-40B4-BE49-F238E27FC236}">
                <a16:creationId xmlns:a16="http://schemas.microsoft.com/office/drawing/2014/main" id="{A4932836-50B5-4E81-A93E-DB0D938793F4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2" name="Freeform 99">
            <a:extLst>
              <a:ext uri="{FF2B5EF4-FFF2-40B4-BE49-F238E27FC236}">
                <a16:creationId xmlns:a16="http://schemas.microsoft.com/office/drawing/2014/main" id="{3F0E97A5-292A-40F2-AC64-4219C0212395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33" name="Freeform 100">
            <a:extLst>
              <a:ext uri="{FF2B5EF4-FFF2-40B4-BE49-F238E27FC236}">
                <a16:creationId xmlns:a16="http://schemas.microsoft.com/office/drawing/2014/main" id="{CEC5BAC1-C5F4-486A-B26A-C82AE8948C70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34" name="Line 101">
            <a:extLst>
              <a:ext uri="{FF2B5EF4-FFF2-40B4-BE49-F238E27FC236}">
                <a16:creationId xmlns:a16="http://schemas.microsoft.com/office/drawing/2014/main" id="{D2620B6E-FE50-4808-8FDE-C11852021D91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5" name="Freeform 102">
            <a:extLst>
              <a:ext uri="{FF2B5EF4-FFF2-40B4-BE49-F238E27FC236}">
                <a16:creationId xmlns:a16="http://schemas.microsoft.com/office/drawing/2014/main" id="{669847FD-BF56-4C75-BF8A-43D3EFEE7C56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933450</xdr:rowOff>
    </xdr:from>
    <xdr:to>
      <xdr:col>6</xdr:col>
      <xdr:colOff>38100</xdr:colOff>
      <xdr:row>15</xdr:row>
      <xdr:rowOff>1114425</xdr:rowOff>
    </xdr:to>
    <xdr:grpSp>
      <xdr:nvGrpSpPr>
        <xdr:cNvPr id="5610" name="Group 103">
          <a:extLst>
            <a:ext uri="{FF2B5EF4-FFF2-40B4-BE49-F238E27FC236}">
              <a16:creationId xmlns:a16="http://schemas.microsoft.com/office/drawing/2014/main" id="{7FF85C39-BA1E-4EC3-B3C6-7B015C688131}"/>
            </a:ext>
          </a:extLst>
        </xdr:cNvPr>
        <xdr:cNvGrpSpPr>
          <a:grpSpLocks/>
        </xdr:cNvGrpSpPr>
      </xdr:nvGrpSpPr>
      <xdr:grpSpPr bwMode="auto">
        <a:xfrm>
          <a:off x="1524000" y="6048375"/>
          <a:ext cx="457200" cy="180975"/>
          <a:chOff x="114" y="640"/>
          <a:chExt cx="48" cy="19"/>
        </a:xfrm>
      </xdr:grpSpPr>
      <xdr:sp macro="" textlink="">
        <xdr:nvSpPr>
          <xdr:cNvPr id="5626" name="Line 104">
            <a:extLst>
              <a:ext uri="{FF2B5EF4-FFF2-40B4-BE49-F238E27FC236}">
                <a16:creationId xmlns:a16="http://schemas.microsoft.com/office/drawing/2014/main" id="{0D689A34-EB4E-4307-8E8E-52BCBCB498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7" name="Freeform 105">
            <a:extLst>
              <a:ext uri="{FF2B5EF4-FFF2-40B4-BE49-F238E27FC236}">
                <a16:creationId xmlns:a16="http://schemas.microsoft.com/office/drawing/2014/main" id="{FFB8B47B-775F-4619-93EE-A17DE6E4E758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28" name="Freeform 106">
            <a:extLst>
              <a:ext uri="{FF2B5EF4-FFF2-40B4-BE49-F238E27FC236}">
                <a16:creationId xmlns:a16="http://schemas.microsoft.com/office/drawing/2014/main" id="{1F3547A9-7891-432C-A59C-F1937E363CFA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29" name="Line 107">
            <a:extLst>
              <a:ext uri="{FF2B5EF4-FFF2-40B4-BE49-F238E27FC236}">
                <a16:creationId xmlns:a16="http://schemas.microsoft.com/office/drawing/2014/main" id="{C77C43F6-2211-432D-8F59-98A4252DA26E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30" name="Freeform 108">
            <a:extLst>
              <a:ext uri="{FF2B5EF4-FFF2-40B4-BE49-F238E27FC236}">
                <a16:creationId xmlns:a16="http://schemas.microsoft.com/office/drawing/2014/main" id="{78853E8E-8107-4848-A36A-B09C1684F56E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15</xdr:row>
      <xdr:rowOff>447675</xdr:rowOff>
    </xdr:from>
    <xdr:to>
      <xdr:col>11</xdr:col>
      <xdr:colOff>295275</xdr:colOff>
      <xdr:row>15</xdr:row>
      <xdr:rowOff>600075</xdr:rowOff>
    </xdr:to>
    <xdr:grpSp>
      <xdr:nvGrpSpPr>
        <xdr:cNvPr id="5611" name="Group 109">
          <a:extLst>
            <a:ext uri="{FF2B5EF4-FFF2-40B4-BE49-F238E27FC236}">
              <a16:creationId xmlns:a16="http://schemas.microsoft.com/office/drawing/2014/main" id="{E55341C2-5C3B-459E-84AD-D17DE8E1EC87}"/>
            </a:ext>
          </a:extLst>
        </xdr:cNvPr>
        <xdr:cNvGrpSpPr>
          <a:grpSpLocks/>
        </xdr:cNvGrpSpPr>
      </xdr:nvGrpSpPr>
      <xdr:grpSpPr bwMode="auto">
        <a:xfrm flipV="1">
          <a:off x="3543300" y="5562600"/>
          <a:ext cx="266700" cy="152400"/>
          <a:chOff x="248" y="601"/>
          <a:chExt cx="28" cy="16"/>
        </a:xfrm>
      </xdr:grpSpPr>
      <xdr:sp macro="" textlink="">
        <xdr:nvSpPr>
          <xdr:cNvPr id="5622" name="Line 110">
            <a:extLst>
              <a:ext uri="{FF2B5EF4-FFF2-40B4-BE49-F238E27FC236}">
                <a16:creationId xmlns:a16="http://schemas.microsoft.com/office/drawing/2014/main" id="{D79E9116-259B-427B-BADC-A6BFF3B83D5E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3" name="Freeform 111">
            <a:extLst>
              <a:ext uri="{FF2B5EF4-FFF2-40B4-BE49-F238E27FC236}">
                <a16:creationId xmlns:a16="http://schemas.microsoft.com/office/drawing/2014/main" id="{0340B717-A706-45B7-AA36-AD226134F7EB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24" name="Line 112">
            <a:extLst>
              <a:ext uri="{FF2B5EF4-FFF2-40B4-BE49-F238E27FC236}">
                <a16:creationId xmlns:a16="http://schemas.microsoft.com/office/drawing/2014/main" id="{36C55D0C-72C7-4D0C-A1DD-5C753ED45905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25" name="Freeform 113">
            <a:extLst>
              <a:ext uri="{FF2B5EF4-FFF2-40B4-BE49-F238E27FC236}">
                <a16:creationId xmlns:a16="http://schemas.microsoft.com/office/drawing/2014/main" id="{0D10E717-9C7A-4B26-B872-9343214A6671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22225</xdr:colOff>
      <xdr:row>10</xdr:row>
      <xdr:rowOff>28575</xdr:rowOff>
    </xdr:from>
    <xdr:ext cx="1190514" cy="636516"/>
    <xdr:sp macro="" textlink="">
      <xdr:nvSpPr>
        <xdr:cNvPr id="107" name="Text Box 114">
          <a:extLst>
            <a:ext uri="{FF2B5EF4-FFF2-40B4-BE49-F238E27FC236}">
              <a16:creationId xmlns:a16="http://schemas.microsoft.com/office/drawing/2014/main" id="{885FE899-9FF5-41A3-AF72-289B62023060}"/>
            </a:ext>
          </a:extLst>
        </xdr:cNvPr>
        <xdr:cNvSpPr txBox="1">
          <a:spLocks noChangeArrowheads="1"/>
        </xdr:cNvSpPr>
      </xdr:nvSpPr>
      <xdr:spPr bwMode="auto">
        <a:xfrm>
          <a:off x="22225" y="4000500"/>
          <a:ext cx="1190514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その他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シリアル／パス端子</a:t>
          </a:r>
        </a:p>
      </xdr:txBody>
    </xdr:sp>
    <xdr:clientData/>
  </xdr:oneCellAnchor>
  <xdr:oneCellAnchor>
    <xdr:from>
      <xdr:col>12</xdr:col>
      <xdr:colOff>269875</xdr:colOff>
      <xdr:row>15</xdr:row>
      <xdr:rowOff>1181099</xdr:rowOff>
    </xdr:from>
    <xdr:ext cx="361244" cy="222744"/>
    <xdr:sp macro="" textlink="">
      <xdr:nvSpPr>
        <xdr:cNvPr id="108" name="Text Box 116">
          <a:extLst>
            <a:ext uri="{FF2B5EF4-FFF2-40B4-BE49-F238E27FC236}">
              <a16:creationId xmlns:a16="http://schemas.microsoft.com/office/drawing/2014/main" id="{A3651118-04D5-4E10-B0D6-6A1AB4247A37}"/>
            </a:ext>
          </a:extLst>
        </xdr:cNvPr>
        <xdr:cNvSpPr txBox="1">
          <a:spLocks noChangeArrowheads="1"/>
        </xdr:cNvSpPr>
      </xdr:nvSpPr>
      <xdr:spPr bwMode="auto">
        <a:xfrm>
          <a:off x="4098925" y="6296024"/>
          <a:ext cx="361244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17.6m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 editAs="oneCell">
    <xdr:from>
      <xdr:col>21</xdr:col>
      <xdr:colOff>47625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5614" name="Picture 117" descr="北マーク（北東）">
          <a:extLst>
            <a:ext uri="{FF2B5EF4-FFF2-40B4-BE49-F238E27FC236}">
              <a16:creationId xmlns:a16="http://schemas.microsoft.com/office/drawing/2014/main" id="{7C003556-476C-4674-B0D0-81D58FF34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269875</xdr:colOff>
      <xdr:row>3</xdr:row>
      <xdr:rowOff>98425</xdr:rowOff>
    </xdr:from>
    <xdr:to>
      <xdr:col>21</xdr:col>
      <xdr:colOff>209643</xdr:colOff>
      <xdr:row>7</xdr:row>
      <xdr:rowOff>777881</xdr:rowOff>
    </xdr:to>
    <xdr:sp macro="" textlink="">
      <xdr:nvSpPr>
        <xdr:cNvPr id="110" name="Text Box 118">
          <a:extLst>
            <a:ext uri="{FF2B5EF4-FFF2-40B4-BE49-F238E27FC236}">
              <a16:creationId xmlns:a16="http://schemas.microsoft.com/office/drawing/2014/main" id="{1515AECE-54A0-4D0B-B459-F56FD8786D1B}"/>
            </a:ext>
          </a:extLst>
        </xdr:cNvPr>
        <xdr:cNvSpPr txBox="1">
          <a:spLocks noChangeArrowheads="1"/>
        </xdr:cNvSpPr>
      </xdr:nvSpPr>
      <xdr:spPr bwMode="auto">
        <a:xfrm>
          <a:off x="6619875" y="8286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60325</xdr:colOff>
      <xdr:row>8</xdr:row>
      <xdr:rowOff>0</xdr:rowOff>
    </xdr:from>
    <xdr:to>
      <xdr:col>10</xdr:col>
      <xdr:colOff>231775</xdr:colOff>
      <xdr:row>9</xdr:row>
      <xdr:rowOff>38100</xdr:rowOff>
    </xdr:to>
    <xdr:sp macro="" textlink="">
      <xdr:nvSpPr>
        <xdr:cNvPr id="111" name="Text Box 119">
          <a:extLst>
            <a:ext uri="{FF2B5EF4-FFF2-40B4-BE49-F238E27FC236}">
              <a16:creationId xmlns:a16="http://schemas.microsoft.com/office/drawing/2014/main" id="{AAD4A583-6990-4EAB-9665-78FD0FADE301}"/>
            </a:ext>
          </a:extLst>
        </xdr:cNvPr>
        <xdr:cNvSpPr txBox="1">
          <a:spLocks noChangeArrowheads="1"/>
        </xdr:cNvSpPr>
      </xdr:nvSpPr>
      <xdr:spPr bwMode="auto">
        <a:xfrm>
          <a:off x="1695450" y="3514725"/>
          <a:ext cx="17430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警固屋</a:t>
          </a:r>
        </a:p>
      </xdr:txBody>
    </xdr:sp>
    <xdr:clientData/>
  </xdr:twoCellAnchor>
  <xdr:twoCellAnchor>
    <xdr:from>
      <xdr:col>17</xdr:col>
      <xdr:colOff>60325</xdr:colOff>
      <xdr:row>3</xdr:row>
      <xdr:rowOff>19050</xdr:rowOff>
    </xdr:from>
    <xdr:to>
      <xdr:col>18</xdr:col>
      <xdr:colOff>143201</xdr:colOff>
      <xdr:row>3</xdr:row>
      <xdr:rowOff>155713</xdr:rowOff>
    </xdr:to>
    <xdr:sp macro="" textlink="">
      <xdr:nvSpPr>
        <xdr:cNvPr id="112" name="Text Box 120">
          <a:extLst>
            <a:ext uri="{FF2B5EF4-FFF2-40B4-BE49-F238E27FC236}">
              <a16:creationId xmlns:a16="http://schemas.microsoft.com/office/drawing/2014/main" id="{306CC468-37EE-4B7E-9515-DB1388DDC7A5}"/>
            </a:ext>
          </a:extLst>
        </xdr:cNvPr>
        <xdr:cNvSpPr txBox="1">
          <a:spLocks noChangeArrowheads="1"/>
        </xdr:cNvSpPr>
      </xdr:nvSpPr>
      <xdr:spPr bwMode="auto">
        <a:xfrm>
          <a:off x="5467350" y="7429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161925</xdr:colOff>
      <xdr:row>7</xdr:row>
      <xdr:rowOff>514350</xdr:rowOff>
    </xdr:from>
    <xdr:to>
      <xdr:col>20</xdr:col>
      <xdr:colOff>231775</xdr:colOff>
      <xdr:row>7</xdr:row>
      <xdr:rowOff>657225</xdr:rowOff>
    </xdr:to>
    <xdr:sp macro="" textlink="">
      <xdr:nvSpPr>
        <xdr:cNvPr id="113" name="Text Box 121">
          <a:extLst>
            <a:ext uri="{FF2B5EF4-FFF2-40B4-BE49-F238E27FC236}">
              <a16:creationId xmlns:a16="http://schemas.microsoft.com/office/drawing/2014/main" id="{52CCA298-2FD3-4468-829A-32228DD1817C}"/>
            </a:ext>
          </a:extLst>
        </xdr:cNvPr>
        <xdr:cNvSpPr txBox="1">
          <a:spLocks noChangeArrowheads="1"/>
        </xdr:cNvSpPr>
      </xdr:nvSpPr>
      <xdr:spPr bwMode="auto">
        <a:xfrm>
          <a:off x="6191250" y="21526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oneCellAnchor>
    <xdr:from>
      <xdr:col>10</xdr:col>
      <xdr:colOff>22225</xdr:colOff>
      <xdr:row>6</xdr:row>
      <xdr:rowOff>152400</xdr:rowOff>
    </xdr:from>
    <xdr:ext cx="326308" cy="275717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A6B29393-A6F8-4D0C-8509-BEBD62E15790}"/>
            </a:ext>
          </a:extLst>
        </xdr:cNvPr>
        <xdr:cNvSpPr txBox="1"/>
      </xdr:nvSpPr>
      <xdr:spPr>
        <a:xfrm>
          <a:off x="3222625" y="1562100"/>
          <a:ext cx="326308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ysClr val="windowText" lastClr="000000"/>
              </a:solidFill>
            </a:rPr>
            <a:t>×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3175</xdr:colOff>
      <xdr:row>15</xdr:row>
      <xdr:rowOff>76199</xdr:rowOff>
    </xdr:from>
    <xdr:ext cx="361244" cy="222744"/>
    <xdr:sp macro="" textlink="">
      <xdr:nvSpPr>
        <xdr:cNvPr id="115" name="Text Box 116">
          <a:extLst>
            <a:ext uri="{FF2B5EF4-FFF2-40B4-BE49-F238E27FC236}">
              <a16:creationId xmlns:a16="http://schemas.microsoft.com/office/drawing/2014/main" id="{C2F16AC7-A127-486E-A736-A24A1DAEE0AB}"/>
            </a:ext>
          </a:extLst>
        </xdr:cNvPr>
        <xdr:cNvSpPr txBox="1">
          <a:spLocks noChangeArrowheads="1"/>
        </xdr:cNvSpPr>
      </xdr:nvSpPr>
      <xdr:spPr bwMode="auto">
        <a:xfrm>
          <a:off x="2260600" y="5191124"/>
          <a:ext cx="361244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16.8m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7</xdr:col>
      <xdr:colOff>168275</xdr:colOff>
      <xdr:row>7</xdr:row>
      <xdr:rowOff>777875</xdr:rowOff>
    </xdr:from>
    <xdr:ext cx="326308" cy="275717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F05D74F0-09AA-4781-9C2A-92660704EA3E}"/>
            </a:ext>
          </a:extLst>
        </xdr:cNvPr>
        <xdr:cNvSpPr txBox="1"/>
      </xdr:nvSpPr>
      <xdr:spPr>
        <a:xfrm>
          <a:off x="2425700" y="2416175"/>
          <a:ext cx="326308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ysClr val="windowText" lastClr="000000"/>
              </a:solidFill>
            </a:rPr>
            <a:t>×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20</xdr:col>
      <xdr:colOff>247650</xdr:colOff>
      <xdr:row>7</xdr:row>
      <xdr:rowOff>1847850</xdr:rowOff>
    </xdr:to>
    <xdr:pic>
      <xdr:nvPicPr>
        <xdr:cNvPr id="4786" name="Picture 1" descr="20060">
          <a:extLst>
            <a:ext uri="{FF2B5EF4-FFF2-40B4-BE49-F238E27FC236}">
              <a16:creationId xmlns:a16="http://schemas.microsoft.com/office/drawing/2014/main" id="{BB2BBE3C-D2AA-414D-B917-90C48879F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733425"/>
          <a:ext cx="5086350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15</xdr:row>
      <xdr:rowOff>561975</xdr:rowOff>
    </xdr:from>
    <xdr:to>
      <xdr:col>10</xdr:col>
      <xdr:colOff>28575</xdr:colOff>
      <xdr:row>15</xdr:row>
      <xdr:rowOff>1304925</xdr:rowOff>
    </xdr:to>
    <xdr:grpSp>
      <xdr:nvGrpSpPr>
        <xdr:cNvPr id="4787" name="Group 2">
          <a:extLst>
            <a:ext uri="{FF2B5EF4-FFF2-40B4-BE49-F238E27FC236}">
              <a16:creationId xmlns:a16="http://schemas.microsoft.com/office/drawing/2014/main" id="{4C3E83A1-C0F9-4A92-BE12-02CF180A557E}"/>
            </a:ext>
          </a:extLst>
        </xdr:cNvPr>
        <xdr:cNvGrpSpPr>
          <a:grpSpLocks/>
        </xdr:cNvGrpSpPr>
      </xdr:nvGrpSpPr>
      <xdr:grpSpPr bwMode="auto">
        <a:xfrm flipH="1" flipV="1">
          <a:off x="2924175" y="5676900"/>
          <a:ext cx="304800" cy="742950"/>
          <a:chOff x="424" y="565"/>
          <a:chExt cx="32" cy="78"/>
        </a:xfrm>
      </xdr:grpSpPr>
      <xdr:sp macro="" textlink="">
        <xdr:nvSpPr>
          <xdr:cNvPr id="4894" name="Line 3">
            <a:extLst>
              <a:ext uri="{FF2B5EF4-FFF2-40B4-BE49-F238E27FC236}">
                <a16:creationId xmlns:a16="http://schemas.microsoft.com/office/drawing/2014/main" id="{06A09CF9-2259-42A4-8F9B-FF79114D6D7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5" name="Freeform 4">
            <a:extLst>
              <a:ext uri="{FF2B5EF4-FFF2-40B4-BE49-F238E27FC236}">
                <a16:creationId xmlns:a16="http://schemas.microsoft.com/office/drawing/2014/main" id="{3381FA80-C14C-47EB-95D2-BE096FF99995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96" name="Line 5">
            <a:extLst>
              <a:ext uri="{FF2B5EF4-FFF2-40B4-BE49-F238E27FC236}">
                <a16:creationId xmlns:a16="http://schemas.microsoft.com/office/drawing/2014/main" id="{BC2DD850-00A5-4026-A1D5-5A3ADAB3736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7" name="Freeform 6">
            <a:extLst>
              <a:ext uri="{FF2B5EF4-FFF2-40B4-BE49-F238E27FC236}">
                <a16:creationId xmlns:a16="http://schemas.microsoft.com/office/drawing/2014/main" id="{0D51E72F-565C-4478-885D-7CC3BA3F14F2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98" name="Freeform 7">
            <a:extLst>
              <a:ext uri="{FF2B5EF4-FFF2-40B4-BE49-F238E27FC236}">
                <a16:creationId xmlns:a16="http://schemas.microsoft.com/office/drawing/2014/main" id="{48616ABC-689D-428E-A594-DB2BA2B212BD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99" name="Line 8">
            <a:extLst>
              <a:ext uri="{FF2B5EF4-FFF2-40B4-BE49-F238E27FC236}">
                <a16:creationId xmlns:a16="http://schemas.microsoft.com/office/drawing/2014/main" id="{41C35E7F-F3F1-4CB0-98E2-A4F0E1C41E3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00" name="Freeform 9">
            <a:extLst>
              <a:ext uri="{FF2B5EF4-FFF2-40B4-BE49-F238E27FC236}">
                <a16:creationId xmlns:a16="http://schemas.microsoft.com/office/drawing/2014/main" id="{8B2E5DF5-D0B9-4183-BA2A-358E60444D97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15</xdr:row>
      <xdr:rowOff>9525</xdr:rowOff>
    </xdr:from>
    <xdr:to>
      <xdr:col>2</xdr:col>
      <xdr:colOff>228600</xdr:colOff>
      <xdr:row>15</xdr:row>
      <xdr:rowOff>1546225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6D332452-0D41-407C-83A0-179D5CD8E868}"/>
            </a:ext>
          </a:extLst>
        </xdr:cNvPr>
        <xdr:cNvSpPr txBox="1">
          <a:spLocks noChangeArrowheads="1"/>
        </xdr:cNvSpPr>
      </xdr:nvSpPr>
      <xdr:spPr bwMode="auto">
        <a:xfrm>
          <a:off x="228600" y="5124450"/>
          <a:ext cx="742950" cy="1543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4789" name="Group 11">
          <a:extLst>
            <a:ext uri="{FF2B5EF4-FFF2-40B4-BE49-F238E27FC236}">
              <a16:creationId xmlns:a16="http://schemas.microsoft.com/office/drawing/2014/main" id="{30C37867-1004-4783-9839-18D569E3C285}"/>
            </a:ext>
          </a:extLst>
        </xdr:cNvPr>
        <xdr:cNvGrpSpPr>
          <a:grpSpLocks/>
        </xdr:cNvGrpSpPr>
      </xdr:nvGrpSpPr>
      <xdr:grpSpPr bwMode="auto">
        <a:xfrm>
          <a:off x="1952625" y="6800850"/>
          <a:ext cx="2514600" cy="47625"/>
          <a:chOff x="158" y="715"/>
          <a:chExt cx="33" cy="5"/>
        </a:xfrm>
      </xdr:grpSpPr>
      <xdr:sp macro="" textlink="">
        <xdr:nvSpPr>
          <xdr:cNvPr id="4892" name="Line 12">
            <a:extLst>
              <a:ext uri="{FF2B5EF4-FFF2-40B4-BE49-F238E27FC236}">
                <a16:creationId xmlns:a16="http://schemas.microsoft.com/office/drawing/2014/main" id="{322502F0-0504-408F-BB1F-29F6A26A67C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3" name="Line 13">
            <a:extLst>
              <a:ext uri="{FF2B5EF4-FFF2-40B4-BE49-F238E27FC236}">
                <a16:creationId xmlns:a16="http://schemas.microsoft.com/office/drawing/2014/main" id="{04C4F5F3-ABAA-4FB3-A617-0729A667422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4790" name="Group 14">
          <a:extLst>
            <a:ext uri="{FF2B5EF4-FFF2-40B4-BE49-F238E27FC236}">
              <a16:creationId xmlns:a16="http://schemas.microsoft.com/office/drawing/2014/main" id="{97C5E8F4-5A9C-4859-A752-82C032F65A2A}"/>
            </a:ext>
          </a:extLst>
        </xdr:cNvPr>
        <xdr:cNvGrpSpPr>
          <a:grpSpLocks/>
        </xdr:cNvGrpSpPr>
      </xdr:nvGrpSpPr>
      <xdr:grpSpPr bwMode="auto">
        <a:xfrm>
          <a:off x="2581275" y="7019925"/>
          <a:ext cx="1885950" cy="47625"/>
          <a:chOff x="158" y="715"/>
          <a:chExt cx="33" cy="5"/>
        </a:xfrm>
      </xdr:grpSpPr>
      <xdr:sp macro="" textlink="">
        <xdr:nvSpPr>
          <xdr:cNvPr id="4890" name="Line 15">
            <a:extLst>
              <a:ext uri="{FF2B5EF4-FFF2-40B4-BE49-F238E27FC236}">
                <a16:creationId xmlns:a16="http://schemas.microsoft.com/office/drawing/2014/main" id="{481E7928-F4E1-4F41-B78B-8E83D927D5A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91" name="Line 16">
            <a:extLst>
              <a:ext uri="{FF2B5EF4-FFF2-40B4-BE49-F238E27FC236}">
                <a16:creationId xmlns:a16="http://schemas.microsoft.com/office/drawing/2014/main" id="{EF047FA4-BB79-4595-9D41-0A5960B99E5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4791" name="Group 17">
          <a:extLst>
            <a:ext uri="{FF2B5EF4-FFF2-40B4-BE49-F238E27FC236}">
              <a16:creationId xmlns:a16="http://schemas.microsoft.com/office/drawing/2014/main" id="{8EB981EC-D682-432C-8F4E-B4A2DA7915BE}"/>
            </a:ext>
          </a:extLst>
        </xdr:cNvPr>
        <xdr:cNvGrpSpPr>
          <a:grpSpLocks/>
        </xdr:cNvGrpSpPr>
      </xdr:nvGrpSpPr>
      <xdr:grpSpPr bwMode="auto">
        <a:xfrm>
          <a:off x="1676400" y="6734175"/>
          <a:ext cx="219075" cy="152400"/>
          <a:chOff x="132" y="708"/>
          <a:chExt cx="20" cy="14"/>
        </a:xfrm>
      </xdr:grpSpPr>
      <xdr:sp macro="" textlink="">
        <xdr:nvSpPr>
          <xdr:cNvPr id="4886" name="Line 18">
            <a:extLst>
              <a:ext uri="{FF2B5EF4-FFF2-40B4-BE49-F238E27FC236}">
                <a16:creationId xmlns:a16="http://schemas.microsoft.com/office/drawing/2014/main" id="{766903A7-DC94-493F-B54F-D5E0ADAC04D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7" name="Line 19">
            <a:extLst>
              <a:ext uri="{FF2B5EF4-FFF2-40B4-BE49-F238E27FC236}">
                <a16:creationId xmlns:a16="http://schemas.microsoft.com/office/drawing/2014/main" id="{A5B56D53-681B-4056-86CD-A3C68A0CDA3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8" name="Line 20">
            <a:extLst>
              <a:ext uri="{FF2B5EF4-FFF2-40B4-BE49-F238E27FC236}">
                <a16:creationId xmlns:a16="http://schemas.microsoft.com/office/drawing/2014/main" id="{6EB5634B-F151-48C6-A00A-356CB80299B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9" name="Line 21">
            <a:extLst>
              <a:ext uri="{FF2B5EF4-FFF2-40B4-BE49-F238E27FC236}">
                <a16:creationId xmlns:a16="http://schemas.microsoft.com/office/drawing/2014/main" id="{C28FBE10-F68F-479F-B6FE-13AFBC7B564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4792" name="Line 22">
          <a:extLst>
            <a:ext uri="{FF2B5EF4-FFF2-40B4-BE49-F238E27FC236}">
              <a16:creationId xmlns:a16="http://schemas.microsoft.com/office/drawing/2014/main" id="{33E7FD7A-A289-45FA-829A-7BDA38C4B02D}"/>
            </a:ext>
          </a:extLst>
        </xdr:cNvPr>
        <xdr:cNvSpPr>
          <a:spLocks noChangeShapeType="1"/>
        </xdr:cNvSpPr>
      </xdr:nvSpPr>
      <xdr:spPr bwMode="auto">
        <a:xfrm>
          <a:off x="131445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4793" name="Freeform 23">
          <a:extLst>
            <a:ext uri="{FF2B5EF4-FFF2-40B4-BE49-F238E27FC236}">
              <a16:creationId xmlns:a16="http://schemas.microsoft.com/office/drawing/2014/main" id="{39E8E2BF-F993-461A-8A91-E62BAE32B34E}"/>
            </a:ext>
          </a:extLst>
        </xdr:cNvPr>
        <xdr:cNvSpPr>
          <a:spLocks/>
        </xdr:cNvSpPr>
      </xdr:nvSpPr>
      <xdr:spPr bwMode="auto">
        <a:xfrm>
          <a:off x="226695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4794" name="Line 24">
          <a:extLst>
            <a:ext uri="{FF2B5EF4-FFF2-40B4-BE49-F238E27FC236}">
              <a16:creationId xmlns:a16="http://schemas.microsoft.com/office/drawing/2014/main" id="{55481F31-7728-4836-A6BD-8EEEAF8B04E4}"/>
            </a:ext>
          </a:extLst>
        </xdr:cNvPr>
        <xdr:cNvSpPr>
          <a:spLocks noChangeShapeType="1"/>
        </xdr:cNvSpPr>
      </xdr:nvSpPr>
      <xdr:spPr bwMode="auto">
        <a:xfrm>
          <a:off x="131445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15</xdr:row>
      <xdr:rowOff>419100</xdr:rowOff>
    </xdr:from>
    <xdr:to>
      <xdr:col>13</xdr:col>
      <xdr:colOff>180975</xdr:colOff>
      <xdr:row>15</xdr:row>
      <xdr:rowOff>1152525</xdr:rowOff>
    </xdr:to>
    <xdr:grpSp>
      <xdr:nvGrpSpPr>
        <xdr:cNvPr id="4795" name="Group 25">
          <a:extLst>
            <a:ext uri="{FF2B5EF4-FFF2-40B4-BE49-F238E27FC236}">
              <a16:creationId xmlns:a16="http://schemas.microsoft.com/office/drawing/2014/main" id="{629EB25F-62AA-483B-AF44-524286C92A33}"/>
            </a:ext>
          </a:extLst>
        </xdr:cNvPr>
        <xdr:cNvGrpSpPr>
          <a:grpSpLocks/>
        </xdr:cNvGrpSpPr>
      </xdr:nvGrpSpPr>
      <xdr:grpSpPr bwMode="auto">
        <a:xfrm rot="5400000">
          <a:off x="3929062" y="5872163"/>
          <a:ext cx="733425" cy="57150"/>
          <a:chOff x="123" y="549"/>
          <a:chExt cx="77" cy="6"/>
        </a:xfrm>
      </xdr:grpSpPr>
      <xdr:sp macro="" textlink="">
        <xdr:nvSpPr>
          <xdr:cNvPr id="4883" name="Line 26">
            <a:extLst>
              <a:ext uri="{FF2B5EF4-FFF2-40B4-BE49-F238E27FC236}">
                <a16:creationId xmlns:a16="http://schemas.microsoft.com/office/drawing/2014/main" id="{253CC022-0B01-443A-9F62-FA2DD164C52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4" name="Freeform 27">
            <a:extLst>
              <a:ext uri="{FF2B5EF4-FFF2-40B4-BE49-F238E27FC236}">
                <a16:creationId xmlns:a16="http://schemas.microsoft.com/office/drawing/2014/main" id="{7E754734-15CD-4C4E-8872-E3930C31FD7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85" name="Freeform 28">
            <a:extLst>
              <a:ext uri="{FF2B5EF4-FFF2-40B4-BE49-F238E27FC236}">
                <a16:creationId xmlns:a16="http://schemas.microsoft.com/office/drawing/2014/main" id="{C43868B1-30F2-4ECE-AED5-9374DA95AD9A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18</xdr:row>
      <xdr:rowOff>47625</xdr:rowOff>
    </xdr:from>
    <xdr:to>
      <xdr:col>7</xdr:col>
      <xdr:colOff>304800</xdr:colOff>
      <xdr:row>18</xdr:row>
      <xdr:rowOff>190500</xdr:rowOff>
    </xdr:to>
    <xdr:sp macro="" textlink="">
      <xdr:nvSpPr>
        <xdr:cNvPr id="4796" name="Freeform 33">
          <a:extLst>
            <a:ext uri="{FF2B5EF4-FFF2-40B4-BE49-F238E27FC236}">
              <a16:creationId xmlns:a16="http://schemas.microsoft.com/office/drawing/2014/main" id="{C85FAD46-CE10-46F7-9592-40B270225B46}"/>
            </a:ext>
          </a:extLst>
        </xdr:cNvPr>
        <xdr:cNvSpPr>
          <a:spLocks/>
        </xdr:cNvSpPr>
      </xdr:nvSpPr>
      <xdr:spPr bwMode="auto">
        <a:xfrm>
          <a:off x="226695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4797" name="Line 34">
          <a:extLst>
            <a:ext uri="{FF2B5EF4-FFF2-40B4-BE49-F238E27FC236}">
              <a16:creationId xmlns:a16="http://schemas.microsoft.com/office/drawing/2014/main" id="{72B242AC-021B-4320-ADEB-D7CD5F965B10}"/>
            </a:ext>
          </a:extLst>
        </xdr:cNvPr>
        <xdr:cNvSpPr>
          <a:spLocks noChangeShapeType="1"/>
        </xdr:cNvSpPr>
      </xdr:nvSpPr>
      <xdr:spPr bwMode="auto">
        <a:xfrm>
          <a:off x="131445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18</xdr:row>
      <xdr:rowOff>47625</xdr:rowOff>
    </xdr:from>
    <xdr:to>
      <xdr:col>12</xdr:col>
      <xdr:colOff>304800</xdr:colOff>
      <xdr:row>18</xdr:row>
      <xdr:rowOff>190500</xdr:rowOff>
    </xdr:to>
    <xdr:sp macro="" textlink="">
      <xdr:nvSpPr>
        <xdr:cNvPr id="4798" name="Freeform 35">
          <a:extLst>
            <a:ext uri="{FF2B5EF4-FFF2-40B4-BE49-F238E27FC236}">
              <a16:creationId xmlns:a16="http://schemas.microsoft.com/office/drawing/2014/main" id="{BDB20454-40B6-4BA0-8347-E0B0ABE8C1EF}"/>
            </a:ext>
          </a:extLst>
        </xdr:cNvPr>
        <xdr:cNvSpPr>
          <a:spLocks/>
        </xdr:cNvSpPr>
      </xdr:nvSpPr>
      <xdr:spPr bwMode="auto">
        <a:xfrm>
          <a:off x="3838575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4799" name="Group 36">
          <a:extLst>
            <a:ext uri="{FF2B5EF4-FFF2-40B4-BE49-F238E27FC236}">
              <a16:creationId xmlns:a16="http://schemas.microsoft.com/office/drawing/2014/main" id="{39FF1287-015A-4544-B0C3-FD973E6339E0}"/>
            </a:ext>
          </a:extLst>
        </xdr:cNvPr>
        <xdr:cNvGrpSpPr>
          <a:grpSpLocks/>
        </xdr:cNvGrpSpPr>
      </xdr:nvGrpSpPr>
      <xdr:grpSpPr bwMode="auto">
        <a:xfrm>
          <a:off x="4143375" y="7248525"/>
          <a:ext cx="314325" cy="47625"/>
          <a:chOff x="158" y="715"/>
          <a:chExt cx="33" cy="5"/>
        </a:xfrm>
      </xdr:grpSpPr>
      <xdr:sp macro="" textlink="">
        <xdr:nvSpPr>
          <xdr:cNvPr id="4881" name="Line 37">
            <a:extLst>
              <a:ext uri="{FF2B5EF4-FFF2-40B4-BE49-F238E27FC236}">
                <a16:creationId xmlns:a16="http://schemas.microsoft.com/office/drawing/2014/main" id="{0670BD4B-0E0D-46CF-B524-20FA89293DA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2" name="Line 38">
            <a:extLst>
              <a:ext uri="{FF2B5EF4-FFF2-40B4-BE49-F238E27FC236}">
                <a16:creationId xmlns:a16="http://schemas.microsoft.com/office/drawing/2014/main" id="{2F73E751-60E5-485B-8AC3-19EBE1CCD72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95250</xdr:rowOff>
    </xdr:from>
    <xdr:to>
      <xdr:col>12</xdr:col>
      <xdr:colOff>0</xdr:colOff>
      <xdr:row>18</xdr:row>
      <xdr:rowOff>142875</xdr:rowOff>
    </xdr:to>
    <xdr:grpSp>
      <xdr:nvGrpSpPr>
        <xdr:cNvPr id="4800" name="Group 39">
          <a:extLst>
            <a:ext uri="{FF2B5EF4-FFF2-40B4-BE49-F238E27FC236}">
              <a16:creationId xmlns:a16="http://schemas.microsoft.com/office/drawing/2014/main" id="{6832B9F6-CE84-424C-AD42-33CAB3FCD101}"/>
            </a:ext>
          </a:extLst>
        </xdr:cNvPr>
        <xdr:cNvGrpSpPr>
          <a:grpSpLocks/>
        </xdr:cNvGrpSpPr>
      </xdr:nvGrpSpPr>
      <xdr:grpSpPr bwMode="auto">
        <a:xfrm>
          <a:off x="2571750" y="7248525"/>
          <a:ext cx="1257300" cy="47625"/>
          <a:chOff x="158" y="715"/>
          <a:chExt cx="33" cy="5"/>
        </a:xfrm>
      </xdr:grpSpPr>
      <xdr:sp macro="" textlink="">
        <xdr:nvSpPr>
          <xdr:cNvPr id="4879" name="Line 40">
            <a:extLst>
              <a:ext uri="{FF2B5EF4-FFF2-40B4-BE49-F238E27FC236}">
                <a16:creationId xmlns:a16="http://schemas.microsoft.com/office/drawing/2014/main" id="{16F731B7-9577-49AB-BD51-B06E2CD5063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80" name="Line 41">
            <a:extLst>
              <a:ext uri="{FF2B5EF4-FFF2-40B4-BE49-F238E27FC236}">
                <a16:creationId xmlns:a16="http://schemas.microsoft.com/office/drawing/2014/main" id="{966440EA-EC6E-4987-AD53-0F336D47311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4801" name="Freeform 42">
          <a:extLst>
            <a:ext uri="{FF2B5EF4-FFF2-40B4-BE49-F238E27FC236}">
              <a16:creationId xmlns:a16="http://schemas.microsoft.com/office/drawing/2014/main" id="{2CC31E2C-6378-4BBC-9881-9143359728B5}"/>
            </a:ext>
          </a:extLst>
        </xdr:cNvPr>
        <xdr:cNvSpPr>
          <a:spLocks/>
        </xdr:cNvSpPr>
      </xdr:nvSpPr>
      <xdr:spPr bwMode="auto">
        <a:xfrm>
          <a:off x="3838575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4802" name="Group 43">
          <a:extLst>
            <a:ext uri="{FF2B5EF4-FFF2-40B4-BE49-F238E27FC236}">
              <a16:creationId xmlns:a16="http://schemas.microsoft.com/office/drawing/2014/main" id="{A6F09A5D-1E92-4785-9DD8-E96FDBABD34B}"/>
            </a:ext>
          </a:extLst>
        </xdr:cNvPr>
        <xdr:cNvGrpSpPr>
          <a:grpSpLocks/>
        </xdr:cNvGrpSpPr>
      </xdr:nvGrpSpPr>
      <xdr:grpSpPr bwMode="auto">
        <a:xfrm>
          <a:off x="3248025" y="7648575"/>
          <a:ext cx="219075" cy="152400"/>
          <a:chOff x="132" y="708"/>
          <a:chExt cx="20" cy="14"/>
        </a:xfrm>
      </xdr:grpSpPr>
      <xdr:sp macro="" textlink="">
        <xdr:nvSpPr>
          <xdr:cNvPr id="4875" name="Line 44">
            <a:extLst>
              <a:ext uri="{FF2B5EF4-FFF2-40B4-BE49-F238E27FC236}">
                <a16:creationId xmlns:a16="http://schemas.microsoft.com/office/drawing/2014/main" id="{06EA3AFC-1AB1-4877-BD8A-E2E1774BB3F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6" name="Line 45">
            <a:extLst>
              <a:ext uri="{FF2B5EF4-FFF2-40B4-BE49-F238E27FC236}">
                <a16:creationId xmlns:a16="http://schemas.microsoft.com/office/drawing/2014/main" id="{041FB12E-D139-4DEA-A621-65F89DA8124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7" name="Line 46">
            <a:extLst>
              <a:ext uri="{FF2B5EF4-FFF2-40B4-BE49-F238E27FC236}">
                <a16:creationId xmlns:a16="http://schemas.microsoft.com/office/drawing/2014/main" id="{A608039D-DF97-4F19-ABD8-98CB70BD4B1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8" name="Line 47">
            <a:extLst>
              <a:ext uri="{FF2B5EF4-FFF2-40B4-BE49-F238E27FC236}">
                <a16:creationId xmlns:a16="http://schemas.microsoft.com/office/drawing/2014/main" id="{4A104921-658D-4A33-8989-371643385F7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4803" name="Group 48">
          <a:extLst>
            <a:ext uri="{FF2B5EF4-FFF2-40B4-BE49-F238E27FC236}">
              <a16:creationId xmlns:a16="http://schemas.microsoft.com/office/drawing/2014/main" id="{F4B6F5BE-4691-40A2-9135-051B9B4A2000}"/>
            </a:ext>
          </a:extLst>
        </xdr:cNvPr>
        <xdr:cNvGrpSpPr>
          <a:grpSpLocks/>
        </xdr:cNvGrpSpPr>
      </xdr:nvGrpSpPr>
      <xdr:grpSpPr bwMode="auto">
        <a:xfrm>
          <a:off x="3514725" y="7705725"/>
          <a:ext cx="942975" cy="47625"/>
          <a:chOff x="158" y="715"/>
          <a:chExt cx="33" cy="5"/>
        </a:xfrm>
      </xdr:grpSpPr>
      <xdr:sp macro="" textlink="">
        <xdr:nvSpPr>
          <xdr:cNvPr id="4873" name="Line 49">
            <a:extLst>
              <a:ext uri="{FF2B5EF4-FFF2-40B4-BE49-F238E27FC236}">
                <a16:creationId xmlns:a16="http://schemas.microsoft.com/office/drawing/2014/main" id="{414E6D1B-C69B-47EF-8482-363B228B21E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4" name="Line 50">
            <a:extLst>
              <a:ext uri="{FF2B5EF4-FFF2-40B4-BE49-F238E27FC236}">
                <a16:creationId xmlns:a16="http://schemas.microsoft.com/office/drawing/2014/main" id="{E683B3D4-E534-4C78-AD36-438B77B240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4804" name="Group 51">
          <a:extLst>
            <a:ext uri="{FF2B5EF4-FFF2-40B4-BE49-F238E27FC236}">
              <a16:creationId xmlns:a16="http://schemas.microsoft.com/office/drawing/2014/main" id="{D716B9C6-4DF8-4B25-9897-CCA304E8C20E}"/>
            </a:ext>
          </a:extLst>
        </xdr:cNvPr>
        <xdr:cNvGrpSpPr>
          <a:grpSpLocks/>
        </xdr:cNvGrpSpPr>
      </xdr:nvGrpSpPr>
      <xdr:grpSpPr bwMode="auto">
        <a:xfrm>
          <a:off x="4143375" y="7934325"/>
          <a:ext cx="314325" cy="47625"/>
          <a:chOff x="158" y="715"/>
          <a:chExt cx="33" cy="5"/>
        </a:xfrm>
      </xdr:grpSpPr>
      <xdr:sp macro="" textlink="">
        <xdr:nvSpPr>
          <xdr:cNvPr id="4871" name="Line 52">
            <a:extLst>
              <a:ext uri="{FF2B5EF4-FFF2-40B4-BE49-F238E27FC236}">
                <a16:creationId xmlns:a16="http://schemas.microsoft.com/office/drawing/2014/main" id="{07F00E1F-30F2-4A9B-99E0-54BBBE6FF66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2" name="Line 53">
            <a:extLst>
              <a:ext uri="{FF2B5EF4-FFF2-40B4-BE49-F238E27FC236}">
                <a16:creationId xmlns:a16="http://schemas.microsoft.com/office/drawing/2014/main" id="{B56319A8-32A4-4C61-B5A9-EB6CEA3AF09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4805" name="Line 54">
          <a:extLst>
            <a:ext uri="{FF2B5EF4-FFF2-40B4-BE49-F238E27FC236}">
              <a16:creationId xmlns:a16="http://schemas.microsoft.com/office/drawing/2014/main" id="{9BE5D103-91AA-4EA7-B835-99C8F77A152C}"/>
            </a:ext>
          </a:extLst>
        </xdr:cNvPr>
        <xdr:cNvSpPr>
          <a:spLocks noChangeShapeType="1"/>
        </xdr:cNvSpPr>
      </xdr:nvSpPr>
      <xdr:spPr bwMode="auto">
        <a:xfrm>
          <a:off x="288607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4806" name="Line 55">
          <a:extLst>
            <a:ext uri="{FF2B5EF4-FFF2-40B4-BE49-F238E27FC236}">
              <a16:creationId xmlns:a16="http://schemas.microsoft.com/office/drawing/2014/main" id="{0CABDC23-BF5B-472C-8941-0FB7AA7F1B76}"/>
            </a:ext>
          </a:extLst>
        </xdr:cNvPr>
        <xdr:cNvSpPr>
          <a:spLocks noChangeShapeType="1"/>
        </xdr:cNvSpPr>
      </xdr:nvSpPr>
      <xdr:spPr bwMode="auto">
        <a:xfrm>
          <a:off x="2886075" y="7953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4807" name="Group 56">
          <a:extLst>
            <a:ext uri="{FF2B5EF4-FFF2-40B4-BE49-F238E27FC236}">
              <a16:creationId xmlns:a16="http://schemas.microsoft.com/office/drawing/2014/main" id="{8B07FA5F-E311-4C56-A6A0-5CDA1C66A7EB}"/>
            </a:ext>
          </a:extLst>
        </xdr:cNvPr>
        <xdr:cNvGrpSpPr>
          <a:grpSpLocks/>
        </xdr:cNvGrpSpPr>
      </xdr:nvGrpSpPr>
      <xdr:grpSpPr bwMode="auto">
        <a:xfrm>
          <a:off x="1314450" y="7934325"/>
          <a:ext cx="1571625" cy="47625"/>
          <a:chOff x="158" y="715"/>
          <a:chExt cx="33" cy="5"/>
        </a:xfrm>
      </xdr:grpSpPr>
      <xdr:sp macro="" textlink="">
        <xdr:nvSpPr>
          <xdr:cNvPr id="4869" name="Line 57">
            <a:extLst>
              <a:ext uri="{FF2B5EF4-FFF2-40B4-BE49-F238E27FC236}">
                <a16:creationId xmlns:a16="http://schemas.microsoft.com/office/drawing/2014/main" id="{D66AAD6F-5481-47E9-B722-9DB824AABDE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70" name="Line 58">
            <a:extLst>
              <a:ext uri="{FF2B5EF4-FFF2-40B4-BE49-F238E27FC236}">
                <a16:creationId xmlns:a16="http://schemas.microsoft.com/office/drawing/2014/main" id="{D87C7922-927F-4656-96BF-0F2FE467CC3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4808" name="Group 59">
          <a:extLst>
            <a:ext uri="{FF2B5EF4-FFF2-40B4-BE49-F238E27FC236}">
              <a16:creationId xmlns:a16="http://schemas.microsoft.com/office/drawing/2014/main" id="{0A1BF896-FD5D-47EF-AD63-1F2B3556B7CD}"/>
            </a:ext>
          </a:extLst>
        </xdr:cNvPr>
        <xdr:cNvGrpSpPr>
          <a:grpSpLocks/>
        </xdr:cNvGrpSpPr>
      </xdr:nvGrpSpPr>
      <xdr:grpSpPr bwMode="auto">
        <a:xfrm>
          <a:off x="1314450" y="7705725"/>
          <a:ext cx="1571625" cy="47625"/>
          <a:chOff x="158" y="715"/>
          <a:chExt cx="33" cy="5"/>
        </a:xfrm>
      </xdr:grpSpPr>
      <xdr:sp macro="" textlink="">
        <xdr:nvSpPr>
          <xdr:cNvPr id="4867" name="Line 60">
            <a:extLst>
              <a:ext uri="{FF2B5EF4-FFF2-40B4-BE49-F238E27FC236}">
                <a16:creationId xmlns:a16="http://schemas.microsoft.com/office/drawing/2014/main" id="{C885A0F7-6900-4D92-A65A-69E8BD997C3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8" name="Line 61">
            <a:extLst>
              <a:ext uri="{FF2B5EF4-FFF2-40B4-BE49-F238E27FC236}">
                <a16:creationId xmlns:a16="http://schemas.microsoft.com/office/drawing/2014/main" id="{5C350088-67F3-4291-A88E-3011F66165E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38100</xdr:rowOff>
    </xdr:from>
    <xdr:to>
      <xdr:col>12</xdr:col>
      <xdr:colOff>0</xdr:colOff>
      <xdr:row>19</xdr:row>
      <xdr:rowOff>209550</xdr:rowOff>
    </xdr:to>
    <xdr:grpSp>
      <xdr:nvGrpSpPr>
        <xdr:cNvPr id="4809" name="Group 62">
          <a:extLst>
            <a:ext uri="{FF2B5EF4-FFF2-40B4-BE49-F238E27FC236}">
              <a16:creationId xmlns:a16="http://schemas.microsoft.com/office/drawing/2014/main" id="{B85A4A8B-ED54-44E3-A53D-D7F8E9C9420D}"/>
            </a:ext>
          </a:extLst>
        </xdr:cNvPr>
        <xdr:cNvGrpSpPr>
          <a:grpSpLocks/>
        </xdr:cNvGrpSpPr>
      </xdr:nvGrpSpPr>
      <xdr:grpSpPr bwMode="auto">
        <a:xfrm>
          <a:off x="2257425" y="7419975"/>
          <a:ext cx="1571625" cy="171450"/>
          <a:chOff x="191" y="779"/>
          <a:chExt cx="165" cy="18"/>
        </a:xfrm>
      </xdr:grpSpPr>
      <xdr:grpSp>
        <xdr:nvGrpSpPr>
          <xdr:cNvPr id="4861" name="Group 63">
            <a:extLst>
              <a:ext uri="{FF2B5EF4-FFF2-40B4-BE49-F238E27FC236}">
                <a16:creationId xmlns:a16="http://schemas.microsoft.com/office/drawing/2014/main" id="{134C59AD-37D8-4B0D-9B3B-6F06CA2610CC}"/>
              </a:ext>
            </a:extLst>
          </xdr:cNvPr>
          <xdr:cNvGrpSpPr>
            <a:grpSpLocks/>
          </xdr:cNvGrpSpPr>
        </xdr:nvGrpSpPr>
        <xdr:grpSpPr bwMode="auto">
          <a:xfrm rot="10800000">
            <a:off x="259" y="779"/>
            <a:ext cx="29" cy="18"/>
            <a:chOff x="226" y="755"/>
            <a:chExt cx="29" cy="18"/>
          </a:xfrm>
        </xdr:grpSpPr>
        <xdr:sp macro="" textlink="">
          <xdr:nvSpPr>
            <xdr:cNvPr id="4864" name="Oval 64">
              <a:extLst>
                <a:ext uri="{FF2B5EF4-FFF2-40B4-BE49-F238E27FC236}">
                  <a16:creationId xmlns:a16="http://schemas.microsoft.com/office/drawing/2014/main" id="{ECEC9887-1CB2-4BE1-A11E-2AE73F7C09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865" name="Line 65">
              <a:extLst>
                <a:ext uri="{FF2B5EF4-FFF2-40B4-BE49-F238E27FC236}">
                  <a16:creationId xmlns:a16="http://schemas.microsoft.com/office/drawing/2014/main" id="{68951FD0-1299-4686-849F-8A98D32C87C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866" name="Freeform 66">
              <a:extLst>
                <a:ext uri="{FF2B5EF4-FFF2-40B4-BE49-F238E27FC236}">
                  <a16:creationId xmlns:a16="http://schemas.microsoft.com/office/drawing/2014/main" id="{BDF68CB8-6228-4ABB-AE0F-B0600EEAA85E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0 h 208"/>
                <a:gd name="T2" fmla="*/ 0 w 268"/>
                <a:gd name="T3" fmla="*/ 0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4862" name="Line 67">
            <a:extLst>
              <a:ext uri="{FF2B5EF4-FFF2-40B4-BE49-F238E27FC236}">
                <a16:creationId xmlns:a16="http://schemas.microsoft.com/office/drawing/2014/main" id="{14D77D08-692B-4BF1-9187-5A909722CFF9}"/>
              </a:ext>
            </a:extLst>
          </xdr:cNvPr>
          <xdr:cNvSpPr>
            <a:spLocks noChangeShapeType="1"/>
          </xdr:cNvSpPr>
        </xdr:nvSpPr>
        <xdr:spPr bwMode="auto">
          <a:xfrm>
            <a:off x="288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3" name="Line 68">
            <a:extLst>
              <a:ext uri="{FF2B5EF4-FFF2-40B4-BE49-F238E27FC236}">
                <a16:creationId xmlns:a16="http://schemas.microsoft.com/office/drawing/2014/main" id="{A479ADBA-57BD-4292-AD7D-8B0E1CBDBD7C}"/>
              </a:ext>
            </a:extLst>
          </xdr:cNvPr>
          <xdr:cNvSpPr>
            <a:spLocks noChangeShapeType="1"/>
          </xdr:cNvSpPr>
        </xdr:nvSpPr>
        <xdr:spPr bwMode="auto">
          <a:xfrm>
            <a:off x="191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304800</xdr:colOff>
      <xdr:row>15</xdr:row>
      <xdr:rowOff>276225</xdr:rowOff>
    </xdr:from>
    <xdr:to>
      <xdr:col>12</xdr:col>
      <xdr:colOff>295275</xdr:colOff>
      <xdr:row>15</xdr:row>
      <xdr:rowOff>1019175</xdr:rowOff>
    </xdr:to>
    <xdr:grpSp>
      <xdr:nvGrpSpPr>
        <xdr:cNvPr id="4810" name="Group 69">
          <a:extLst>
            <a:ext uri="{FF2B5EF4-FFF2-40B4-BE49-F238E27FC236}">
              <a16:creationId xmlns:a16="http://schemas.microsoft.com/office/drawing/2014/main" id="{B44EA8A9-B89E-4688-90DF-3E6D882DC75E}"/>
            </a:ext>
          </a:extLst>
        </xdr:cNvPr>
        <xdr:cNvGrpSpPr>
          <a:grpSpLocks/>
        </xdr:cNvGrpSpPr>
      </xdr:nvGrpSpPr>
      <xdr:grpSpPr bwMode="auto">
        <a:xfrm>
          <a:off x="3819525" y="5391150"/>
          <a:ext cx="304800" cy="742950"/>
          <a:chOff x="424" y="565"/>
          <a:chExt cx="32" cy="78"/>
        </a:xfrm>
      </xdr:grpSpPr>
      <xdr:sp macro="" textlink="">
        <xdr:nvSpPr>
          <xdr:cNvPr id="4854" name="Line 70">
            <a:extLst>
              <a:ext uri="{FF2B5EF4-FFF2-40B4-BE49-F238E27FC236}">
                <a16:creationId xmlns:a16="http://schemas.microsoft.com/office/drawing/2014/main" id="{6018603D-395D-48C4-8BE6-D11C05D0B8B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5" name="Freeform 71">
            <a:extLst>
              <a:ext uri="{FF2B5EF4-FFF2-40B4-BE49-F238E27FC236}">
                <a16:creationId xmlns:a16="http://schemas.microsoft.com/office/drawing/2014/main" id="{AD84FF30-05B1-4712-BA7D-B7AB137DDE13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56" name="Line 72">
            <a:extLst>
              <a:ext uri="{FF2B5EF4-FFF2-40B4-BE49-F238E27FC236}">
                <a16:creationId xmlns:a16="http://schemas.microsoft.com/office/drawing/2014/main" id="{77CA9DFD-B250-46BB-9FA8-389612BA3BA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7" name="Freeform 73">
            <a:extLst>
              <a:ext uri="{FF2B5EF4-FFF2-40B4-BE49-F238E27FC236}">
                <a16:creationId xmlns:a16="http://schemas.microsoft.com/office/drawing/2014/main" id="{164F3EF1-F65C-42DE-85A1-6B8A90A24A20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58" name="Freeform 74">
            <a:extLst>
              <a:ext uri="{FF2B5EF4-FFF2-40B4-BE49-F238E27FC236}">
                <a16:creationId xmlns:a16="http://schemas.microsoft.com/office/drawing/2014/main" id="{9390C053-DB87-43D7-BFF5-579BC2946655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59" name="Line 75">
            <a:extLst>
              <a:ext uri="{FF2B5EF4-FFF2-40B4-BE49-F238E27FC236}">
                <a16:creationId xmlns:a16="http://schemas.microsoft.com/office/drawing/2014/main" id="{AE5B5CCF-6108-4E68-A7B8-186CFC47B83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60" name="Freeform 76">
            <a:extLst>
              <a:ext uri="{FF2B5EF4-FFF2-40B4-BE49-F238E27FC236}">
                <a16:creationId xmlns:a16="http://schemas.microsoft.com/office/drawing/2014/main" id="{EAC4F7C2-77C8-49F6-A066-AA233917789D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295275</xdr:rowOff>
    </xdr:from>
    <xdr:to>
      <xdr:col>8</xdr:col>
      <xdr:colOff>38100</xdr:colOff>
      <xdr:row>15</xdr:row>
      <xdr:rowOff>352425</xdr:rowOff>
    </xdr:to>
    <xdr:grpSp>
      <xdr:nvGrpSpPr>
        <xdr:cNvPr id="4811" name="Group 81">
          <a:extLst>
            <a:ext uri="{FF2B5EF4-FFF2-40B4-BE49-F238E27FC236}">
              <a16:creationId xmlns:a16="http://schemas.microsoft.com/office/drawing/2014/main" id="{205DB014-2CB3-46B0-BCB0-0D0311B99FD7}"/>
            </a:ext>
          </a:extLst>
        </xdr:cNvPr>
        <xdr:cNvGrpSpPr>
          <a:grpSpLocks/>
        </xdr:cNvGrpSpPr>
      </xdr:nvGrpSpPr>
      <xdr:grpSpPr bwMode="auto">
        <a:xfrm rot="-5400000">
          <a:off x="2371725" y="5229225"/>
          <a:ext cx="57150" cy="419100"/>
          <a:chOff x="122" y="579"/>
          <a:chExt cx="6" cy="44"/>
        </a:xfrm>
      </xdr:grpSpPr>
      <xdr:sp macro="" textlink="">
        <xdr:nvSpPr>
          <xdr:cNvPr id="4851" name="Line 82">
            <a:extLst>
              <a:ext uri="{FF2B5EF4-FFF2-40B4-BE49-F238E27FC236}">
                <a16:creationId xmlns:a16="http://schemas.microsoft.com/office/drawing/2014/main" id="{62D5AD77-420A-42E0-AD9D-25BF3DF3B30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2" name="Freeform 83">
            <a:extLst>
              <a:ext uri="{FF2B5EF4-FFF2-40B4-BE49-F238E27FC236}">
                <a16:creationId xmlns:a16="http://schemas.microsoft.com/office/drawing/2014/main" id="{7ABA0FFB-420C-4EFE-AD78-67D1DECF5B09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53" name="Freeform 84">
            <a:extLst>
              <a:ext uri="{FF2B5EF4-FFF2-40B4-BE49-F238E27FC236}">
                <a16:creationId xmlns:a16="http://schemas.microsoft.com/office/drawing/2014/main" id="{9D7228F6-5DB0-4E0B-B343-33B1AA57CC2E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447675</xdr:rowOff>
    </xdr:from>
    <xdr:to>
      <xdr:col>8</xdr:col>
      <xdr:colOff>38100</xdr:colOff>
      <xdr:row>15</xdr:row>
      <xdr:rowOff>628650</xdr:rowOff>
    </xdr:to>
    <xdr:grpSp>
      <xdr:nvGrpSpPr>
        <xdr:cNvPr id="4812" name="Group 85">
          <a:extLst>
            <a:ext uri="{FF2B5EF4-FFF2-40B4-BE49-F238E27FC236}">
              <a16:creationId xmlns:a16="http://schemas.microsoft.com/office/drawing/2014/main" id="{333323B9-BB8D-4FD9-AC0A-B11E6519EEEA}"/>
            </a:ext>
          </a:extLst>
        </xdr:cNvPr>
        <xdr:cNvGrpSpPr>
          <a:grpSpLocks/>
        </xdr:cNvGrpSpPr>
      </xdr:nvGrpSpPr>
      <xdr:grpSpPr bwMode="auto">
        <a:xfrm>
          <a:off x="2152650" y="5562600"/>
          <a:ext cx="457200" cy="180975"/>
          <a:chOff x="180" y="589"/>
          <a:chExt cx="48" cy="19"/>
        </a:xfrm>
      </xdr:grpSpPr>
      <xdr:sp macro="" textlink="">
        <xdr:nvSpPr>
          <xdr:cNvPr id="4846" name="Line 86">
            <a:extLst>
              <a:ext uri="{FF2B5EF4-FFF2-40B4-BE49-F238E27FC236}">
                <a16:creationId xmlns:a16="http://schemas.microsoft.com/office/drawing/2014/main" id="{4DA9D6EF-7BA8-4103-A87B-5CE8C6023F20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7" name="Freeform 87">
            <a:extLst>
              <a:ext uri="{FF2B5EF4-FFF2-40B4-BE49-F238E27FC236}">
                <a16:creationId xmlns:a16="http://schemas.microsoft.com/office/drawing/2014/main" id="{F46B11B5-8E88-4C7F-AB35-0F1C3BE6D2F7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48" name="Freeform 88">
            <a:extLst>
              <a:ext uri="{FF2B5EF4-FFF2-40B4-BE49-F238E27FC236}">
                <a16:creationId xmlns:a16="http://schemas.microsoft.com/office/drawing/2014/main" id="{5C171176-AC60-4BAF-87EE-4EB199C11870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49" name="Line 89">
            <a:extLst>
              <a:ext uri="{FF2B5EF4-FFF2-40B4-BE49-F238E27FC236}">
                <a16:creationId xmlns:a16="http://schemas.microsoft.com/office/drawing/2014/main" id="{38FA46D1-167E-4096-9ECE-D9127ECBBA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50" name="Freeform 90">
            <a:extLst>
              <a:ext uri="{FF2B5EF4-FFF2-40B4-BE49-F238E27FC236}">
                <a16:creationId xmlns:a16="http://schemas.microsoft.com/office/drawing/2014/main" id="{F435C5D6-56BD-4600-9725-7D39618C171A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819150</xdr:rowOff>
    </xdr:from>
    <xdr:to>
      <xdr:col>8</xdr:col>
      <xdr:colOff>38100</xdr:colOff>
      <xdr:row>15</xdr:row>
      <xdr:rowOff>1000125</xdr:rowOff>
    </xdr:to>
    <xdr:grpSp>
      <xdr:nvGrpSpPr>
        <xdr:cNvPr id="4813" name="Group 91">
          <a:extLst>
            <a:ext uri="{FF2B5EF4-FFF2-40B4-BE49-F238E27FC236}">
              <a16:creationId xmlns:a16="http://schemas.microsoft.com/office/drawing/2014/main" id="{FB1C5017-0016-4166-BE27-09C61A01A46B}"/>
            </a:ext>
          </a:extLst>
        </xdr:cNvPr>
        <xdr:cNvGrpSpPr>
          <a:grpSpLocks/>
        </xdr:cNvGrpSpPr>
      </xdr:nvGrpSpPr>
      <xdr:grpSpPr bwMode="auto">
        <a:xfrm>
          <a:off x="2152650" y="5934075"/>
          <a:ext cx="457200" cy="180975"/>
          <a:chOff x="180" y="627"/>
          <a:chExt cx="48" cy="19"/>
        </a:xfrm>
      </xdr:grpSpPr>
      <xdr:sp macro="" textlink="">
        <xdr:nvSpPr>
          <xdr:cNvPr id="4841" name="Line 92">
            <a:extLst>
              <a:ext uri="{FF2B5EF4-FFF2-40B4-BE49-F238E27FC236}">
                <a16:creationId xmlns:a16="http://schemas.microsoft.com/office/drawing/2014/main" id="{02FA7230-A29C-402E-B28B-65DB8ED5FE2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2" name="Freeform 93">
            <a:extLst>
              <a:ext uri="{FF2B5EF4-FFF2-40B4-BE49-F238E27FC236}">
                <a16:creationId xmlns:a16="http://schemas.microsoft.com/office/drawing/2014/main" id="{818CA7FC-16F0-40B7-921D-DC9C4552F08E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43" name="Freeform 94">
            <a:extLst>
              <a:ext uri="{FF2B5EF4-FFF2-40B4-BE49-F238E27FC236}">
                <a16:creationId xmlns:a16="http://schemas.microsoft.com/office/drawing/2014/main" id="{14552D5C-32B5-45E3-9B6A-B8E6527D511B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44" name="Line 95">
            <a:extLst>
              <a:ext uri="{FF2B5EF4-FFF2-40B4-BE49-F238E27FC236}">
                <a16:creationId xmlns:a16="http://schemas.microsoft.com/office/drawing/2014/main" id="{2D9C45A4-67FD-4642-86AA-E1260ADC4E8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5" name="Freeform 96">
            <a:extLst>
              <a:ext uri="{FF2B5EF4-FFF2-40B4-BE49-F238E27FC236}">
                <a16:creationId xmlns:a16="http://schemas.microsoft.com/office/drawing/2014/main" id="{8E0FA18E-ACCD-4150-8E36-5EEE70B999BA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571500</xdr:rowOff>
    </xdr:from>
    <xdr:to>
      <xdr:col>6</xdr:col>
      <xdr:colOff>38100</xdr:colOff>
      <xdr:row>15</xdr:row>
      <xdr:rowOff>752475</xdr:rowOff>
    </xdr:to>
    <xdr:grpSp>
      <xdr:nvGrpSpPr>
        <xdr:cNvPr id="4814" name="Group 97">
          <a:extLst>
            <a:ext uri="{FF2B5EF4-FFF2-40B4-BE49-F238E27FC236}">
              <a16:creationId xmlns:a16="http://schemas.microsoft.com/office/drawing/2014/main" id="{E3B72892-15BE-4A91-9C11-00DA2B548369}"/>
            </a:ext>
          </a:extLst>
        </xdr:cNvPr>
        <xdr:cNvGrpSpPr>
          <a:grpSpLocks/>
        </xdr:cNvGrpSpPr>
      </xdr:nvGrpSpPr>
      <xdr:grpSpPr bwMode="auto">
        <a:xfrm>
          <a:off x="1524000" y="5686425"/>
          <a:ext cx="457200" cy="180975"/>
          <a:chOff x="114" y="602"/>
          <a:chExt cx="48" cy="19"/>
        </a:xfrm>
      </xdr:grpSpPr>
      <xdr:sp macro="" textlink="">
        <xdr:nvSpPr>
          <xdr:cNvPr id="4836" name="Line 98">
            <a:extLst>
              <a:ext uri="{FF2B5EF4-FFF2-40B4-BE49-F238E27FC236}">
                <a16:creationId xmlns:a16="http://schemas.microsoft.com/office/drawing/2014/main" id="{70877AF3-DF00-4080-967C-B9B8C5D68DA4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7" name="Freeform 99">
            <a:extLst>
              <a:ext uri="{FF2B5EF4-FFF2-40B4-BE49-F238E27FC236}">
                <a16:creationId xmlns:a16="http://schemas.microsoft.com/office/drawing/2014/main" id="{816435EF-2FDF-4028-9E2C-29170E07163F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38" name="Freeform 100">
            <a:extLst>
              <a:ext uri="{FF2B5EF4-FFF2-40B4-BE49-F238E27FC236}">
                <a16:creationId xmlns:a16="http://schemas.microsoft.com/office/drawing/2014/main" id="{6A86EF9A-9B23-436B-83F2-C3481C810A4E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39" name="Line 101">
            <a:extLst>
              <a:ext uri="{FF2B5EF4-FFF2-40B4-BE49-F238E27FC236}">
                <a16:creationId xmlns:a16="http://schemas.microsoft.com/office/drawing/2014/main" id="{3034A677-488F-4FD9-88F7-A011D6017B5D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40" name="Freeform 102">
            <a:extLst>
              <a:ext uri="{FF2B5EF4-FFF2-40B4-BE49-F238E27FC236}">
                <a16:creationId xmlns:a16="http://schemas.microsoft.com/office/drawing/2014/main" id="{CFB55985-C033-4D73-A2FF-1E94887A4BFE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933450</xdr:rowOff>
    </xdr:from>
    <xdr:to>
      <xdr:col>6</xdr:col>
      <xdr:colOff>38100</xdr:colOff>
      <xdr:row>15</xdr:row>
      <xdr:rowOff>1114425</xdr:rowOff>
    </xdr:to>
    <xdr:grpSp>
      <xdr:nvGrpSpPr>
        <xdr:cNvPr id="4815" name="Group 103">
          <a:extLst>
            <a:ext uri="{FF2B5EF4-FFF2-40B4-BE49-F238E27FC236}">
              <a16:creationId xmlns:a16="http://schemas.microsoft.com/office/drawing/2014/main" id="{C96EB368-44CB-4EE1-9990-2C68358D8749}"/>
            </a:ext>
          </a:extLst>
        </xdr:cNvPr>
        <xdr:cNvGrpSpPr>
          <a:grpSpLocks/>
        </xdr:cNvGrpSpPr>
      </xdr:nvGrpSpPr>
      <xdr:grpSpPr bwMode="auto">
        <a:xfrm>
          <a:off x="1524000" y="6048375"/>
          <a:ext cx="457200" cy="180975"/>
          <a:chOff x="114" y="640"/>
          <a:chExt cx="48" cy="19"/>
        </a:xfrm>
      </xdr:grpSpPr>
      <xdr:sp macro="" textlink="">
        <xdr:nvSpPr>
          <xdr:cNvPr id="4831" name="Line 104">
            <a:extLst>
              <a:ext uri="{FF2B5EF4-FFF2-40B4-BE49-F238E27FC236}">
                <a16:creationId xmlns:a16="http://schemas.microsoft.com/office/drawing/2014/main" id="{24488D6A-5B1F-4C8C-9E16-8E2A42A3A46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2" name="Freeform 105">
            <a:extLst>
              <a:ext uri="{FF2B5EF4-FFF2-40B4-BE49-F238E27FC236}">
                <a16:creationId xmlns:a16="http://schemas.microsoft.com/office/drawing/2014/main" id="{015D5264-92E7-47E2-8C14-C965807F87BC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33" name="Freeform 106">
            <a:extLst>
              <a:ext uri="{FF2B5EF4-FFF2-40B4-BE49-F238E27FC236}">
                <a16:creationId xmlns:a16="http://schemas.microsoft.com/office/drawing/2014/main" id="{F5951F1D-7A0F-4C7B-8C62-7561F464E649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34" name="Line 107">
            <a:extLst>
              <a:ext uri="{FF2B5EF4-FFF2-40B4-BE49-F238E27FC236}">
                <a16:creationId xmlns:a16="http://schemas.microsoft.com/office/drawing/2014/main" id="{F3FD2496-716C-4F37-8A74-3E5237144759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5" name="Freeform 108">
            <a:extLst>
              <a:ext uri="{FF2B5EF4-FFF2-40B4-BE49-F238E27FC236}">
                <a16:creationId xmlns:a16="http://schemas.microsoft.com/office/drawing/2014/main" id="{1431A6F4-A335-47C0-889A-16AD6E0FEBD2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15</xdr:row>
      <xdr:rowOff>447675</xdr:rowOff>
    </xdr:from>
    <xdr:to>
      <xdr:col>11</xdr:col>
      <xdr:colOff>295275</xdr:colOff>
      <xdr:row>15</xdr:row>
      <xdr:rowOff>600075</xdr:rowOff>
    </xdr:to>
    <xdr:grpSp>
      <xdr:nvGrpSpPr>
        <xdr:cNvPr id="4816" name="Group 109">
          <a:extLst>
            <a:ext uri="{FF2B5EF4-FFF2-40B4-BE49-F238E27FC236}">
              <a16:creationId xmlns:a16="http://schemas.microsoft.com/office/drawing/2014/main" id="{C316F9CF-E3CE-44C9-9251-03757039AB71}"/>
            </a:ext>
          </a:extLst>
        </xdr:cNvPr>
        <xdr:cNvGrpSpPr>
          <a:grpSpLocks/>
        </xdr:cNvGrpSpPr>
      </xdr:nvGrpSpPr>
      <xdr:grpSpPr bwMode="auto">
        <a:xfrm flipV="1">
          <a:off x="3543300" y="5562600"/>
          <a:ext cx="266700" cy="152400"/>
          <a:chOff x="248" y="601"/>
          <a:chExt cx="28" cy="16"/>
        </a:xfrm>
      </xdr:grpSpPr>
      <xdr:sp macro="" textlink="">
        <xdr:nvSpPr>
          <xdr:cNvPr id="4827" name="Line 110">
            <a:extLst>
              <a:ext uri="{FF2B5EF4-FFF2-40B4-BE49-F238E27FC236}">
                <a16:creationId xmlns:a16="http://schemas.microsoft.com/office/drawing/2014/main" id="{80639474-764C-487E-B03C-2D3D6F9AC49A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28" name="Freeform 111">
            <a:extLst>
              <a:ext uri="{FF2B5EF4-FFF2-40B4-BE49-F238E27FC236}">
                <a16:creationId xmlns:a16="http://schemas.microsoft.com/office/drawing/2014/main" id="{FDE9C2DC-275C-4B3F-9A3B-44C8884BAAD2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29" name="Line 112">
            <a:extLst>
              <a:ext uri="{FF2B5EF4-FFF2-40B4-BE49-F238E27FC236}">
                <a16:creationId xmlns:a16="http://schemas.microsoft.com/office/drawing/2014/main" id="{1571A8FC-524E-444E-AACF-F6D86FF99573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30" name="Freeform 113">
            <a:extLst>
              <a:ext uri="{FF2B5EF4-FFF2-40B4-BE49-F238E27FC236}">
                <a16:creationId xmlns:a16="http://schemas.microsoft.com/office/drawing/2014/main" id="{9C829392-590D-4763-BC00-97C9CDA5D60E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22225</xdr:colOff>
      <xdr:row>10</xdr:row>
      <xdr:rowOff>28575</xdr:rowOff>
    </xdr:from>
    <xdr:ext cx="1190514" cy="636516"/>
    <xdr:sp macro="" textlink="">
      <xdr:nvSpPr>
        <xdr:cNvPr id="115" name="Text Box 114">
          <a:extLst>
            <a:ext uri="{FF2B5EF4-FFF2-40B4-BE49-F238E27FC236}">
              <a16:creationId xmlns:a16="http://schemas.microsoft.com/office/drawing/2014/main" id="{386C262B-A8E5-462D-AC62-254517945DD9}"/>
            </a:ext>
          </a:extLst>
        </xdr:cNvPr>
        <xdr:cNvSpPr txBox="1">
          <a:spLocks noChangeArrowheads="1"/>
        </xdr:cNvSpPr>
      </xdr:nvSpPr>
      <xdr:spPr bwMode="auto">
        <a:xfrm>
          <a:off x="22225" y="4000500"/>
          <a:ext cx="1190514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その他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シリアル／パス端子</a:t>
          </a:r>
        </a:p>
      </xdr:txBody>
    </xdr:sp>
    <xdr:clientData/>
  </xdr:oneCellAnchor>
  <xdr:oneCellAnchor>
    <xdr:from>
      <xdr:col>12</xdr:col>
      <xdr:colOff>269875</xdr:colOff>
      <xdr:row>15</xdr:row>
      <xdr:rowOff>1181099</xdr:rowOff>
    </xdr:from>
    <xdr:ext cx="363488" cy="222744"/>
    <xdr:sp macro="" textlink="">
      <xdr:nvSpPr>
        <xdr:cNvPr id="117" name="Text Box 116">
          <a:extLst>
            <a:ext uri="{FF2B5EF4-FFF2-40B4-BE49-F238E27FC236}">
              <a16:creationId xmlns:a16="http://schemas.microsoft.com/office/drawing/2014/main" id="{3894F890-6C43-4960-92A3-885011D7F68D}"/>
            </a:ext>
          </a:extLst>
        </xdr:cNvPr>
        <xdr:cNvSpPr txBox="1">
          <a:spLocks noChangeArrowheads="1"/>
        </xdr:cNvSpPr>
      </xdr:nvSpPr>
      <xdr:spPr bwMode="auto">
        <a:xfrm>
          <a:off x="4098925" y="6296024"/>
          <a:ext cx="363488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17.6m</a:t>
          </a:r>
          <a:endParaRPr lang="ja-JP" altLang="en-US" sz="900" b="1" i="0" u="none" strike="noStrike" baseline="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 editAs="oneCell">
    <xdr:from>
      <xdr:col>21</xdr:col>
      <xdr:colOff>47625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4819" name="Picture 117" descr="北マーク（北東）">
          <a:extLst>
            <a:ext uri="{FF2B5EF4-FFF2-40B4-BE49-F238E27FC236}">
              <a16:creationId xmlns:a16="http://schemas.microsoft.com/office/drawing/2014/main" id="{1D7FA3FD-ADD0-4459-962F-ECA99EB2A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269875</xdr:colOff>
      <xdr:row>3</xdr:row>
      <xdr:rowOff>98425</xdr:rowOff>
    </xdr:from>
    <xdr:to>
      <xdr:col>21</xdr:col>
      <xdr:colOff>209643</xdr:colOff>
      <xdr:row>7</xdr:row>
      <xdr:rowOff>777881</xdr:rowOff>
    </xdr:to>
    <xdr:sp macro="" textlink="">
      <xdr:nvSpPr>
        <xdr:cNvPr id="119" name="Text Box 118">
          <a:extLst>
            <a:ext uri="{FF2B5EF4-FFF2-40B4-BE49-F238E27FC236}">
              <a16:creationId xmlns:a16="http://schemas.microsoft.com/office/drawing/2014/main" id="{61F6700B-ACA6-49A6-B9F1-CADA2F61507D}"/>
            </a:ext>
          </a:extLst>
        </xdr:cNvPr>
        <xdr:cNvSpPr txBox="1">
          <a:spLocks noChangeArrowheads="1"/>
        </xdr:cNvSpPr>
      </xdr:nvSpPr>
      <xdr:spPr bwMode="auto">
        <a:xfrm>
          <a:off x="6181725" y="8286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60325</xdr:colOff>
      <xdr:row>8</xdr:row>
      <xdr:rowOff>0</xdr:rowOff>
    </xdr:from>
    <xdr:to>
      <xdr:col>10</xdr:col>
      <xdr:colOff>231775</xdr:colOff>
      <xdr:row>9</xdr:row>
      <xdr:rowOff>38100</xdr:rowOff>
    </xdr:to>
    <xdr:sp macro="" textlink="">
      <xdr:nvSpPr>
        <xdr:cNvPr id="120" name="Text Box 119">
          <a:extLst>
            <a:ext uri="{FF2B5EF4-FFF2-40B4-BE49-F238E27FC236}">
              <a16:creationId xmlns:a16="http://schemas.microsoft.com/office/drawing/2014/main" id="{B629EFD3-A165-4B90-AE86-1A36FC4F01F4}"/>
            </a:ext>
          </a:extLst>
        </xdr:cNvPr>
        <xdr:cNvSpPr txBox="1">
          <a:spLocks noChangeArrowheads="1"/>
        </xdr:cNvSpPr>
      </xdr:nvSpPr>
      <xdr:spPr bwMode="auto">
        <a:xfrm>
          <a:off x="1257300" y="3514725"/>
          <a:ext cx="17430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警固屋</a:t>
          </a:r>
        </a:p>
      </xdr:txBody>
    </xdr:sp>
    <xdr:clientData/>
  </xdr:twoCellAnchor>
  <xdr:twoCellAnchor>
    <xdr:from>
      <xdr:col>17</xdr:col>
      <xdr:colOff>60325</xdr:colOff>
      <xdr:row>3</xdr:row>
      <xdr:rowOff>19050</xdr:rowOff>
    </xdr:from>
    <xdr:to>
      <xdr:col>18</xdr:col>
      <xdr:colOff>143201</xdr:colOff>
      <xdr:row>3</xdr:row>
      <xdr:rowOff>155713</xdr:rowOff>
    </xdr:to>
    <xdr:sp macro="" textlink="">
      <xdr:nvSpPr>
        <xdr:cNvPr id="121" name="Text Box 120">
          <a:extLst>
            <a:ext uri="{FF2B5EF4-FFF2-40B4-BE49-F238E27FC236}">
              <a16:creationId xmlns:a16="http://schemas.microsoft.com/office/drawing/2014/main" id="{45B4C0B6-8631-46F2-903C-4D79ACF96D8B}"/>
            </a:ext>
          </a:extLst>
        </xdr:cNvPr>
        <xdr:cNvSpPr txBox="1">
          <a:spLocks noChangeArrowheads="1"/>
        </xdr:cNvSpPr>
      </xdr:nvSpPr>
      <xdr:spPr bwMode="auto">
        <a:xfrm>
          <a:off x="5029200" y="7429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161925</xdr:colOff>
      <xdr:row>7</xdr:row>
      <xdr:rowOff>514350</xdr:rowOff>
    </xdr:from>
    <xdr:to>
      <xdr:col>20</xdr:col>
      <xdr:colOff>231775</xdr:colOff>
      <xdr:row>7</xdr:row>
      <xdr:rowOff>657225</xdr:rowOff>
    </xdr:to>
    <xdr:sp macro="" textlink="">
      <xdr:nvSpPr>
        <xdr:cNvPr id="122" name="Text Box 121">
          <a:extLst>
            <a:ext uri="{FF2B5EF4-FFF2-40B4-BE49-F238E27FC236}">
              <a16:creationId xmlns:a16="http://schemas.microsoft.com/office/drawing/2014/main" id="{164BC300-A348-4B55-8527-5F293AED3E84}"/>
            </a:ext>
          </a:extLst>
        </xdr:cNvPr>
        <xdr:cNvSpPr txBox="1">
          <a:spLocks noChangeArrowheads="1"/>
        </xdr:cNvSpPr>
      </xdr:nvSpPr>
      <xdr:spPr bwMode="auto">
        <a:xfrm>
          <a:off x="5753100" y="21526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oneCellAnchor>
    <xdr:from>
      <xdr:col>10</xdr:col>
      <xdr:colOff>22225</xdr:colOff>
      <xdr:row>6</xdr:row>
      <xdr:rowOff>152400</xdr:rowOff>
    </xdr:from>
    <xdr:ext cx="326308" cy="275717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89885B70-9562-48AF-ABFD-786666C36BCC}"/>
            </a:ext>
          </a:extLst>
        </xdr:cNvPr>
        <xdr:cNvSpPr txBox="1"/>
      </xdr:nvSpPr>
      <xdr:spPr>
        <a:xfrm>
          <a:off x="3222625" y="1562100"/>
          <a:ext cx="326308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×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3175</xdr:colOff>
      <xdr:row>15</xdr:row>
      <xdr:rowOff>76199</xdr:rowOff>
    </xdr:from>
    <xdr:ext cx="363488" cy="222744"/>
    <xdr:sp macro="" textlink="">
      <xdr:nvSpPr>
        <xdr:cNvPr id="124" name="Text Box 116">
          <a:extLst>
            <a:ext uri="{FF2B5EF4-FFF2-40B4-BE49-F238E27FC236}">
              <a16:creationId xmlns:a16="http://schemas.microsoft.com/office/drawing/2014/main" id="{6449D0CF-F971-459B-939D-152B3A2EF332}"/>
            </a:ext>
          </a:extLst>
        </xdr:cNvPr>
        <xdr:cNvSpPr txBox="1">
          <a:spLocks noChangeArrowheads="1"/>
        </xdr:cNvSpPr>
      </xdr:nvSpPr>
      <xdr:spPr bwMode="auto">
        <a:xfrm>
          <a:off x="2260600" y="5191124"/>
          <a:ext cx="363488" cy="22274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1" i="0" u="none" strike="noStrike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16.8m</a:t>
          </a:r>
          <a:endParaRPr lang="ja-JP" altLang="en-US" sz="900" b="1" i="0" u="none" strike="noStrike" baseline="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7</xdr:col>
      <xdr:colOff>168275</xdr:colOff>
      <xdr:row>7</xdr:row>
      <xdr:rowOff>777875</xdr:rowOff>
    </xdr:from>
    <xdr:ext cx="326308" cy="275717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6B0C6772-ECEE-4283-8B39-B1923441DB45}"/>
            </a:ext>
          </a:extLst>
        </xdr:cNvPr>
        <xdr:cNvSpPr txBox="1"/>
      </xdr:nvSpPr>
      <xdr:spPr>
        <a:xfrm>
          <a:off x="2425700" y="2416175"/>
          <a:ext cx="326308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×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20</xdr:col>
      <xdr:colOff>247650</xdr:colOff>
      <xdr:row>7</xdr:row>
      <xdr:rowOff>1847850</xdr:rowOff>
    </xdr:to>
    <xdr:pic>
      <xdr:nvPicPr>
        <xdr:cNvPr id="3920" name="Picture 1" descr="20060">
          <a:extLst>
            <a:ext uri="{FF2B5EF4-FFF2-40B4-BE49-F238E27FC236}">
              <a16:creationId xmlns:a16="http://schemas.microsoft.com/office/drawing/2014/main" id="{AD44988A-0446-4558-A7A4-4F26A317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733425"/>
          <a:ext cx="5086350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15</xdr:row>
      <xdr:rowOff>561975</xdr:rowOff>
    </xdr:from>
    <xdr:to>
      <xdr:col>10</xdr:col>
      <xdr:colOff>28575</xdr:colOff>
      <xdr:row>15</xdr:row>
      <xdr:rowOff>1304925</xdr:rowOff>
    </xdr:to>
    <xdr:grpSp>
      <xdr:nvGrpSpPr>
        <xdr:cNvPr id="3921" name="Group 2">
          <a:extLst>
            <a:ext uri="{FF2B5EF4-FFF2-40B4-BE49-F238E27FC236}">
              <a16:creationId xmlns:a16="http://schemas.microsoft.com/office/drawing/2014/main" id="{9B69101B-E4D2-46AF-B08A-FD823788EE4B}"/>
            </a:ext>
          </a:extLst>
        </xdr:cNvPr>
        <xdr:cNvGrpSpPr>
          <a:grpSpLocks/>
        </xdr:cNvGrpSpPr>
      </xdr:nvGrpSpPr>
      <xdr:grpSpPr bwMode="auto">
        <a:xfrm flipH="1" flipV="1">
          <a:off x="2486025" y="5676900"/>
          <a:ext cx="304800" cy="742950"/>
          <a:chOff x="424" y="565"/>
          <a:chExt cx="32" cy="78"/>
        </a:xfrm>
      </xdr:grpSpPr>
      <xdr:sp macro="" textlink="">
        <xdr:nvSpPr>
          <xdr:cNvPr id="4034" name="Line 3">
            <a:extLst>
              <a:ext uri="{FF2B5EF4-FFF2-40B4-BE49-F238E27FC236}">
                <a16:creationId xmlns:a16="http://schemas.microsoft.com/office/drawing/2014/main" id="{321D393E-950B-4BCA-9522-C409352D258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5" name="Freeform 4">
            <a:extLst>
              <a:ext uri="{FF2B5EF4-FFF2-40B4-BE49-F238E27FC236}">
                <a16:creationId xmlns:a16="http://schemas.microsoft.com/office/drawing/2014/main" id="{6E0085B1-C61E-413F-B332-2D62AD1D1A1D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36" name="Line 5">
            <a:extLst>
              <a:ext uri="{FF2B5EF4-FFF2-40B4-BE49-F238E27FC236}">
                <a16:creationId xmlns:a16="http://schemas.microsoft.com/office/drawing/2014/main" id="{E066F164-4944-410A-A623-AD22A5FF5C2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7" name="Freeform 6">
            <a:extLst>
              <a:ext uri="{FF2B5EF4-FFF2-40B4-BE49-F238E27FC236}">
                <a16:creationId xmlns:a16="http://schemas.microsoft.com/office/drawing/2014/main" id="{E042C66E-558A-4F6D-A1F6-40CF79019D7C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38" name="Freeform 7">
            <a:extLst>
              <a:ext uri="{FF2B5EF4-FFF2-40B4-BE49-F238E27FC236}">
                <a16:creationId xmlns:a16="http://schemas.microsoft.com/office/drawing/2014/main" id="{AB8E15BB-ADE1-41FA-93F4-588324C43FF4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39" name="Line 8">
            <a:extLst>
              <a:ext uri="{FF2B5EF4-FFF2-40B4-BE49-F238E27FC236}">
                <a16:creationId xmlns:a16="http://schemas.microsoft.com/office/drawing/2014/main" id="{9C9F8007-A41B-4CB9-AB60-92E65333772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40" name="Freeform 9">
            <a:extLst>
              <a:ext uri="{FF2B5EF4-FFF2-40B4-BE49-F238E27FC236}">
                <a16:creationId xmlns:a16="http://schemas.microsoft.com/office/drawing/2014/main" id="{2C25FED3-447F-40E2-9F70-874BFE5E3E96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DAEA9699-3F94-44C9-BA3C-216A1EDDF12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3923" name="Group 11">
          <a:extLst>
            <a:ext uri="{FF2B5EF4-FFF2-40B4-BE49-F238E27FC236}">
              <a16:creationId xmlns:a16="http://schemas.microsoft.com/office/drawing/2014/main" id="{8F146538-350B-4FA0-BC72-662CE7E5C6A1}"/>
            </a:ext>
          </a:extLst>
        </xdr:cNvPr>
        <xdr:cNvGrpSpPr>
          <a:grpSpLocks/>
        </xdr:cNvGrpSpPr>
      </xdr:nvGrpSpPr>
      <xdr:grpSpPr bwMode="auto">
        <a:xfrm>
          <a:off x="1514475" y="6800850"/>
          <a:ext cx="2514600" cy="47625"/>
          <a:chOff x="158" y="715"/>
          <a:chExt cx="33" cy="5"/>
        </a:xfrm>
      </xdr:grpSpPr>
      <xdr:sp macro="" textlink="">
        <xdr:nvSpPr>
          <xdr:cNvPr id="4032" name="Line 12">
            <a:extLst>
              <a:ext uri="{FF2B5EF4-FFF2-40B4-BE49-F238E27FC236}">
                <a16:creationId xmlns:a16="http://schemas.microsoft.com/office/drawing/2014/main" id="{8A84803C-C295-4424-AFB5-DE2098BAE5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3" name="Line 13">
            <a:extLst>
              <a:ext uri="{FF2B5EF4-FFF2-40B4-BE49-F238E27FC236}">
                <a16:creationId xmlns:a16="http://schemas.microsoft.com/office/drawing/2014/main" id="{B02D88A4-6461-4541-A1BC-7E728242A38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3924" name="Group 14">
          <a:extLst>
            <a:ext uri="{FF2B5EF4-FFF2-40B4-BE49-F238E27FC236}">
              <a16:creationId xmlns:a16="http://schemas.microsoft.com/office/drawing/2014/main" id="{79634E19-10BE-4E90-AC57-9E2AB6E653C6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4030" name="Line 15">
            <a:extLst>
              <a:ext uri="{FF2B5EF4-FFF2-40B4-BE49-F238E27FC236}">
                <a16:creationId xmlns:a16="http://schemas.microsoft.com/office/drawing/2014/main" id="{FC022173-CF9F-4198-AD3E-9E735CAF0E7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31" name="Line 16">
            <a:extLst>
              <a:ext uri="{FF2B5EF4-FFF2-40B4-BE49-F238E27FC236}">
                <a16:creationId xmlns:a16="http://schemas.microsoft.com/office/drawing/2014/main" id="{85975683-897D-492D-9BEA-B74E9CC9D5F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3925" name="Group 17">
          <a:extLst>
            <a:ext uri="{FF2B5EF4-FFF2-40B4-BE49-F238E27FC236}">
              <a16:creationId xmlns:a16="http://schemas.microsoft.com/office/drawing/2014/main" id="{B1B945ED-E64B-4309-92F2-85452CAA3131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4026" name="Line 18">
            <a:extLst>
              <a:ext uri="{FF2B5EF4-FFF2-40B4-BE49-F238E27FC236}">
                <a16:creationId xmlns:a16="http://schemas.microsoft.com/office/drawing/2014/main" id="{96ACE344-5D90-4C21-A98F-D4BFEED735F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7" name="Line 19">
            <a:extLst>
              <a:ext uri="{FF2B5EF4-FFF2-40B4-BE49-F238E27FC236}">
                <a16:creationId xmlns:a16="http://schemas.microsoft.com/office/drawing/2014/main" id="{BAC35112-176B-4921-9369-A39A033C7A6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8" name="Line 20">
            <a:extLst>
              <a:ext uri="{FF2B5EF4-FFF2-40B4-BE49-F238E27FC236}">
                <a16:creationId xmlns:a16="http://schemas.microsoft.com/office/drawing/2014/main" id="{6116E922-0505-4C4C-9462-D73A4B35881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9" name="Line 21">
            <a:extLst>
              <a:ext uri="{FF2B5EF4-FFF2-40B4-BE49-F238E27FC236}">
                <a16:creationId xmlns:a16="http://schemas.microsoft.com/office/drawing/2014/main" id="{BAD11797-2975-407E-B245-FD7921EE206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3926" name="Line 22">
          <a:extLst>
            <a:ext uri="{FF2B5EF4-FFF2-40B4-BE49-F238E27FC236}">
              <a16:creationId xmlns:a16="http://schemas.microsoft.com/office/drawing/2014/main" id="{05E0085F-F9F1-442A-A654-A27FDB9FB37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3927" name="Freeform 23">
          <a:extLst>
            <a:ext uri="{FF2B5EF4-FFF2-40B4-BE49-F238E27FC236}">
              <a16:creationId xmlns:a16="http://schemas.microsoft.com/office/drawing/2014/main" id="{ACB6E365-C105-4122-BA17-18AFB8286633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3928" name="Line 24">
          <a:extLst>
            <a:ext uri="{FF2B5EF4-FFF2-40B4-BE49-F238E27FC236}">
              <a16:creationId xmlns:a16="http://schemas.microsoft.com/office/drawing/2014/main" id="{620057E2-1923-413A-B1DB-4AC20CCA9F74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15</xdr:row>
      <xdr:rowOff>419100</xdr:rowOff>
    </xdr:from>
    <xdr:to>
      <xdr:col>13</xdr:col>
      <xdr:colOff>180975</xdr:colOff>
      <xdr:row>15</xdr:row>
      <xdr:rowOff>1152525</xdr:rowOff>
    </xdr:to>
    <xdr:grpSp>
      <xdr:nvGrpSpPr>
        <xdr:cNvPr id="3929" name="Group 25">
          <a:extLst>
            <a:ext uri="{FF2B5EF4-FFF2-40B4-BE49-F238E27FC236}">
              <a16:creationId xmlns:a16="http://schemas.microsoft.com/office/drawing/2014/main" id="{E6476CA8-B390-4F38-AE05-61DC0E15A1AB}"/>
            </a:ext>
          </a:extLst>
        </xdr:cNvPr>
        <xdr:cNvGrpSpPr>
          <a:grpSpLocks/>
        </xdr:cNvGrpSpPr>
      </xdr:nvGrpSpPr>
      <xdr:grpSpPr bwMode="auto">
        <a:xfrm rot="5400000">
          <a:off x="3490912" y="5872163"/>
          <a:ext cx="733425" cy="57150"/>
          <a:chOff x="123" y="549"/>
          <a:chExt cx="77" cy="6"/>
        </a:xfrm>
      </xdr:grpSpPr>
      <xdr:sp macro="" textlink="">
        <xdr:nvSpPr>
          <xdr:cNvPr id="4023" name="Line 26">
            <a:extLst>
              <a:ext uri="{FF2B5EF4-FFF2-40B4-BE49-F238E27FC236}">
                <a16:creationId xmlns:a16="http://schemas.microsoft.com/office/drawing/2014/main" id="{0695C258-FFCA-4717-8E80-F26C8CA6969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4" name="Freeform 27">
            <a:extLst>
              <a:ext uri="{FF2B5EF4-FFF2-40B4-BE49-F238E27FC236}">
                <a16:creationId xmlns:a16="http://schemas.microsoft.com/office/drawing/2014/main" id="{A6E2446C-2096-4F8B-BD04-E519E733621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25" name="Freeform 28">
            <a:extLst>
              <a:ext uri="{FF2B5EF4-FFF2-40B4-BE49-F238E27FC236}">
                <a16:creationId xmlns:a16="http://schemas.microsoft.com/office/drawing/2014/main" id="{34424211-B2BC-41DE-9BBA-0805D378CAA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419100</xdr:rowOff>
    </xdr:from>
    <xdr:to>
      <xdr:col>10</xdr:col>
      <xdr:colOff>180975</xdr:colOff>
      <xdr:row>15</xdr:row>
      <xdr:rowOff>1152525</xdr:rowOff>
    </xdr:to>
    <xdr:grpSp>
      <xdr:nvGrpSpPr>
        <xdr:cNvPr id="3930" name="Group 29">
          <a:extLst>
            <a:ext uri="{FF2B5EF4-FFF2-40B4-BE49-F238E27FC236}">
              <a16:creationId xmlns:a16="http://schemas.microsoft.com/office/drawing/2014/main" id="{097C4056-677C-475A-B5FD-C0689955D2C8}"/>
            </a:ext>
          </a:extLst>
        </xdr:cNvPr>
        <xdr:cNvGrpSpPr>
          <a:grpSpLocks/>
        </xdr:cNvGrpSpPr>
      </xdr:nvGrpSpPr>
      <xdr:grpSpPr bwMode="auto">
        <a:xfrm rot="5400000">
          <a:off x="2547937" y="5872163"/>
          <a:ext cx="733425" cy="57150"/>
          <a:chOff x="123" y="549"/>
          <a:chExt cx="77" cy="6"/>
        </a:xfrm>
      </xdr:grpSpPr>
      <xdr:sp macro="" textlink="">
        <xdr:nvSpPr>
          <xdr:cNvPr id="4020" name="Line 30">
            <a:extLst>
              <a:ext uri="{FF2B5EF4-FFF2-40B4-BE49-F238E27FC236}">
                <a16:creationId xmlns:a16="http://schemas.microsoft.com/office/drawing/2014/main" id="{D36773A5-AB4D-4609-B0C7-380F29205EE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1" name="Freeform 31">
            <a:extLst>
              <a:ext uri="{FF2B5EF4-FFF2-40B4-BE49-F238E27FC236}">
                <a16:creationId xmlns:a16="http://schemas.microsoft.com/office/drawing/2014/main" id="{D860E9C0-E5DD-46B8-9F80-BCB3382F4255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22" name="Freeform 32">
            <a:extLst>
              <a:ext uri="{FF2B5EF4-FFF2-40B4-BE49-F238E27FC236}">
                <a16:creationId xmlns:a16="http://schemas.microsoft.com/office/drawing/2014/main" id="{B5616AF5-A249-4D2F-B3DE-520FF683CF0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18</xdr:row>
      <xdr:rowOff>47625</xdr:rowOff>
    </xdr:from>
    <xdr:to>
      <xdr:col>7</xdr:col>
      <xdr:colOff>304800</xdr:colOff>
      <xdr:row>18</xdr:row>
      <xdr:rowOff>190500</xdr:rowOff>
    </xdr:to>
    <xdr:sp macro="" textlink="">
      <xdr:nvSpPr>
        <xdr:cNvPr id="3931" name="Freeform 33">
          <a:extLst>
            <a:ext uri="{FF2B5EF4-FFF2-40B4-BE49-F238E27FC236}">
              <a16:creationId xmlns:a16="http://schemas.microsoft.com/office/drawing/2014/main" id="{3C50D019-59F8-4E17-9ADC-58AE84FF70EB}"/>
            </a:ext>
          </a:extLst>
        </xdr:cNvPr>
        <xdr:cNvSpPr>
          <a:spLocks/>
        </xdr:cNvSpPr>
      </xdr:nvSpPr>
      <xdr:spPr bwMode="auto">
        <a:xfrm>
          <a:off x="182880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3932" name="Line 34">
          <a:extLst>
            <a:ext uri="{FF2B5EF4-FFF2-40B4-BE49-F238E27FC236}">
              <a16:creationId xmlns:a16="http://schemas.microsoft.com/office/drawing/2014/main" id="{A7217962-2B67-4028-93C4-504C48ED5648}"/>
            </a:ext>
          </a:extLst>
        </xdr:cNvPr>
        <xdr:cNvSpPr>
          <a:spLocks noChangeShapeType="1"/>
        </xdr:cNvSpPr>
      </xdr:nvSpPr>
      <xdr:spPr bwMode="auto">
        <a:xfrm>
          <a:off x="87630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18</xdr:row>
      <xdr:rowOff>47625</xdr:rowOff>
    </xdr:from>
    <xdr:to>
      <xdr:col>12</xdr:col>
      <xdr:colOff>304800</xdr:colOff>
      <xdr:row>18</xdr:row>
      <xdr:rowOff>190500</xdr:rowOff>
    </xdr:to>
    <xdr:sp macro="" textlink="">
      <xdr:nvSpPr>
        <xdr:cNvPr id="3933" name="Freeform 35">
          <a:extLst>
            <a:ext uri="{FF2B5EF4-FFF2-40B4-BE49-F238E27FC236}">
              <a16:creationId xmlns:a16="http://schemas.microsoft.com/office/drawing/2014/main" id="{5506B816-C8B8-4F38-8645-289E0CD38AD0}"/>
            </a:ext>
          </a:extLst>
        </xdr:cNvPr>
        <xdr:cNvSpPr>
          <a:spLocks/>
        </xdr:cNvSpPr>
      </xdr:nvSpPr>
      <xdr:spPr bwMode="auto">
        <a:xfrm>
          <a:off x="3400425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3934" name="Group 36">
          <a:extLst>
            <a:ext uri="{FF2B5EF4-FFF2-40B4-BE49-F238E27FC236}">
              <a16:creationId xmlns:a16="http://schemas.microsoft.com/office/drawing/2014/main" id="{B9C9F32E-008B-4E61-843B-32BF03360E15}"/>
            </a:ext>
          </a:extLst>
        </xdr:cNvPr>
        <xdr:cNvGrpSpPr>
          <a:grpSpLocks/>
        </xdr:cNvGrpSpPr>
      </xdr:nvGrpSpPr>
      <xdr:grpSpPr bwMode="auto">
        <a:xfrm>
          <a:off x="3705225" y="7248525"/>
          <a:ext cx="314325" cy="47625"/>
          <a:chOff x="158" y="715"/>
          <a:chExt cx="33" cy="5"/>
        </a:xfrm>
      </xdr:grpSpPr>
      <xdr:sp macro="" textlink="">
        <xdr:nvSpPr>
          <xdr:cNvPr id="4018" name="Line 37">
            <a:extLst>
              <a:ext uri="{FF2B5EF4-FFF2-40B4-BE49-F238E27FC236}">
                <a16:creationId xmlns:a16="http://schemas.microsoft.com/office/drawing/2014/main" id="{FF5F890C-2452-4713-96B1-CDFC05E37D1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9" name="Line 38">
            <a:extLst>
              <a:ext uri="{FF2B5EF4-FFF2-40B4-BE49-F238E27FC236}">
                <a16:creationId xmlns:a16="http://schemas.microsoft.com/office/drawing/2014/main" id="{F5B33447-DF0A-474B-ABD9-BDDBC880E0A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95250</xdr:rowOff>
    </xdr:from>
    <xdr:to>
      <xdr:col>12</xdr:col>
      <xdr:colOff>0</xdr:colOff>
      <xdr:row>18</xdr:row>
      <xdr:rowOff>142875</xdr:rowOff>
    </xdr:to>
    <xdr:grpSp>
      <xdr:nvGrpSpPr>
        <xdr:cNvPr id="3935" name="Group 39">
          <a:extLst>
            <a:ext uri="{FF2B5EF4-FFF2-40B4-BE49-F238E27FC236}">
              <a16:creationId xmlns:a16="http://schemas.microsoft.com/office/drawing/2014/main" id="{422E7D36-6D98-42BB-9AE0-0CE19D0AC1C9}"/>
            </a:ext>
          </a:extLst>
        </xdr:cNvPr>
        <xdr:cNvGrpSpPr>
          <a:grpSpLocks/>
        </xdr:cNvGrpSpPr>
      </xdr:nvGrpSpPr>
      <xdr:grpSpPr bwMode="auto">
        <a:xfrm>
          <a:off x="2133600" y="7248525"/>
          <a:ext cx="1257300" cy="47625"/>
          <a:chOff x="158" y="715"/>
          <a:chExt cx="33" cy="5"/>
        </a:xfrm>
      </xdr:grpSpPr>
      <xdr:sp macro="" textlink="">
        <xdr:nvSpPr>
          <xdr:cNvPr id="4016" name="Line 40">
            <a:extLst>
              <a:ext uri="{FF2B5EF4-FFF2-40B4-BE49-F238E27FC236}">
                <a16:creationId xmlns:a16="http://schemas.microsoft.com/office/drawing/2014/main" id="{9418503B-50EC-4503-B54B-E5141CCF23A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7" name="Line 41">
            <a:extLst>
              <a:ext uri="{FF2B5EF4-FFF2-40B4-BE49-F238E27FC236}">
                <a16:creationId xmlns:a16="http://schemas.microsoft.com/office/drawing/2014/main" id="{D7113721-D75B-4459-9EF7-CF673C8010B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3936" name="Freeform 42">
          <a:extLst>
            <a:ext uri="{FF2B5EF4-FFF2-40B4-BE49-F238E27FC236}">
              <a16:creationId xmlns:a16="http://schemas.microsoft.com/office/drawing/2014/main" id="{F6EF9D07-97F0-4A10-AF5B-E7D0751D7DDC}"/>
            </a:ext>
          </a:extLst>
        </xdr:cNvPr>
        <xdr:cNvSpPr>
          <a:spLocks/>
        </xdr:cNvSpPr>
      </xdr:nvSpPr>
      <xdr:spPr bwMode="auto">
        <a:xfrm>
          <a:off x="3400425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3937" name="Group 43">
          <a:extLst>
            <a:ext uri="{FF2B5EF4-FFF2-40B4-BE49-F238E27FC236}">
              <a16:creationId xmlns:a16="http://schemas.microsoft.com/office/drawing/2014/main" id="{36A021A5-8C24-49C1-BA0C-BA08C09EC744}"/>
            </a:ext>
          </a:extLst>
        </xdr:cNvPr>
        <xdr:cNvGrpSpPr>
          <a:grpSpLocks/>
        </xdr:cNvGrpSpPr>
      </xdr:nvGrpSpPr>
      <xdr:grpSpPr bwMode="auto">
        <a:xfrm>
          <a:off x="2809875" y="7648575"/>
          <a:ext cx="219075" cy="152400"/>
          <a:chOff x="132" y="708"/>
          <a:chExt cx="20" cy="14"/>
        </a:xfrm>
      </xdr:grpSpPr>
      <xdr:sp macro="" textlink="">
        <xdr:nvSpPr>
          <xdr:cNvPr id="4012" name="Line 44">
            <a:extLst>
              <a:ext uri="{FF2B5EF4-FFF2-40B4-BE49-F238E27FC236}">
                <a16:creationId xmlns:a16="http://schemas.microsoft.com/office/drawing/2014/main" id="{1B4AC759-7809-47C6-96F1-F4321EE62FA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3" name="Line 45">
            <a:extLst>
              <a:ext uri="{FF2B5EF4-FFF2-40B4-BE49-F238E27FC236}">
                <a16:creationId xmlns:a16="http://schemas.microsoft.com/office/drawing/2014/main" id="{DD0675AF-D875-4434-8DD5-EF9F7B110EB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4" name="Line 46">
            <a:extLst>
              <a:ext uri="{FF2B5EF4-FFF2-40B4-BE49-F238E27FC236}">
                <a16:creationId xmlns:a16="http://schemas.microsoft.com/office/drawing/2014/main" id="{5F921463-1BCD-419B-88BF-48A895A10B7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5" name="Line 47">
            <a:extLst>
              <a:ext uri="{FF2B5EF4-FFF2-40B4-BE49-F238E27FC236}">
                <a16:creationId xmlns:a16="http://schemas.microsoft.com/office/drawing/2014/main" id="{07B18BFF-45CA-415C-B8AF-B5D0A02DBF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3938" name="Group 48">
          <a:extLst>
            <a:ext uri="{FF2B5EF4-FFF2-40B4-BE49-F238E27FC236}">
              <a16:creationId xmlns:a16="http://schemas.microsoft.com/office/drawing/2014/main" id="{4FF9492F-3D56-4AB0-93DC-EB2CC3FBBB39}"/>
            </a:ext>
          </a:extLst>
        </xdr:cNvPr>
        <xdr:cNvGrpSpPr>
          <a:grpSpLocks/>
        </xdr:cNvGrpSpPr>
      </xdr:nvGrpSpPr>
      <xdr:grpSpPr bwMode="auto">
        <a:xfrm>
          <a:off x="3076575" y="7705725"/>
          <a:ext cx="942975" cy="47625"/>
          <a:chOff x="158" y="715"/>
          <a:chExt cx="33" cy="5"/>
        </a:xfrm>
      </xdr:grpSpPr>
      <xdr:sp macro="" textlink="">
        <xdr:nvSpPr>
          <xdr:cNvPr id="4010" name="Line 49">
            <a:extLst>
              <a:ext uri="{FF2B5EF4-FFF2-40B4-BE49-F238E27FC236}">
                <a16:creationId xmlns:a16="http://schemas.microsoft.com/office/drawing/2014/main" id="{F6334376-58CE-4D58-AFD7-F5BB73FBB09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1" name="Line 50">
            <a:extLst>
              <a:ext uri="{FF2B5EF4-FFF2-40B4-BE49-F238E27FC236}">
                <a16:creationId xmlns:a16="http://schemas.microsoft.com/office/drawing/2014/main" id="{56E86904-CC63-4745-BBDF-2A0FA15DC60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3939" name="Group 51">
          <a:extLst>
            <a:ext uri="{FF2B5EF4-FFF2-40B4-BE49-F238E27FC236}">
              <a16:creationId xmlns:a16="http://schemas.microsoft.com/office/drawing/2014/main" id="{5FDCC5C7-206A-46DC-939D-766B8458B18B}"/>
            </a:ext>
          </a:extLst>
        </xdr:cNvPr>
        <xdr:cNvGrpSpPr>
          <a:grpSpLocks/>
        </xdr:cNvGrpSpPr>
      </xdr:nvGrpSpPr>
      <xdr:grpSpPr bwMode="auto">
        <a:xfrm>
          <a:off x="3705225" y="7934325"/>
          <a:ext cx="314325" cy="47625"/>
          <a:chOff x="158" y="715"/>
          <a:chExt cx="33" cy="5"/>
        </a:xfrm>
      </xdr:grpSpPr>
      <xdr:sp macro="" textlink="">
        <xdr:nvSpPr>
          <xdr:cNvPr id="4008" name="Line 52">
            <a:extLst>
              <a:ext uri="{FF2B5EF4-FFF2-40B4-BE49-F238E27FC236}">
                <a16:creationId xmlns:a16="http://schemas.microsoft.com/office/drawing/2014/main" id="{3FB13D5D-01AF-4A7E-B072-9671B221BC9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9" name="Line 53">
            <a:extLst>
              <a:ext uri="{FF2B5EF4-FFF2-40B4-BE49-F238E27FC236}">
                <a16:creationId xmlns:a16="http://schemas.microsoft.com/office/drawing/2014/main" id="{60BB06F8-2DC3-4BF0-9055-88B7BA5EB1D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3940" name="Line 54">
          <a:extLst>
            <a:ext uri="{FF2B5EF4-FFF2-40B4-BE49-F238E27FC236}">
              <a16:creationId xmlns:a16="http://schemas.microsoft.com/office/drawing/2014/main" id="{626CB786-6060-427F-9232-48D65996DF11}"/>
            </a:ext>
          </a:extLst>
        </xdr:cNvPr>
        <xdr:cNvSpPr>
          <a:spLocks noChangeShapeType="1"/>
        </xdr:cNvSpPr>
      </xdr:nvSpPr>
      <xdr:spPr bwMode="auto">
        <a:xfrm>
          <a:off x="244792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3941" name="Line 55">
          <a:extLst>
            <a:ext uri="{FF2B5EF4-FFF2-40B4-BE49-F238E27FC236}">
              <a16:creationId xmlns:a16="http://schemas.microsoft.com/office/drawing/2014/main" id="{4D096361-745B-4749-86B2-DA8E2E05773F}"/>
            </a:ext>
          </a:extLst>
        </xdr:cNvPr>
        <xdr:cNvSpPr>
          <a:spLocks noChangeShapeType="1"/>
        </xdr:cNvSpPr>
      </xdr:nvSpPr>
      <xdr:spPr bwMode="auto">
        <a:xfrm>
          <a:off x="2447925" y="7953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3942" name="Group 56">
          <a:extLst>
            <a:ext uri="{FF2B5EF4-FFF2-40B4-BE49-F238E27FC236}">
              <a16:creationId xmlns:a16="http://schemas.microsoft.com/office/drawing/2014/main" id="{29EB42D2-59E2-4A75-9AE9-4122DDB3D5DC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1571625" cy="47625"/>
          <a:chOff x="158" y="715"/>
          <a:chExt cx="33" cy="5"/>
        </a:xfrm>
      </xdr:grpSpPr>
      <xdr:sp macro="" textlink="">
        <xdr:nvSpPr>
          <xdr:cNvPr id="4006" name="Line 57">
            <a:extLst>
              <a:ext uri="{FF2B5EF4-FFF2-40B4-BE49-F238E27FC236}">
                <a16:creationId xmlns:a16="http://schemas.microsoft.com/office/drawing/2014/main" id="{24F6B41D-A3B9-4E56-BCBD-B2E8A56DDD2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7" name="Line 58">
            <a:extLst>
              <a:ext uri="{FF2B5EF4-FFF2-40B4-BE49-F238E27FC236}">
                <a16:creationId xmlns:a16="http://schemas.microsoft.com/office/drawing/2014/main" id="{5DE7023D-7E4B-49C1-9137-B1F9B24615F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3943" name="Group 59">
          <a:extLst>
            <a:ext uri="{FF2B5EF4-FFF2-40B4-BE49-F238E27FC236}">
              <a16:creationId xmlns:a16="http://schemas.microsoft.com/office/drawing/2014/main" id="{244E0991-3A56-4AB1-88C4-69A759EE4642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1571625" cy="47625"/>
          <a:chOff x="158" y="715"/>
          <a:chExt cx="33" cy="5"/>
        </a:xfrm>
      </xdr:grpSpPr>
      <xdr:sp macro="" textlink="">
        <xdr:nvSpPr>
          <xdr:cNvPr id="4004" name="Line 60">
            <a:extLst>
              <a:ext uri="{FF2B5EF4-FFF2-40B4-BE49-F238E27FC236}">
                <a16:creationId xmlns:a16="http://schemas.microsoft.com/office/drawing/2014/main" id="{8BE56A35-51B0-4F27-9E87-1A9D006245B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5" name="Line 61">
            <a:extLst>
              <a:ext uri="{FF2B5EF4-FFF2-40B4-BE49-F238E27FC236}">
                <a16:creationId xmlns:a16="http://schemas.microsoft.com/office/drawing/2014/main" id="{1922EE28-5479-4D8E-94B5-4F0D75A600B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38100</xdr:rowOff>
    </xdr:from>
    <xdr:to>
      <xdr:col>12</xdr:col>
      <xdr:colOff>0</xdr:colOff>
      <xdr:row>19</xdr:row>
      <xdr:rowOff>209550</xdr:rowOff>
    </xdr:to>
    <xdr:grpSp>
      <xdr:nvGrpSpPr>
        <xdr:cNvPr id="3944" name="Group 62">
          <a:extLst>
            <a:ext uri="{FF2B5EF4-FFF2-40B4-BE49-F238E27FC236}">
              <a16:creationId xmlns:a16="http://schemas.microsoft.com/office/drawing/2014/main" id="{88E59A99-075D-4BF1-AFC4-CDCC16197081}"/>
            </a:ext>
          </a:extLst>
        </xdr:cNvPr>
        <xdr:cNvGrpSpPr>
          <a:grpSpLocks/>
        </xdr:cNvGrpSpPr>
      </xdr:nvGrpSpPr>
      <xdr:grpSpPr bwMode="auto">
        <a:xfrm>
          <a:off x="1819275" y="7419975"/>
          <a:ext cx="1571625" cy="171450"/>
          <a:chOff x="191" y="779"/>
          <a:chExt cx="165" cy="18"/>
        </a:xfrm>
      </xdr:grpSpPr>
      <xdr:grpSp>
        <xdr:nvGrpSpPr>
          <xdr:cNvPr id="3998" name="Group 63">
            <a:extLst>
              <a:ext uri="{FF2B5EF4-FFF2-40B4-BE49-F238E27FC236}">
                <a16:creationId xmlns:a16="http://schemas.microsoft.com/office/drawing/2014/main" id="{37A0452F-C269-4E8C-A0C6-07647EC98155}"/>
              </a:ext>
            </a:extLst>
          </xdr:cNvPr>
          <xdr:cNvGrpSpPr>
            <a:grpSpLocks/>
          </xdr:cNvGrpSpPr>
        </xdr:nvGrpSpPr>
        <xdr:grpSpPr bwMode="auto">
          <a:xfrm rot="10800000">
            <a:off x="259" y="779"/>
            <a:ext cx="29" cy="18"/>
            <a:chOff x="226" y="755"/>
            <a:chExt cx="29" cy="18"/>
          </a:xfrm>
        </xdr:grpSpPr>
        <xdr:sp macro="" textlink="">
          <xdr:nvSpPr>
            <xdr:cNvPr id="4001" name="Oval 64">
              <a:extLst>
                <a:ext uri="{FF2B5EF4-FFF2-40B4-BE49-F238E27FC236}">
                  <a16:creationId xmlns:a16="http://schemas.microsoft.com/office/drawing/2014/main" id="{8757202F-C6EE-46B4-A72C-60A51A606D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4002" name="Line 65">
              <a:extLst>
                <a:ext uri="{FF2B5EF4-FFF2-40B4-BE49-F238E27FC236}">
                  <a16:creationId xmlns:a16="http://schemas.microsoft.com/office/drawing/2014/main" id="{9558F001-8BF4-4A2D-9058-6CD4A699BD7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03" name="Freeform 66">
              <a:extLst>
                <a:ext uri="{FF2B5EF4-FFF2-40B4-BE49-F238E27FC236}">
                  <a16:creationId xmlns:a16="http://schemas.microsoft.com/office/drawing/2014/main" id="{108FDD89-A49F-4253-AFAD-C43064FF613C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0 h 208"/>
                <a:gd name="T2" fmla="*/ 0 w 268"/>
                <a:gd name="T3" fmla="*/ 0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999" name="Line 67">
            <a:extLst>
              <a:ext uri="{FF2B5EF4-FFF2-40B4-BE49-F238E27FC236}">
                <a16:creationId xmlns:a16="http://schemas.microsoft.com/office/drawing/2014/main" id="{82B41A95-35F2-4575-9DD5-4CF931B3D53A}"/>
              </a:ext>
            </a:extLst>
          </xdr:cNvPr>
          <xdr:cNvSpPr>
            <a:spLocks noChangeShapeType="1"/>
          </xdr:cNvSpPr>
        </xdr:nvSpPr>
        <xdr:spPr bwMode="auto">
          <a:xfrm>
            <a:off x="288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00" name="Line 68">
            <a:extLst>
              <a:ext uri="{FF2B5EF4-FFF2-40B4-BE49-F238E27FC236}">
                <a16:creationId xmlns:a16="http://schemas.microsoft.com/office/drawing/2014/main" id="{7593CEBE-ECD0-4559-BAB9-220FC324E37D}"/>
              </a:ext>
            </a:extLst>
          </xdr:cNvPr>
          <xdr:cNvSpPr>
            <a:spLocks noChangeShapeType="1"/>
          </xdr:cNvSpPr>
        </xdr:nvSpPr>
        <xdr:spPr bwMode="auto">
          <a:xfrm>
            <a:off x="191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304800</xdr:colOff>
      <xdr:row>15</xdr:row>
      <xdr:rowOff>276225</xdr:rowOff>
    </xdr:from>
    <xdr:to>
      <xdr:col>12</xdr:col>
      <xdr:colOff>295275</xdr:colOff>
      <xdr:row>15</xdr:row>
      <xdr:rowOff>1019175</xdr:rowOff>
    </xdr:to>
    <xdr:grpSp>
      <xdr:nvGrpSpPr>
        <xdr:cNvPr id="3945" name="Group 69">
          <a:extLst>
            <a:ext uri="{FF2B5EF4-FFF2-40B4-BE49-F238E27FC236}">
              <a16:creationId xmlns:a16="http://schemas.microsoft.com/office/drawing/2014/main" id="{147EDC86-AA2D-400D-8D6B-720381FB864A}"/>
            </a:ext>
          </a:extLst>
        </xdr:cNvPr>
        <xdr:cNvGrpSpPr>
          <a:grpSpLocks/>
        </xdr:cNvGrpSpPr>
      </xdr:nvGrpSpPr>
      <xdr:grpSpPr bwMode="auto">
        <a:xfrm>
          <a:off x="3381375" y="5391150"/>
          <a:ext cx="304800" cy="742950"/>
          <a:chOff x="424" y="565"/>
          <a:chExt cx="32" cy="78"/>
        </a:xfrm>
      </xdr:grpSpPr>
      <xdr:sp macro="" textlink="">
        <xdr:nvSpPr>
          <xdr:cNvPr id="3991" name="Line 70">
            <a:extLst>
              <a:ext uri="{FF2B5EF4-FFF2-40B4-BE49-F238E27FC236}">
                <a16:creationId xmlns:a16="http://schemas.microsoft.com/office/drawing/2014/main" id="{212D6E62-3BCD-4D7D-B3B3-876F47C8D89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92" name="Freeform 71">
            <a:extLst>
              <a:ext uri="{FF2B5EF4-FFF2-40B4-BE49-F238E27FC236}">
                <a16:creationId xmlns:a16="http://schemas.microsoft.com/office/drawing/2014/main" id="{D62C5C15-792F-490E-B27A-EDBDE7595908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93" name="Line 72">
            <a:extLst>
              <a:ext uri="{FF2B5EF4-FFF2-40B4-BE49-F238E27FC236}">
                <a16:creationId xmlns:a16="http://schemas.microsoft.com/office/drawing/2014/main" id="{9EBC129E-ED05-4C54-8132-71DFBDAB4317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94" name="Freeform 73">
            <a:extLst>
              <a:ext uri="{FF2B5EF4-FFF2-40B4-BE49-F238E27FC236}">
                <a16:creationId xmlns:a16="http://schemas.microsoft.com/office/drawing/2014/main" id="{8FDCA82A-9593-4A19-B13D-EED714EBA0AA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95" name="Freeform 74">
            <a:extLst>
              <a:ext uri="{FF2B5EF4-FFF2-40B4-BE49-F238E27FC236}">
                <a16:creationId xmlns:a16="http://schemas.microsoft.com/office/drawing/2014/main" id="{90EC7625-B698-4226-AFA3-1CB3C0713098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96" name="Line 75">
            <a:extLst>
              <a:ext uri="{FF2B5EF4-FFF2-40B4-BE49-F238E27FC236}">
                <a16:creationId xmlns:a16="http://schemas.microsoft.com/office/drawing/2014/main" id="{F543EBE6-C123-46B0-B298-95E067501BF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97" name="Freeform 76">
            <a:extLst>
              <a:ext uri="{FF2B5EF4-FFF2-40B4-BE49-F238E27FC236}">
                <a16:creationId xmlns:a16="http://schemas.microsoft.com/office/drawing/2014/main" id="{E2F7DD91-7C57-49F4-ADDB-A24E26F94CF2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257175</xdr:colOff>
      <xdr:row>15</xdr:row>
      <xdr:rowOff>1247775</xdr:rowOff>
    </xdr:from>
    <xdr:to>
      <xdr:col>6</xdr:col>
      <xdr:colOff>47625</xdr:colOff>
      <xdr:row>15</xdr:row>
      <xdr:rowOff>1295400</xdr:rowOff>
    </xdr:to>
    <xdr:grpSp>
      <xdr:nvGrpSpPr>
        <xdr:cNvPr id="3946" name="Group 77">
          <a:extLst>
            <a:ext uri="{FF2B5EF4-FFF2-40B4-BE49-F238E27FC236}">
              <a16:creationId xmlns:a16="http://schemas.microsoft.com/office/drawing/2014/main" id="{B083E809-3AFB-487C-BC1D-F7044CB92C7D}"/>
            </a:ext>
          </a:extLst>
        </xdr:cNvPr>
        <xdr:cNvGrpSpPr>
          <a:grpSpLocks/>
        </xdr:cNvGrpSpPr>
      </xdr:nvGrpSpPr>
      <xdr:grpSpPr bwMode="auto">
        <a:xfrm rot="-5400000">
          <a:off x="1319212" y="6176963"/>
          <a:ext cx="47625" cy="419100"/>
          <a:chOff x="122" y="579"/>
          <a:chExt cx="6" cy="44"/>
        </a:xfrm>
      </xdr:grpSpPr>
      <xdr:sp macro="" textlink="">
        <xdr:nvSpPr>
          <xdr:cNvPr id="3988" name="Line 78">
            <a:extLst>
              <a:ext uri="{FF2B5EF4-FFF2-40B4-BE49-F238E27FC236}">
                <a16:creationId xmlns:a16="http://schemas.microsoft.com/office/drawing/2014/main" id="{3B864C60-B2B8-4BD8-9505-7DB0177FAC53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89" name="Freeform 79">
            <a:extLst>
              <a:ext uri="{FF2B5EF4-FFF2-40B4-BE49-F238E27FC236}">
                <a16:creationId xmlns:a16="http://schemas.microsoft.com/office/drawing/2014/main" id="{BAF745C0-733D-42A7-9B72-95DD9677D602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90" name="Freeform 80">
            <a:extLst>
              <a:ext uri="{FF2B5EF4-FFF2-40B4-BE49-F238E27FC236}">
                <a16:creationId xmlns:a16="http://schemas.microsoft.com/office/drawing/2014/main" id="{EEFABBDA-C211-415A-A379-E295806DC24C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295275</xdr:rowOff>
    </xdr:from>
    <xdr:to>
      <xdr:col>8</xdr:col>
      <xdr:colOff>38100</xdr:colOff>
      <xdr:row>15</xdr:row>
      <xdr:rowOff>352425</xdr:rowOff>
    </xdr:to>
    <xdr:grpSp>
      <xdr:nvGrpSpPr>
        <xdr:cNvPr id="3947" name="Group 81">
          <a:extLst>
            <a:ext uri="{FF2B5EF4-FFF2-40B4-BE49-F238E27FC236}">
              <a16:creationId xmlns:a16="http://schemas.microsoft.com/office/drawing/2014/main" id="{56E5D510-0D98-403B-A27B-680A7AE1E2F4}"/>
            </a:ext>
          </a:extLst>
        </xdr:cNvPr>
        <xdr:cNvGrpSpPr>
          <a:grpSpLocks/>
        </xdr:cNvGrpSpPr>
      </xdr:nvGrpSpPr>
      <xdr:grpSpPr bwMode="auto">
        <a:xfrm rot="-5400000">
          <a:off x="1933575" y="5229225"/>
          <a:ext cx="57150" cy="419100"/>
          <a:chOff x="122" y="579"/>
          <a:chExt cx="6" cy="44"/>
        </a:xfrm>
      </xdr:grpSpPr>
      <xdr:sp macro="" textlink="">
        <xdr:nvSpPr>
          <xdr:cNvPr id="3985" name="Line 82">
            <a:extLst>
              <a:ext uri="{FF2B5EF4-FFF2-40B4-BE49-F238E27FC236}">
                <a16:creationId xmlns:a16="http://schemas.microsoft.com/office/drawing/2014/main" id="{DBB7436C-3A88-4618-B3E0-267A004BAD4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86" name="Freeform 83">
            <a:extLst>
              <a:ext uri="{FF2B5EF4-FFF2-40B4-BE49-F238E27FC236}">
                <a16:creationId xmlns:a16="http://schemas.microsoft.com/office/drawing/2014/main" id="{631F90AB-2F1A-407B-9D50-F8C35E113D82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87" name="Freeform 84">
            <a:extLst>
              <a:ext uri="{FF2B5EF4-FFF2-40B4-BE49-F238E27FC236}">
                <a16:creationId xmlns:a16="http://schemas.microsoft.com/office/drawing/2014/main" id="{6E83559F-491E-4153-820A-E306746BD604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447675</xdr:rowOff>
    </xdr:from>
    <xdr:to>
      <xdr:col>8</xdr:col>
      <xdr:colOff>38100</xdr:colOff>
      <xdr:row>15</xdr:row>
      <xdr:rowOff>628650</xdr:rowOff>
    </xdr:to>
    <xdr:grpSp>
      <xdr:nvGrpSpPr>
        <xdr:cNvPr id="3948" name="Group 85">
          <a:extLst>
            <a:ext uri="{FF2B5EF4-FFF2-40B4-BE49-F238E27FC236}">
              <a16:creationId xmlns:a16="http://schemas.microsoft.com/office/drawing/2014/main" id="{FCB49810-6885-4B43-B7EB-4456D66ABDEA}"/>
            </a:ext>
          </a:extLst>
        </xdr:cNvPr>
        <xdr:cNvGrpSpPr>
          <a:grpSpLocks/>
        </xdr:cNvGrpSpPr>
      </xdr:nvGrpSpPr>
      <xdr:grpSpPr bwMode="auto">
        <a:xfrm>
          <a:off x="1714500" y="5562600"/>
          <a:ext cx="457200" cy="180975"/>
          <a:chOff x="180" y="589"/>
          <a:chExt cx="48" cy="19"/>
        </a:xfrm>
      </xdr:grpSpPr>
      <xdr:sp macro="" textlink="">
        <xdr:nvSpPr>
          <xdr:cNvPr id="3980" name="Line 86">
            <a:extLst>
              <a:ext uri="{FF2B5EF4-FFF2-40B4-BE49-F238E27FC236}">
                <a16:creationId xmlns:a16="http://schemas.microsoft.com/office/drawing/2014/main" id="{6C70FE30-53A3-4E31-9C6A-957A32B9D821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81" name="Freeform 87">
            <a:extLst>
              <a:ext uri="{FF2B5EF4-FFF2-40B4-BE49-F238E27FC236}">
                <a16:creationId xmlns:a16="http://schemas.microsoft.com/office/drawing/2014/main" id="{E8F50030-05A9-48B7-94DA-3CAE0FB28583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82" name="Freeform 88">
            <a:extLst>
              <a:ext uri="{FF2B5EF4-FFF2-40B4-BE49-F238E27FC236}">
                <a16:creationId xmlns:a16="http://schemas.microsoft.com/office/drawing/2014/main" id="{E45426B0-3F45-4E57-AD0F-111CA8B89F77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83" name="Line 89">
            <a:extLst>
              <a:ext uri="{FF2B5EF4-FFF2-40B4-BE49-F238E27FC236}">
                <a16:creationId xmlns:a16="http://schemas.microsoft.com/office/drawing/2014/main" id="{336AF9E9-D9A0-412C-B135-F9CB0420B22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84" name="Freeform 90">
            <a:extLst>
              <a:ext uri="{FF2B5EF4-FFF2-40B4-BE49-F238E27FC236}">
                <a16:creationId xmlns:a16="http://schemas.microsoft.com/office/drawing/2014/main" id="{FFF3DFD8-AF4D-48D6-8E4B-BD0B1922FD84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819150</xdr:rowOff>
    </xdr:from>
    <xdr:to>
      <xdr:col>8</xdr:col>
      <xdr:colOff>38100</xdr:colOff>
      <xdr:row>15</xdr:row>
      <xdr:rowOff>1000125</xdr:rowOff>
    </xdr:to>
    <xdr:grpSp>
      <xdr:nvGrpSpPr>
        <xdr:cNvPr id="3949" name="Group 91">
          <a:extLst>
            <a:ext uri="{FF2B5EF4-FFF2-40B4-BE49-F238E27FC236}">
              <a16:creationId xmlns:a16="http://schemas.microsoft.com/office/drawing/2014/main" id="{CC5ECAC8-9C22-40BA-8E35-674BF93280D6}"/>
            </a:ext>
          </a:extLst>
        </xdr:cNvPr>
        <xdr:cNvGrpSpPr>
          <a:grpSpLocks/>
        </xdr:cNvGrpSpPr>
      </xdr:nvGrpSpPr>
      <xdr:grpSpPr bwMode="auto">
        <a:xfrm>
          <a:off x="1714500" y="5934075"/>
          <a:ext cx="457200" cy="180975"/>
          <a:chOff x="180" y="627"/>
          <a:chExt cx="48" cy="19"/>
        </a:xfrm>
      </xdr:grpSpPr>
      <xdr:sp macro="" textlink="">
        <xdr:nvSpPr>
          <xdr:cNvPr id="3975" name="Line 92">
            <a:extLst>
              <a:ext uri="{FF2B5EF4-FFF2-40B4-BE49-F238E27FC236}">
                <a16:creationId xmlns:a16="http://schemas.microsoft.com/office/drawing/2014/main" id="{5D56501F-B594-4CC5-9EA0-B7C8C43D522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6" name="Freeform 93">
            <a:extLst>
              <a:ext uri="{FF2B5EF4-FFF2-40B4-BE49-F238E27FC236}">
                <a16:creationId xmlns:a16="http://schemas.microsoft.com/office/drawing/2014/main" id="{ABC11D64-B57B-486D-B186-2EF3FB126688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77" name="Freeform 94">
            <a:extLst>
              <a:ext uri="{FF2B5EF4-FFF2-40B4-BE49-F238E27FC236}">
                <a16:creationId xmlns:a16="http://schemas.microsoft.com/office/drawing/2014/main" id="{B4A22D64-A30B-4672-B09B-93413764CB7E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78" name="Line 95">
            <a:extLst>
              <a:ext uri="{FF2B5EF4-FFF2-40B4-BE49-F238E27FC236}">
                <a16:creationId xmlns:a16="http://schemas.microsoft.com/office/drawing/2014/main" id="{68C20F96-4A92-43BB-A7BD-ECC370476BA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9" name="Freeform 96">
            <a:extLst>
              <a:ext uri="{FF2B5EF4-FFF2-40B4-BE49-F238E27FC236}">
                <a16:creationId xmlns:a16="http://schemas.microsoft.com/office/drawing/2014/main" id="{89A3524D-5D76-40D6-8EC8-55A90098ED03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571500</xdr:rowOff>
    </xdr:from>
    <xdr:to>
      <xdr:col>6</xdr:col>
      <xdr:colOff>38100</xdr:colOff>
      <xdr:row>15</xdr:row>
      <xdr:rowOff>752475</xdr:rowOff>
    </xdr:to>
    <xdr:grpSp>
      <xdr:nvGrpSpPr>
        <xdr:cNvPr id="3950" name="Group 97">
          <a:extLst>
            <a:ext uri="{FF2B5EF4-FFF2-40B4-BE49-F238E27FC236}">
              <a16:creationId xmlns:a16="http://schemas.microsoft.com/office/drawing/2014/main" id="{E23BBF77-5AD6-443D-8F36-CA0B55863726}"/>
            </a:ext>
          </a:extLst>
        </xdr:cNvPr>
        <xdr:cNvGrpSpPr>
          <a:grpSpLocks/>
        </xdr:cNvGrpSpPr>
      </xdr:nvGrpSpPr>
      <xdr:grpSpPr bwMode="auto">
        <a:xfrm>
          <a:off x="1085850" y="5686425"/>
          <a:ext cx="457200" cy="180975"/>
          <a:chOff x="114" y="602"/>
          <a:chExt cx="48" cy="19"/>
        </a:xfrm>
      </xdr:grpSpPr>
      <xdr:sp macro="" textlink="">
        <xdr:nvSpPr>
          <xdr:cNvPr id="3970" name="Line 98">
            <a:extLst>
              <a:ext uri="{FF2B5EF4-FFF2-40B4-BE49-F238E27FC236}">
                <a16:creationId xmlns:a16="http://schemas.microsoft.com/office/drawing/2014/main" id="{E6F1DB54-373F-436A-A2DB-3BFCE6064B0C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1" name="Freeform 99">
            <a:extLst>
              <a:ext uri="{FF2B5EF4-FFF2-40B4-BE49-F238E27FC236}">
                <a16:creationId xmlns:a16="http://schemas.microsoft.com/office/drawing/2014/main" id="{A9C9AF22-99FE-4DE4-B70E-163A4AC68905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72" name="Freeform 100">
            <a:extLst>
              <a:ext uri="{FF2B5EF4-FFF2-40B4-BE49-F238E27FC236}">
                <a16:creationId xmlns:a16="http://schemas.microsoft.com/office/drawing/2014/main" id="{69BC88F5-663E-407F-AA10-16CB15EB8ACA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73" name="Line 101">
            <a:extLst>
              <a:ext uri="{FF2B5EF4-FFF2-40B4-BE49-F238E27FC236}">
                <a16:creationId xmlns:a16="http://schemas.microsoft.com/office/drawing/2014/main" id="{D9704FFA-54B2-42D5-BFE4-C116B611EBFE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74" name="Freeform 102">
            <a:extLst>
              <a:ext uri="{FF2B5EF4-FFF2-40B4-BE49-F238E27FC236}">
                <a16:creationId xmlns:a16="http://schemas.microsoft.com/office/drawing/2014/main" id="{4699E00A-4BFE-43AB-B9FF-D03CB86F53BC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933450</xdr:rowOff>
    </xdr:from>
    <xdr:to>
      <xdr:col>6</xdr:col>
      <xdr:colOff>38100</xdr:colOff>
      <xdr:row>15</xdr:row>
      <xdr:rowOff>1114425</xdr:rowOff>
    </xdr:to>
    <xdr:grpSp>
      <xdr:nvGrpSpPr>
        <xdr:cNvPr id="3951" name="Group 103">
          <a:extLst>
            <a:ext uri="{FF2B5EF4-FFF2-40B4-BE49-F238E27FC236}">
              <a16:creationId xmlns:a16="http://schemas.microsoft.com/office/drawing/2014/main" id="{F75245E8-F8BC-4646-B41F-61AC3D33F16F}"/>
            </a:ext>
          </a:extLst>
        </xdr:cNvPr>
        <xdr:cNvGrpSpPr>
          <a:grpSpLocks/>
        </xdr:cNvGrpSpPr>
      </xdr:nvGrpSpPr>
      <xdr:grpSpPr bwMode="auto">
        <a:xfrm>
          <a:off x="1085850" y="6048375"/>
          <a:ext cx="457200" cy="180975"/>
          <a:chOff x="114" y="640"/>
          <a:chExt cx="48" cy="19"/>
        </a:xfrm>
      </xdr:grpSpPr>
      <xdr:sp macro="" textlink="">
        <xdr:nvSpPr>
          <xdr:cNvPr id="3965" name="Line 104">
            <a:extLst>
              <a:ext uri="{FF2B5EF4-FFF2-40B4-BE49-F238E27FC236}">
                <a16:creationId xmlns:a16="http://schemas.microsoft.com/office/drawing/2014/main" id="{D7C5EEDE-FFC1-4F3C-B216-321A39FC154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6" name="Freeform 105">
            <a:extLst>
              <a:ext uri="{FF2B5EF4-FFF2-40B4-BE49-F238E27FC236}">
                <a16:creationId xmlns:a16="http://schemas.microsoft.com/office/drawing/2014/main" id="{647854A8-D5D6-4F27-A80D-72A0DF59D264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67" name="Freeform 106">
            <a:extLst>
              <a:ext uri="{FF2B5EF4-FFF2-40B4-BE49-F238E27FC236}">
                <a16:creationId xmlns:a16="http://schemas.microsoft.com/office/drawing/2014/main" id="{79742250-0691-40CE-B332-3A7D713B8657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68" name="Line 107">
            <a:extLst>
              <a:ext uri="{FF2B5EF4-FFF2-40B4-BE49-F238E27FC236}">
                <a16:creationId xmlns:a16="http://schemas.microsoft.com/office/drawing/2014/main" id="{C4B0EAD2-A629-4EAA-98A2-5BD5BBF59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9" name="Freeform 108">
            <a:extLst>
              <a:ext uri="{FF2B5EF4-FFF2-40B4-BE49-F238E27FC236}">
                <a16:creationId xmlns:a16="http://schemas.microsoft.com/office/drawing/2014/main" id="{43B14425-93A9-4FF5-92BF-51A7F60D8301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15</xdr:row>
      <xdr:rowOff>447675</xdr:rowOff>
    </xdr:from>
    <xdr:to>
      <xdr:col>11</xdr:col>
      <xdr:colOff>295275</xdr:colOff>
      <xdr:row>15</xdr:row>
      <xdr:rowOff>600075</xdr:rowOff>
    </xdr:to>
    <xdr:grpSp>
      <xdr:nvGrpSpPr>
        <xdr:cNvPr id="3952" name="Group 109">
          <a:extLst>
            <a:ext uri="{FF2B5EF4-FFF2-40B4-BE49-F238E27FC236}">
              <a16:creationId xmlns:a16="http://schemas.microsoft.com/office/drawing/2014/main" id="{1474A50E-B8E3-45C6-99C9-BAB70B7D12BD}"/>
            </a:ext>
          </a:extLst>
        </xdr:cNvPr>
        <xdr:cNvGrpSpPr>
          <a:grpSpLocks/>
        </xdr:cNvGrpSpPr>
      </xdr:nvGrpSpPr>
      <xdr:grpSpPr bwMode="auto">
        <a:xfrm flipV="1">
          <a:off x="3105150" y="5562600"/>
          <a:ext cx="266700" cy="152400"/>
          <a:chOff x="248" y="601"/>
          <a:chExt cx="28" cy="16"/>
        </a:xfrm>
      </xdr:grpSpPr>
      <xdr:sp macro="" textlink="">
        <xdr:nvSpPr>
          <xdr:cNvPr id="3961" name="Line 110">
            <a:extLst>
              <a:ext uri="{FF2B5EF4-FFF2-40B4-BE49-F238E27FC236}">
                <a16:creationId xmlns:a16="http://schemas.microsoft.com/office/drawing/2014/main" id="{649068B6-3049-4A7E-9E00-CA802EDAB45C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2" name="Freeform 111">
            <a:extLst>
              <a:ext uri="{FF2B5EF4-FFF2-40B4-BE49-F238E27FC236}">
                <a16:creationId xmlns:a16="http://schemas.microsoft.com/office/drawing/2014/main" id="{3F040218-4D68-43B5-B94F-B65914D27A02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63" name="Line 112">
            <a:extLst>
              <a:ext uri="{FF2B5EF4-FFF2-40B4-BE49-F238E27FC236}">
                <a16:creationId xmlns:a16="http://schemas.microsoft.com/office/drawing/2014/main" id="{D865D7E3-ED1B-4765-9DC7-662B6EB49F8D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64" name="Freeform 113">
            <a:extLst>
              <a:ext uri="{FF2B5EF4-FFF2-40B4-BE49-F238E27FC236}">
                <a16:creationId xmlns:a16="http://schemas.microsoft.com/office/drawing/2014/main" id="{2FFD18A7-588B-46A3-BCF0-3E4AF7BFA5BF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79375</xdr:colOff>
      <xdr:row>10</xdr:row>
      <xdr:rowOff>114300</xdr:rowOff>
    </xdr:from>
    <xdr:to>
      <xdr:col>5</xdr:col>
      <xdr:colOff>168275</xdr:colOff>
      <xdr:row>13</xdr:row>
      <xdr:rowOff>19050</xdr:rowOff>
    </xdr:to>
    <xdr:sp macro="" textlink="">
      <xdr:nvSpPr>
        <xdr:cNvPr id="115" name="Text Box 114">
          <a:extLst>
            <a:ext uri="{FF2B5EF4-FFF2-40B4-BE49-F238E27FC236}">
              <a16:creationId xmlns:a16="http://schemas.microsoft.com/office/drawing/2014/main" id="{07083F22-E003-4ED6-B6E8-A5E7E2FE7D44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292100</xdr:colOff>
      <xdr:row>15</xdr:row>
      <xdr:rowOff>1279525</xdr:rowOff>
    </xdr:from>
    <xdr:to>
      <xdr:col>6</xdr:col>
      <xdr:colOff>18995</xdr:colOff>
      <xdr:row>15</xdr:row>
      <xdr:rowOff>1447927</xdr:rowOff>
    </xdr:to>
    <xdr:sp macro="" textlink="">
      <xdr:nvSpPr>
        <xdr:cNvPr id="116" name="Text Box 115">
          <a:extLst>
            <a:ext uri="{FF2B5EF4-FFF2-40B4-BE49-F238E27FC236}">
              <a16:creationId xmlns:a16="http://schemas.microsoft.com/office/drawing/2014/main" id="{E70C2273-E0F3-45AD-A2F6-0A49965971C9}"/>
            </a:ext>
          </a:extLst>
        </xdr:cNvPr>
        <xdr:cNvSpPr txBox="1">
          <a:spLocks noChangeArrowheads="1"/>
        </xdr:cNvSpPr>
      </xdr:nvSpPr>
      <xdr:spPr bwMode="auto">
        <a:xfrm>
          <a:off x="117157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15.4m</a:t>
          </a:r>
        </a:p>
      </xdr:txBody>
    </xdr:sp>
    <xdr:clientData/>
  </xdr:twoCellAnchor>
  <xdr:twoCellAnchor>
    <xdr:from>
      <xdr:col>9</xdr:col>
      <xdr:colOff>307975</xdr:colOff>
      <xdr:row>15</xdr:row>
      <xdr:rowOff>1181100</xdr:rowOff>
    </xdr:from>
    <xdr:to>
      <xdr:col>11</xdr:col>
      <xdr:colOff>22939</xdr:colOff>
      <xdr:row>15</xdr:row>
      <xdr:rowOff>1336797</xdr:rowOff>
    </xdr:to>
    <xdr:sp macro="" textlink="">
      <xdr:nvSpPr>
        <xdr:cNvPr id="117" name="Text Box 116">
          <a:extLst>
            <a:ext uri="{FF2B5EF4-FFF2-40B4-BE49-F238E27FC236}">
              <a16:creationId xmlns:a16="http://schemas.microsoft.com/office/drawing/2014/main" id="{A88279E7-80FB-4E78-A980-EF94A6213E3B}"/>
            </a:ext>
          </a:extLst>
        </xdr:cNvPr>
        <xdr:cNvSpPr txBox="1">
          <a:spLocks noChangeArrowheads="1"/>
        </xdr:cNvSpPr>
      </xdr:nvSpPr>
      <xdr:spPr bwMode="auto">
        <a:xfrm>
          <a:off x="27527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19.0m</a:t>
          </a:r>
        </a:p>
      </xdr:txBody>
    </xdr:sp>
    <xdr:clientData/>
  </xdr:twoCellAnchor>
  <xdr:twoCellAnchor editAs="oneCell">
    <xdr:from>
      <xdr:col>21</xdr:col>
      <xdr:colOff>47625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3956" name="Picture 117" descr="北マーク（北東）">
          <a:extLst>
            <a:ext uri="{FF2B5EF4-FFF2-40B4-BE49-F238E27FC236}">
              <a16:creationId xmlns:a16="http://schemas.microsoft.com/office/drawing/2014/main" id="{501B7452-7942-4D97-9D97-B80D6998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269875</xdr:colOff>
      <xdr:row>3</xdr:row>
      <xdr:rowOff>98425</xdr:rowOff>
    </xdr:from>
    <xdr:to>
      <xdr:col>21</xdr:col>
      <xdr:colOff>209643</xdr:colOff>
      <xdr:row>7</xdr:row>
      <xdr:rowOff>777881</xdr:rowOff>
    </xdr:to>
    <xdr:sp macro="" textlink="">
      <xdr:nvSpPr>
        <xdr:cNvPr id="119" name="Text Box 118">
          <a:extLst>
            <a:ext uri="{FF2B5EF4-FFF2-40B4-BE49-F238E27FC236}">
              <a16:creationId xmlns:a16="http://schemas.microsoft.com/office/drawing/2014/main" id="{328946C3-15DF-44AB-B4DE-1FC9B2C14B16}"/>
            </a:ext>
          </a:extLst>
        </xdr:cNvPr>
        <xdr:cNvSpPr txBox="1">
          <a:spLocks noChangeArrowheads="1"/>
        </xdr:cNvSpPr>
      </xdr:nvSpPr>
      <xdr:spPr bwMode="auto">
        <a:xfrm>
          <a:off x="6181725" y="8286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60325</xdr:colOff>
      <xdr:row>8</xdr:row>
      <xdr:rowOff>0</xdr:rowOff>
    </xdr:from>
    <xdr:to>
      <xdr:col>10</xdr:col>
      <xdr:colOff>231775</xdr:colOff>
      <xdr:row>9</xdr:row>
      <xdr:rowOff>38100</xdr:rowOff>
    </xdr:to>
    <xdr:sp macro="" textlink="">
      <xdr:nvSpPr>
        <xdr:cNvPr id="120" name="Text Box 119">
          <a:extLst>
            <a:ext uri="{FF2B5EF4-FFF2-40B4-BE49-F238E27FC236}">
              <a16:creationId xmlns:a16="http://schemas.microsoft.com/office/drawing/2014/main" id="{AE30C84F-B63F-4107-BE79-4AEA4E463198}"/>
            </a:ext>
          </a:extLst>
        </xdr:cNvPr>
        <xdr:cNvSpPr txBox="1">
          <a:spLocks noChangeArrowheads="1"/>
        </xdr:cNvSpPr>
      </xdr:nvSpPr>
      <xdr:spPr bwMode="auto">
        <a:xfrm>
          <a:off x="1257300" y="3514725"/>
          <a:ext cx="17430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警固屋</a:t>
          </a:r>
        </a:p>
      </xdr:txBody>
    </xdr:sp>
    <xdr:clientData/>
  </xdr:twoCellAnchor>
  <xdr:twoCellAnchor>
    <xdr:from>
      <xdr:col>17</xdr:col>
      <xdr:colOff>60325</xdr:colOff>
      <xdr:row>3</xdr:row>
      <xdr:rowOff>19050</xdr:rowOff>
    </xdr:from>
    <xdr:to>
      <xdr:col>18</xdr:col>
      <xdr:colOff>143201</xdr:colOff>
      <xdr:row>3</xdr:row>
      <xdr:rowOff>155713</xdr:rowOff>
    </xdr:to>
    <xdr:sp macro="" textlink="">
      <xdr:nvSpPr>
        <xdr:cNvPr id="121" name="Text Box 120">
          <a:extLst>
            <a:ext uri="{FF2B5EF4-FFF2-40B4-BE49-F238E27FC236}">
              <a16:creationId xmlns:a16="http://schemas.microsoft.com/office/drawing/2014/main" id="{4ECFC844-78FD-412F-84A0-BED5AF5B240E}"/>
            </a:ext>
          </a:extLst>
        </xdr:cNvPr>
        <xdr:cNvSpPr txBox="1">
          <a:spLocks noChangeArrowheads="1"/>
        </xdr:cNvSpPr>
      </xdr:nvSpPr>
      <xdr:spPr bwMode="auto">
        <a:xfrm>
          <a:off x="5029200" y="7429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161925</xdr:colOff>
      <xdr:row>7</xdr:row>
      <xdr:rowOff>514350</xdr:rowOff>
    </xdr:from>
    <xdr:to>
      <xdr:col>20</xdr:col>
      <xdr:colOff>231775</xdr:colOff>
      <xdr:row>7</xdr:row>
      <xdr:rowOff>657225</xdr:rowOff>
    </xdr:to>
    <xdr:sp macro="" textlink="">
      <xdr:nvSpPr>
        <xdr:cNvPr id="122" name="Text Box 121">
          <a:extLst>
            <a:ext uri="{FF2B5EF4-FFF2-40B4-BE49-F238E27FC236}">
              <a16:creationId xmlns:a16="http://schemas.microsoft.com/office/drawing/2014/main" id="{06742890-FC65-459E-8D80-8B018CBE5D67}"/>
            </a:ext>
          </a:extLst>
        </xdr:cNvPr>
        <xdr:cNvSpPr txBox="1">
          <a:spLocks noChangeArrowheads="1"/>
        </xdr:cNvSpPr>
      </xdr:nvSpPr>
      <xdr:spPr bwMode="auto">
        <a:xfrm>
          <a:off x="5753100" y="21526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20</xdr:col>
      <xdr:colOff>247650</xdr:colOff>
      <xdr:row>7</xdr:row>
      <xdr:rowOff>1847850</xdr:rowOff>
    </xdr:to>
    <xdr:pic>
      <xdr:nvPicPr>
        <xdr:cNvPr id="2887" name="Picture 1" descr="20060">
          <a:extLst>
            <a:ext uri="{FF2B5EF4-FFF2-40B4-BE49-F238E27FC236}">
              <a16:creationId xmlns:a16="http://schemas.microsoft.com/office/drawing/2014/main" id="{E688262F-F839-4AE8-B671-B0E48570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733425"/>
          <a:ext cx="5086350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15</xdr:row>
      <xdr:rowOff>561975</xdr:rowOff>
    </xdr:from>
    <xdr:to>
      <xdr:col>10</xdr:col>
      <xdr:colOff>28575</xdr:colOff>
      <xdr:row>15</xdr:row>
      <xdr:rowOff>1304925</xdr:rowOff>
    </xdr:to>
    <xdr:grpSp>
      <xdr:nvGrpSpPr>
        <xdr:cNvPr id="2888" name="Group 2">
          <a:extLst>
            <a:ext uri="{FF2B5EF4-FFF2-40B4-BE49-F238E27FC236}">
              <a16:creationId xmlns:a16="http://schemas.microsoft.com/office/drawing/2014/main" id="{58C145D0-4D68-460A-B8AA-1255F7AFA9ED}"/>
            </a:ext>
          </a:extLst>
        </xdr:cNvPr>
        <xdr:cNvGrpSpPr>
          <a:grpSpLocks/>
        </xdr:cNvGrpSpPr>
      </xdr:nvGrpSpPr>
      <xdr:grpSpPr bwMode="auto">
        <a:xfrm flipH="1" flipV="1">
          <a:off x="2486025" y="5676900"/>
          <a:ext cx="304800" cy="742950"/>
          <a:chOff x="424" y="565"/>
          <a:chExt cx="32" cy="78"/>
        </a:xfrm>
      </xdr:grpSpPr>
      <xdr:sp macro="" textlink="">
        <xdr:nvSpPr>
          <xdr:cNvPr id="2979" name="Line 3">
            <a:extLst>
              <a:ext uri="{FF2B5EF4-FFF2-40B4-BE49-F238E27FC236}">
                <a16:creationId xmlns:a16="http://schemas.microsoft.com/office/drawing/2014/main" id="{FDF52464-E46B-45D9-8824-E8C93C0180B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80" name="Freeform 4">
            <a:extLst>
              <a:ext uri="{FF2B5EF4-FFF2-40B4-BE49-F238E27FC236}">
                <a16:creationId xmlns:a16="http://schemas.microsoft.com/office/drawing/2014/main" id="{0F62E279-7AFF-4213-9BCE-29A46BF0911B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81" name="Line 5">
            <a:extLst>
              <a:ext uri="{FF2B5EF4-FFF2-40B4-BE49-F238E27FC236}">
                <a16:creationId xmlns:a16="http://schemas.microsoft.com/office/drawing/2014/main" id="{CE83E5D4-8BD0-4333-8E82-F9F48A56C76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82" name="Freeform 6">
            <a:extLst>
              <a:ext uri="{FF2B5EF4-FFF2-40B4-BE49-F238E27FC236}">
                <a16:creationId xmlns:a16="http://schemas.microsoft.com/office/drawing/2014/main" id="{F770B36B-DA18-4D4B-8A58-8280D77CCDC9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83" name="Freeform 7">
            <a:extLst>
              <a:ext uri="{FF2B5EF4-FFF2-40B4-BE49-F238E27FC236}">
                <a16:creationId xmlns:a16="http://schemas.microsoft.com/office/drawing/2014/main" id="{95DC89F8-F760-4089-89CA-4901B9532C61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84" name="Line 8">
            <a:extLst>
              <a:ext uri="{FF2B5EF4-FFF2-40B4-BE49-F238E27FC236}">
                <a16:creationId xmlns:a16="http://schemas.microsoft.com/office/drawing/2014/main" id="{D5810CF2-CC1E-4C40-A329-A1106728289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85" name="Freeform 9">
            <a:extLst>
              <a:ext uri="{FF2B5EF4-FFF2-40B4-BE49-F238E27FC236}">
                <a16:creationId xmlns:a16="http://schemas.microsoft.com/office/drawing/2014/main" id="{A0561051-8639-4C62-819E-BE468DE83618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03C98121-DC9F-4881-A823-08E595D973AB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17</xdr:col>
      <xdr:colOff>0</xdr:colOff>
      <xdr:row>16</xdr:row>
      <xdr:rowOff>152400</xdr:rowOff>
    </xdr:to>
    <xdr:grpSp>
      <xdr:nvGrpSpPr>
        <xdr:cNvPr id="2890" name="Group 11">
          <a:extLst>
            <a:ext uri="{FF2B5EF4-FFF2-40B4-BE49-F238E27FC236}">
              <a16:creationId xmlns:a16="http://schemas.microsoft.com/office/drawing/2014/main" id="{AD1B9FA5-C901-4EFE-B966-CE647A8B392C}"/>
            </a:ext>
          </a:extLst>
        </xdr:cNvPr>
        <xdr:cNvGrpSpPr>
          <a:grpSpLocks/>
        </xdr:cNvGrpSpPr>
      </xdr:nvGrpSpPr>
      <xdr:grpSpPr bwMode="auto">
        <a:xfrm>
          <a:off x="1514475" y="6800850"/>
          <a:ext cx="3448050" cy="47625"/>
          <a:chOff x="158" y="715"/>
          <a:chExt cx="33" cy="5"/>
        </a:xfrm>
      </xdr:grpSpPr>
      <xdr:sp macro="" textlink="">
        <xdr:nvSpPr>
          <xdr:cNvPr id="2977" name="Line 12">
            <a:extLst>
              <a:ext uri="{FF2B5EF4-FFF2-40B4-BE49-F238E27FC236}">
                <a16:creationId xmlns:a16="http://schemas.microsoft.com/office/drawing/2014/main" id="{6B8E1A4C-EEFE-44FC-93E4-DCD5E4B1B45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8" name="Line 13">
            <a:extLst>
              <a:ext uri="{FF2B5EF4-FFF2-40B4-BE49-F238E27FC236}">
                <a16:creationId xmlns:a16="http://schemas.microsoft.com/office/drawing/2014/main" id="{FFAACDC8-A807-4305-85D0-1B75725676B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17</xdr:col>
      <xdr:colOff>0</xdr:colOff>
      <xdr:row>17</xdr:row>
      <xdr:rowOff>142875</xdr:rowOff>
    </xdr:to>
    <xdr:grpSp>
      <xdr:nvGrpSpPr>
        <xdr:cNvPr id="2891" name="Group 14">
          <a:extLst>
            <a:ext uri="{FF2B5EF4-FFF2-40B4-BE49-F238E27FC236}">
              <a16:creationId xmlns:a16="http://schemas.microsoft.com/office/drawing/2014/main" id="{28F907D6-5ABB-434A-994C-447FF8F44BA9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2819400" cy="47625"/>
          <a:chOff x="158" y="715"/>
          <a:chExt cx="33" cy="5"/>
        </a:xfrm>
      </xdr:grpSpPr>
      <xdr:sp macro="" textlink="">
        <xdr:nvSpPr>
          <xdr:cNvPr id="2975" name="Line 15">
            <a:extLst>
              <a:ext uri="{FF2B5EF4-FFF2-40B4-BE49-F238E27FC236}">
                <a16:creationId xmlns:a16="http://schemas.microsoft.com/office/drawing/2014/main" id="{F2C79813-D67E-4362-83C1-ECED46DC661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6" name="Line 16">
            <a:extLst>
              <a:ext uri="{FF2B5EF4-FFF2-40B4-BE49-F238E27FC236}">
                <a16:creationId xmlns:a16="http://schemas.microsoft.com/office/drawing/2014/main" id="{4EAC82E6-76B1-4DB8-A6DB-F4CA9F0999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2892" name="Group 17">
          <a:extLst>
            <a:ext uri="{FF2B5EF4-FFF2-40B4-BE49-F238E27FC236}">
              <a16:creationId xmlns:a16="http://schemas.microsoft.com/office/drawing/2014/main" id="{4F1EB731-0EF4-40AC-8BD9-419C78BE689D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2971" name="Line 18">
            <a:extLst>
              <a:ext uri="{FF2B5EF4-FFF2-40B4-BE49-F238E27FC236}">
                <a16:creationId xmlns:a16="http://schemas.microsoft.com/office/drawing/2014/main" id="{8C8951EC-96DD-43AC-B0DB-4A43D24C57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2" name="Line 19">
            <a:extLst>
              <a:ext uri="{FF2B5EF4-FFF2-40B4-BE49-F238E27FC236}">
                <a16:creationId xmlns:a16="http://schemas.microsoft.com/office/drawing/2014/main" id="{4DA3D7A5-8251-4585-864B-E06A7FD2DBA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3" name="Line 20">
            <a:extLst>
              <a:ext uri="{FF2B5EF4-FFF2-40B4-BE49-F238E27FC236}">
                <a16:creationId xmlns:a16="http://schemas.microsoft.com/office/drawing/2014/main" id="{3E642B49-C948-40DE-98E1-DFD9F6DB80D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74" name="Line 21">
            <a:extLst>
              <a:ext uri="{FF2B5EF4-FFF2-40B4-BE49-F238E27FC236}">
                <a16:creationId xmlns:a16="http://schemas.microsoft.com/office/drawing/2014/main" id="{F3FDFDDD-A0D6-4A5E-8973-F7104194928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893" name="Line 22">
          <a:extLst>
            <a:ext uri="{FF2B5EF4-FFF2-40B4-BE49-F238E27FC236}">
              <a16:creationId xmlns:a16="http://schemas.microsoft.com/office/drawing/2014/main" id="{287D5262-BC9E-40BE-9DAC-5E8AE39CF220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894" name="Freeform 23">
          <a:extLst>
            <a:ext uri="{FF2B5EF4-FFF2-40B4-BE49-F238E27FC236}">
              <a16:creationId xmlns:a16="http://schemas.microsoft.com/office/drawing/2014/main" id="{3F35CC43-A148-46F9-94B4-748D6C5D6283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895" name="Line 24">
          <a:extLst>
            <a:ext uri="{FF2B5EF4-FFF2-40B4-BE49-F238E27FC236}">
              <a16:creationId xmlns:a16="http://schemas.microsoft.com/office/drawing/2014/main" id="{CE803D0F-D905-4AEC-8EEF-CFDDF1A227F6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15</xdr:row>
      <xdr:rowOff>428625</xdr:rowOff>
    </xdr:from>
    <xdr:to>
      <xdr:col>12</xdr:col>
      <xdr:colOff>171450</xdr:colOff>
      <xdr:row>15</xdr:row>
      <xdr:rowOff>1162050</xdr:rowOff>
    </xdr:to>
    <xdr:grpSp>
      <xdr:nvGrpSpPr>
        <xdr:cNvPr id="2896" name="Group 25">
          <a:extLst>
            <a:ext uri="{FF2B5EF4-FFF2-40B4-BE49-F238E27FC236}">
              <a16:creationId xmlns:a16="http://schemas.microsoft.com/office/drawing/2014/main" id="{605E1D96-55C3-43E7-B015-BD1D620AC237}"/>
            </a:ext>
          </a:extLst>
        </xdr:cNvPr>
        <xdr:cNvGrpSpPr>
          <a:grpSpLocks/>
        </xdr:cNvGrpSpPr>
      </xdr:nvGrpSpPr>
      <xdr:grpSpPr bwMode="auto">
        <a:xfrm rot="5400000">
          <a:off x="3167062" y="5881688"/>
          <a:ext cx="733425" cy="57150"/>
          <a:chOff x="123" y="549"/>
          <a:chExt cx="77" cy="6"/>
        </a:xfrm>
      </xdr:grpSpPr>
      <xdr:sp macro="" textlink="">
        <xdr:nvSpPr>
          <xdr:cNvPr id="2968" name="Line 26">
            <a:extLst>
              <a:ext uri="{FF2B5EF4-FFF2-40B4-BE49-F238E27FC236}">
                <a16:creationId xmlns:a16="http://schemas.microsoft.com/office/drawing/2014/main" id="{DF6185F5-A8CB-4C4A-B3C5-5ED5B59A739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9" name="Freeform 27">
            <a:extLst>
              <a:ext uri="{FF2B5EF4-FFF2-40B4-BE49-F238E27FC236}">
                <a16:creationId xmlns:a16="http://schemas.microsoft.com/office/drawing/2014/main" id="{028013B7-BEBC-4FDB-B054-5685D1BD010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70" name="Freeform 28">
            <a:extLst>
              <a:ext uri="{FF2B5EF4-FFF2-40B4-BE49-F238E27FC236}">
                <a16:creationId xmlns:a16="http://schemas.microsoft.com/office/drawing/2014/main" id="{D745BEE7-EADB-4D47-8209-C9C8623C6FDA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419100</xdr:rowOff>
    </xdr:from>
    <xdr:to>
      <xdr:col>10</xdr:col>
      <xdr:colOff>180975</xdr:colOff>
      <xdr:row>15</xdr:row>
      <xdr:rowOff>1152525</xdr:rowOff>
    </xdr:to>
    <xdr:grpSp>
      <xdr:nvGrpSpPr>
        <xdr:cNvPr id="2897" name="Group 29">
          <a:extLst>
            <a:ext uri="{FF2B5EF4-FFF2-40B4-BE49-F238E27FC236}">
              <a16:creationId xmlns:a16="http://schemas.microsoft.com/office/drawing/2014/main" id="{8221B8B5-6176-4E3A-8511-0E98AF7960C4}"/>
            </a:ext>
          </a:extLst>
        </xdr:cNvPr>
        <xdr:cNvGrpSpPr>
          <a:grpSpLocks/>
        </xdr:cNvGrpSpPr>
      </xdr:nvGrpSpPr>
      <xdr:grpSpPr bwMode="auto">
        <a:xfrm rot="5400000">
          <a:off x="2547937" y="5872163"/>
          <a:ext cx="733425" cy="57150"/>
          <a:chOff x="123" y="549"/>
          <a:chExt cx="77" cy="6"/>
        </a:xfrm>
      </xdr:grpSpPr>
      <xdr:sp macro="" textlink="">
        <xdr:nvSpPr>
          <xdr:cNvPr id="2965" name="Line 30">
            <a:extLst>
              <a:ext uri="{FF2B5EF4-FFF2-40B4-BE49-F238E27FC236}">
                <a16:creationId xmlns:a16="http://schemas.microsoft.com/office/drawing/2014/main" id="{5640F58E-77BA-40C8-BAEB-A011BFC9712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6" name="Freeform 31">
            <a:extLst>
              <a:ext uri="{FF2B5EF4-FFF2-40B4-BE49-F238E27FC236}">
                <a16:creationId xmlns:a16="http://schemas.microsoft.com/office/drawing/2014/main" id="{C4D006F4-D45A-4AE3-B593-87717C6A429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67" name="Freeform 32">
            <a:extLst>
              <a:ext uri="{FF2B5EF4-FFF2-40B4-BE49-F238E27FC236}">
                <a16:creationId xmlns:a16="http://schemas.microsoft.com/office/drawing/2014/main" id="{4802A8E0-37D2-4240-B24F-0F0AAA8276F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18</xdr:row>
      <xdr:rowOff>47625</xdr:rowOff>
    </xdr:from>
    <xdr:to>
      <xdr:col>7</xdr:col>
      <xdr:colOff>304800</xdr:colOff>
      <xdr:row>18</xdr:row>
      <xdr:rowOff>190500</xdr:rowOff>
    </xdr:to>
    <xdr:sp macro="" textlink="">
      <xdr:nvSpPr>
        <xdr:cNvPr id="2898" name="Freeform 33">
          <a:extLst>
            <a:ext uri="{FF2B5EF4-FFF2-40B4-BE49-F238E27FC236}">
              <a16:creationId xmlns:a16="http://schemas.microsoft.com/office/drawing/2014/main" id="{EDB7A9FF-10F8-444A-AA0C-18907BF0146E}"/>
            </a:ext>
          </a:extLst>
        </xdr:cNvPr>
        <xdr:cNvSpPr>
          <a:spLocks/>
        </xdr:cNvSpPr>
      </xdr:nvSpPr>
      <xdr:spPr bwMode="auto">
        <a:xfrm>
          <a:off x="182880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2899" name="Line 34">
          <a:extLst>
            <a:ext uri="{FF2B5EF4-FFF2-40B4-BE49-F238E27FC236}">
              <a16:creationId xmlns:a16="http://schemas.microsoft.com/office/drawing/2014/main" id="{7B9184DA-CCCD-47D4-A736-74295BD64547}"/>
            </a:ext>
          </a:extLst>
        </xdr:cNvPr>
        <xdr:cNvSpPr>
          <a:spLocks noChangeShapeType="1"/>
        </xdr:cNvSpPr>
      </xdr:nvSpPr>
      <xdr:spPr bwMode="auto">
        <a:xfrm>
          <a:off x="87630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900" name="Group 39">
          <a:extLst>
            <a:ext uri="{FF2B5EF4-FFF2-40B4-BE49-F238E27FC236}">
              <a16:creationId xmlns:a16="http://schemas.microsoft.com/office/drawing/2014/main" id="{F8BB29CD-2BD5-4229-8B42-F68BCC34604D}"/>
            </a:ext>
          </a:extLst>
        </xdr:cNvPr>
        <xdr:cNvGrpSpPr>
          <a:grpSpLocks/>
        </xdr:cNvGrpSpPr>
      </xdr:nvGrpSpPr>
      <xdr:grpSpPr bwMode="auto">
        <a:xfrm>
          <a:off x="2133600" y="7248525"/>
          <a:ext cx="1885950" cy="47625"/>
          <a:chOff x="158" y="715"/>
          <a:chExt cx="33" cy="5"/>
        </a:xfrm>
      </xdr:grpSpPr>
      <xdr:sp macro="" textlink="">
        <xdr:nvSpPr>
          <xdr:cNvPr id="2963" name="Line 40">
            <a:extLst>
              <a:ext uri="{FF2B5EF4-FFF2-40B4-BE49-F238E27FC236}">
                <a16:creationId xmlns:a16="http://schemas.microsoft.com/office/drawing/2014/main" id="{C3A27052-D4AB-4B04-A863-D1264FF6B69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4" name="Line 41">
            <a:extLst>
              <a:ext uri="{FF2B5EF4-FFF2-40B4-BE49-F238E27FC236}">
                <a16:creationId xmlns:a16="http://schemas.microsoft.com/office/drawing/2014/main" id="{CC50DFB2-9623-40DA-BBDD-38BCA84EEA7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2901" name="Group 43">
          <a:extLst>
            <a:ext uri="{FF2B5EF4-FFF2-40B4-BE49-F238E27FC236}">
              <a16:creationId xmlns:a16="http://schemas.microsoft.com/office/drawing/2014/main" id="{130BDCC8-C146-4FC3-89D2-1A4DCFE47C81}"/>
            </a:ext>
          </a:extLst>
        </xdr:cNvPr>
        <xdr:cNvGrpSpPr>
          <a:grpSpLocks/>
        </xdr:cNvGrpSpPr>
      </xdr:nvGrpSpPr>
      <xdr:grpSpPr bwMode="auto">
        <a:xfrm>
          <a:off x="2809875" y="7648575"/>
          <a:ext cx="219075" cy="152400"/>
          <a:chOff x="132" y="708"/>
          <a:chExt cx="20" cy="14"/>
        </a:xfrm>
      </xdr:grpSpPr>
      <xdr:sp macro="" textlink="">
        <xdr:nvSpPr>
          <xdr:cNvPr id="2959" name="Line 44">
            <a:extLst>
              <a:ext uri="{FF2B5EF4-FFF2-40B4-BE49-F238E27FC236}">
                <a16:creationId xmlns:a16="http://schemas.microsoft.com/office/drawing/2014/main" id="{EB922F8F-294B-471B-BC67-02D8BDEEAC6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0" name="Line 45">
            <a:extLst>
              <a:ext uri="{FF2B5EF4-FFF2-40B4-BE49-F238E27FC236}">
                <a16:creationId xmlns:a16="http://schemas.microsoft.com/office/drawing/2014/main" id="{6C4C1A9C-D62B-4560-8A5A-9A3A014E84B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1" name="Line 46">
            <a:extLst>
              <a:ext uri="{FF2B5EF4-FFF2-40B4-BE49-F238E27FC236}">
                <a16:creationId xmlns:a16="http://schemas.microsoft.com/office/drawing/2014/main" id="{D3B9B84B-E370-4A06-8EE1-51962C27E13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2" name="Line 47">
            <a:extLst>
              <a:ext uri="{FF2B5EF4-FFF2-40B4-BE49-F238E27FC236}">
                <a16:creationId xmlns:a16="http://schemas.microsoft.com/office/drawing/2014/main" id="{C859D443-3783-4E83-ACAD-45B5AA6FCBE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17</xdr:col>
      <xdr:colOff>9525</xdr:colOff>
      <xdr:row>20</xdr:row>
      <xdr:rowOff>142875</xdr:rowOff>
    </xdr:to>
    <xdr:grpSp>
      <xdr:nvGrpSpPr>
        <xdr:cNvPr id="2902" name="Group 48">
          <a:extLst>
            <a:ext uri="{FF2B5EF4-FFF2-40B4-BE49-F238E27FC236}">
              <a16:creationId xmlns:a16="http://schemas.microsoft.com/office/drawing/2014/main" id="{1AB9D726-A1F5-433A-A58B-FBE94761B7C5}"/>
            </a:ext>
          </a:extLst>
        </xdr:cNvPr>
        <xdr:cNvGrpSpPr>
          <a:grpSpLocks/>
        </xdr:cNvGrpSpPr>
      </xdr:nvGrpSpPr>
      <xdr:grpSpPr bwMode="auto">
        <a:xfrm>
          <a:off x="3076575" y="7705725"/>
          <a:ext cx="1895475" cy="47625"/>
          <a:chOff x="158" y="715"/>
          <a:chExt cx="33" cy="5"/>
        </a:xfrm>
      </xdr:grpSpPr>
      <xdr:sp macro="" textlink="">
        <xdr:nvSpPr>
          <xdr:cNvPr id="2957" name="Line 49">
            <a:extLst>
              <a:ext uri="{FF2B5EF4-FFF2-40B4-BE49-F238E27FC236}">
                <a16:creationId xmlns:a16="http://schemas.microsoft.com/office/drawing/2014/main" id="{B4BC0BF7-847B-4395-B25E-8275D366459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8" name="Line 50">
            <a:extLst>
              <a:ext uri="{FF2B5EF4-FFF2-40B4-BE49-F238E27FC236}">
                <a16:creationId xmlns:a16="http://schemas.microsoft.com/office/drawing/2014/main" id="{E0F6BD07-46A7-4CC8-8EBE-1ADF5BBC29F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2903" name="Line 54">
          <a:extLst>
            <a:ext uri="{FF2B5EF4-FFF2-40B4-BE49-F238E27FC236}">
              <a16:creationId xmlns:a16="http://schemas.microsoft.com/office/drawing/2014/main" id="{56E1770D-27CF-48B8-A6C2-9667F0358A74}"/>
            </a:ext>
          </a:extLst>
        </xdr:cNvPr>
        <xdr:cNvSpPr>
          <a:spLocks noChangeShapeType="1"/>
        </xdr:cNvSpPr>
      </xdr:nvSpPr>
      <xdr:spPr bwMode="auto">
        <a:xfrm>
          <a:off x="244792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15</xdr:col>
      <xdr:colOff>0</xdr:colOff>
      <xdr:row>21</xdr:row>
      <xdr:rowOff>114300</xdr:rowOff>
    </xdr:to>
    <xdr:sp macro="" textlink="">
      <xdr:nvSpPr>
        <xdr:cNvPr id="2904" name="Line 55">
          <a:extLst>
            <a:ext uri="{FF2B5EF4-FFF2-40B4-BE49-F238E27FC236}">
              <a16:creationId xmlns:a16="http://schemas.microsoft.com/office/drawing/2014/main" id="{9B4D3260-F25A-494E-85D8-179B634F626F}"/>
            </a:ext>
          </a:extLst>
        </xdr:cNvPr>
        <xdr:cNvSpPr>
          <a:spLocks noChangeShapeType="1"/>
        </xdr:cNvSpPr>
      </xdr:nvSpPr>
      <xdr:spPr bwMode="auto">
        <a:xfrm flipV="1">
          <a:off x="2457450" y="7953375"/>
          <a:ext cx="1876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2905" name="Group 56">
          <a:extLst>
            <a:ext uri="{FF2B5EF4-FFF2-40B4-BE49-F238E27FC236}">
              <a16:creationId xmlns:a16="http://schemas.microsoft.com/office/drawing/2014/main" id="{ED08DCF6-BABE-4B4F-B39B-7B0698FB2B0A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1571625" cy="47625"/>
          <a:chOff x="158" y="715"/>
          <a:chExt cx="33" cy="5"/>
        </a:xfrm>
      </xdr:grpSpPr>
      <xdr:sp macro="" textlink="">
        <xdr:nvSpPr>
          <xdr:cNvPr id="2955" name="Line 57">
            <a:extLst>
              <a:ext uri="{FF2B5EF4-FFF2-40B4-BE49-F238E27FC236}">
                <a16:creationId xmlns:a16="http://schemas.microsoft.com/office/drawing/2014/main" id="{1925BA0D-DDFE-4A4B-80CC-BFFFCE16380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6" name="Line 58">
            <a:extLst>
              <a:ext uri="{FF2B5EF4-FFF2-40B4-BE49-F238E27FC236}">
                <a16:creationId xmlns:a16="http://schemas.microsoft.com/office/drawing/2014/main" id="{C727FC48-7CCF-43B7-ACEE-BA860C3FA14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06" name="Group 59">
          <a:extLst>
            <a:ext uri="{FF2B5EF4-FFF2-40B4-BE49-F238E27FC236}">
              <a16:creationId xmlns:a16="http://schemas.microsoft.com/office/drawing/2014/main" id="{9D7A7D71-078B-4872-8AED-2775DDB016F5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1571625" cy="47625"/>
          <a:chOff x="158" y="715"/>
          <a:chExt cx="33" cy="5"/>
        </a:xfrm>
      </xdr:grpSpPr>
      <xdr:sp macro="" textlink="">
        <xdr:nvSpPr>
          <xdr:cNvPr id="2953" name="Line 60">
            <a:extLst>
              <a:ext uri="{FF2B5EF4-FFF2-40B4-BE49-F238E27FC236}">
                <a16:creationId xmlns:a16="http://schemas.microsoft.com/office/drawing/2014/main" id="{11838EE6-9094-47A1-B64A-E394D5DE63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4" name="Line 61">
            <a:extLst>
              <a:ext uri="{FF2B5EF4-FFF2-40B4-BE49-F238E27FC236}">
                <a16:creationId xmlns:a16="http://schemas.microsoft.com/office/drawing/2014/main" id="{F7BE9708-5CFE-4B74-BBEE-9E66988698A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257175</xdr:colOff>
      <xdr:row>15</xdr:row>
      <xdr:rowOff>1247775</xdr:rowOff>
    </xdr:from>
    <xdr:to>
      <xdr:col>6</xdr:col>
      <xdr:colOff>47625</xdr:colOff>
      <xdr:row>15</xdr:row>
      <xdr:rowOff>1295400</xdr:rowOff>
    </xdr:to>
    <xdr:grpSp>
      <xdr:nvGrpSpPr>
        <xdr:cNvPr id="2907" name="Group 77">
          <a:extLst>
            <a:ext uri="{FF2B5EF4-FFF2-40B4-BE49-F238E27FC236}">
              <a16:creationId xmlns:a16="http://schemas.microsoft.com/office/drawing/2014/main" id="{44F06CD0-A905-4725-BF11-423CC5218294}"/>
            </a:ext>
          </a:extLst>
        </xdr:cNvPr>
        <xdr:cNvGrpSpPr>
          <a:grpSpLocks/>
        </xdr:cNvGrpSpPr>
      </xdr:nvGrpSpPr>
      <xdr:grpSpPr bwMode="auto">
        <a:xfrm rot="-5400000">
          <a:off x="1319212" y="6176963"/>
          <a:ext cx="47625" cy="419100"/>
          <a:chOff x="122" y="579"/>
          <a:chExt cx="6" cy="44"/>
        </a:xfrm>
      </xdr:grpSpPr>
      <xdr:sp macro="" textlink="">
        <xdr:nvSpPr>
          <xdr:cNvPr id="2950" name="Line 78">
            <a:extLst>
              <a:ext uri="{FF2B5EF4-FFF2-40B4-BE49-F238E27FC236}">
                <a16:creationId xmlns:a16="http://schemas.microsoft.com/office/drawing/2014/main" id="{6C5EAAB7-0EB4-486D-B536-92FB28FCD15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1" name="Freeform 79">
            <a:extLst>
              <a:ext uri="{FF2B5EF4-FFF2-40B4-BE49-F238E27FC236}">
                <a16:creationId xmlns:a16="http://schemas.microsoft.com/office/drawing/2014/main" id="{9A5FAB9B-2083-44E9-988F-8232F6E3E011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52" name="Freeform 80">
            <a:extLst>
              <a:ext uri="{FF2B5EF4-FFF2-40B4-BE49-F238E27FC236}">
                <a16:creationId xmlns:a16="http://schemas.microsoft.com/office/drawing/2014/main" id="{CACD3E5E-A079-4F36-BFF4-BBFA46B9B4DC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571500</xdr:rowOff>
    </xdr:from>
    <xdr:to>
      <xdr:col>8</xdr:col>
      <xdr:colOff>38100</xdr:colOff>
      <xdr:row>15</xdr:row>
      <xdr:rowOff>628650</xdr:rowOff>
    </xdr:to>
    <xdr:grpSp>
      <xdr:nvGrpSpPr>
        <xdr:cNvPr id="2908" name="Group 122">
          <a:extLst>
            <a:ext uri="{FF2B5EF4-FFF2-40B4-BE49-F238E27FC236}">
              <a16:creationId xmlns:a16="http://schemas.microsoft.com/office/drawing/2014/main" id="{BF9D3AEE-2DD2-4005-A591-8F579077E60E}"/>
            </a:ext>
          </a:extLst>
        </xdr:cNvPr>
        <xdr:cNvGrpSpPr>
          <a:grpSpLocks/>
        </xdr:cNvGrpSpPr>
      </xdr:nvGrpSpPr>
      <xdr:grpSpPr bwMode="auto">
        <a:xfrm>
          <a:off x="1714500" y="5686425"/>
          <a:ext cx="457200" cy="57150"/>
          <a:chOff x="180" y="597"/>
          <a:chExt cx="48" cy="6"/>
        </a:xfrm>
      </xdr:grpSpPr>
      <xdr:sp macro="" textlink="">
        <xdr:nvSpPr>
          <xdr:cNvPr id="2948" name="Line 86">
            <a:extLst>
              <a:ext uri="{FF2B5EF4-FFF2-40B4-BE49-F238E27FC236}">
                <a16:creationId xmlns:a16="http://schemas.microsoft.com/office/drawing/2014/main" id="{0AC56D86-DCB3-4453-B64D-B30E5F602DC4}"/>
              </a:ext>
            </a:extLst>
          </xdr:cNvPr>
          <xdr:cNvSpPr>
            <a:spLocks noChangeShapeType="1"/>
          </xdr:cNvSpPr>
        </xdr:nvSpPr>
        <xdr:spPr bwMode="auto">
          <a:xfrm>
            <a:off x="180" y="600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9" name="Freeform 87">
            <a:extLst>
              <a:ext uri="{FF2B5EF4-FFF2-40B4-BE49-F238E27FC236}">
                <a16:creationId xmlns:a16="http://schemas.microsoft.com/office/drawing/2014/main" id="{A8DD82A2-03B5-4C26-B72D-1B0FCC3D8129}"/>
              </a:ext>
            </a:extLst>
          </xdr:cNvPr>
          <xdr:cNvSpPr>
            <a:spLocks/>
          </xdr:cNvSpPr>
        </xdr:nvSpPr>
        <xdr:spPr bwMode="auto">
          <a:xfrm>
            <a:off x="221" y="59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942975</xdr:rowOff>
    </xdr:from>
    <xdr:to>
      <xdr:col>8</xdr:col>
      <xdr:colOff>38100</xdr:colOff>
      <xdr:row>15</xdr:row>
      <xdr:rowOff>1000125</xdr:rowOff>
    </xdr:to>
    <xdr:grpSp>
      <xdr:nvGrpSpPr>
        <xdr:cNvPr id="2909" name="Group 123">
          <a:extLst>
            <a:ext uri="{FF2B5EF4-FFF2-40B4-BE49-F238E27FC236}">
              <a16:creationId xmlns:a16="http://schemas.microsoft.com/office/drawing/2014/main" id="{8A49E8D2-AE7C-4CDB-AB2F-DA0780CAD207}"/>
            </a:ext>
          </a:extLst>
        </xdr:cNvPr>
        <xdr:cNvGrpSpPr>
          <a:grpSpLocks/>
        </xdr:cNvGrpSpPr>
      </xdr:nvGrpSpPr>
      <xdr:grpSpPr bwMode="auto">
        <a:xfrm>
          <a:off x="1714500" y="6057900"/>
          <a:ext cx="457200" cy="57150"/>
          <a:chOff x="180" y="636"/>
          <a:chExt cx="48" cy="6"/>
        </a:xfrm>
      </xdr:grpSpPr>
      <xdr:sp macro="" textlink="">
        <xdr:nvSpPr>
          <xdr:cNvPr id="2946" name="Line 92">
            <a:extLst>
              <a:ext uri="{FF2B5EF4-FFF2-40B4-BE49-F238E27FC236}">
                <a16:creationId xmlns:a16="http://schemas.microsoft.com/office/drawing/2014/main" id="{2934DF43-2E8A-40C3-AC54-BE19C421E47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39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7" name="Freeform 93">
            <a:extLst>
              <a:ext uri="{FF2B5EF4-FFF2-40B4-BE49-F238E27FC236}">
                <a16:creationId xmlns:a16="http://schemas.microsoft.com/office/drawing/2014/main" id="{434A8AFF-3EAC-4986-9CBE-D631C5662181}"/>
              </a:ext>
            </a:extLst>
          </xdr:cNvPr>
          <xdr:cNvSpPr>
            <a:spLocks/>
          </xdr:cNvSpPr>
        </xdr:nvSpPr>
        <xdr:spPr bwMode="auto">
          <a:xfrm flipH="1" flipV="1">
            <a:off x="180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571500</xdr:rowOff>
    </xdr:from>
    <xdr:to>
      <xdr:col>6</xdr:col>
      <xdr:colOff>38100</xdr:colOff>
      <xdr:row>15</xdr:row>
      <xdr:rowOff>752475</xdr:rowOff>
    </xdr:to>
    <xdr:grpSp>
      <xdr:nvGrpSpPr>
        <xdr:cNvPr id="2910" name="Group 97">
          <a:extLst>
            <a:ext uri="{FF2B5EF4-FFF2-40B4-BE49-F238E27FC236}">
              <a16:creationId xmlns:a16="http://schemas.microsoft.com/office/drawing/2014/main" id="{F43E7E63-0DBA-4081-848A-8B00F36473EF}"/>
            </a:ext>
          </a:extLst>
        </xdr:cNvPr>
        <xdr:cNvGrpSpPr>
          <a:grpSpLocks/>
        </xdr:cNvGrpSpPr>
      </xdr:nvGrpSpPr>
      <xdr:grpSpPr bwMode="auto">
        <a:xfrm>
          <a:off x="1085850" y="5686425"/>
          <a:ext cx="457200" cy="180975"/>
          <a:chOff x="114" y="602"/>
          <a:chExt cx="48" cy="19"/>
        </a:xfrm>
      </xdr:grpSpPr>
      <xdr:sp macro="" textlink="">
        <xdr:nvSpPr>
          <xdr:cNvPr id="2941" name="Line 98">
            <a:extLst>
              <a:ext uri="{FF2B5EF4-FFF2-40B4-BE49-F238E27FC236}">
                <a16:creationId xmlns:a16="http://schemas.microsoft.com/office/drawing/2014/main" id="{18E8552D-AF75-4EE2-BD0E-34B3EFFECB34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2" name="Freeform 99">
            <a:extLst>
              <a:ext uri="{FF2B5EF4-FFF2-40B4-BE49-F238E27FC236}">
                <a16:creationId xmlns:a16="http://schemas.microsoft.com/office/drawing/2014/main" id="{781090BD-742F-4900-A17B-63CF37081859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43" name="Freeform 100">
            <a:extLst>
              <a:ext uri="{FF2B5EF4-FFF2-40B4-BE49-F238E27FC236}">
                <a16:creationId xmlns:a16="http://schemas.microsoft.com/office/drawing/2014/main" id="{6B3D6594-3855-4DB1-9E4E-64D7C8818E8B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44" name="Line 101">
            <a:extLst>
              <a:ext uri="{FF2B5EF4-FFF2-40B4-BE49-F238E27FC236}">
                <a16:creationId xmlns:a16="http://schemas.microsoft.com/office/drawing/2014/main" id="{3EE0656E-F762-4027-8335-1190CD1B8E5A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5" name="Freeform 102">
            <a:extLst>
              <a:ext uri="{FF2B5EF4-FFF2-40B4-BE49-F238E27FC236}">
                <a16:creationId xmlns:a16="http://schemas.microsoft.com/office/drawing/2014/main" id="{63B29B50-A807-4A2A-AA66-BAAC708496A5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933450</xdr:rowOff>
    </xdr:from>
    <xdr:to>
      <xdr:col>6</xdr:col>
      <xdr:colOff>38100</xdr:colOff>
      <xdr:row>15</xdr:row>
      <xdr:rowOff>1114425</xdr:rowOff>
    </xdr:to>
    <xdr:grpSp>
      <xdr:nvGrpSpPr>
        <xdr:cNvPr id="2911" name="Group 103">
          <a:extLst>
            <a:ext uri="{FF2B5EF4-FFF2-40B4-BE49-F238E27FC236}">
              <a16:creationId xmlns:a16="http://schemas.microsoft.com/office/drawing/2014/main" id="{67EE1287-C3C3-411D-818A-CB5D97F1B6EC}"/>
            </a:ext>
          </a:extLst>
        </xdr:cNvPr>
        <xdr:cNvGrpSpPr>
          <a:grpSpLocks/>
        </xdr:cNvGrpSpPr>
      </xdr:nvGrpSpPr>
      <xdr:grpSpPr bwMode="auto">
        <a:xfrm>
          <a:off x="1085850" y="6048375"/>
          <a:ext cx="457200" cy="180975"/>
          <a:chOff x="114" y="640"/>
          <a:chExt cx="48" cy="19"/>
        </a:xfrm>
      </xdr:grpSpPr>
      <xdr:sp macro="" textlink="">
        <xdr:nvSpPr>
          <xdr:cNvPr id="2936" name="Line 104">
            <a:extLst>
              <a:ext uri="{FF2B5EF4-FFF2-40B4-BE49-F238E27FC236}">
                <a16:creationId xmlns:a16="http://schemas.microsoft.com/office/drawing/2014/main" id="{599CA3C4-91B3-4307-B2FF-8C4AC0A49EF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7" name="Freeform 105">
            <a:extLst>
              <a:ext uri="{FF2B5EF4-FFF2-40B4-BE49-F238E27FC236}">
                <a16:creationId xmlns:a16="http://schemas.microsoft.com/office/drawing/2014/main" id="{4C5E417D-42DA-4610-A463-A823711A82F3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38" name="Freeform 106">
            <a:extLst>
              <a:ext uri="{FF2B5EF4-FFF2-40B4-BE49-F238E27FC236}">
                <a16:creationId xmlns:a16="http://schemas.microsoft.com/office/drawing/2014/main" id="{B19C9AE3-C45A-429A-907D-36AD110332E6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39" name="Line 107">
            <a:extLst>
              <a:ext uri="{FF2B5EF4-FFF2-40B4-BE49-F238E27FC236}">
                <a16:creationId xmlns:a16="http://schemas.microsoft.com/office/drawing/2014/main" id="{4B31E2EE-8ED1-4DE7-9C5A-8B49E987CF5F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40" name="Freeform 108">
            <a:extLst>
              <a:ext uri="{FF2B5EF4-FFF2-40B4-BE49-F238E27FC236}">
                <a16:creationId xmlns:a16="http://schemas.microsoft.com/office/drawing/2014/main" id="{872ACC66-1843-4E83-A17A-F905154D98AA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60325</xdr:colOff>
      <xdr:row>9</xdr:row>
      <xdr:rowOff>152400</xdr:rowOff>
    </xdr:from>
    <xdr:to>
      <xdr:col>6</xdr:col>
      <xdr:colOff>111131</xdr:colOff>
      <xdr:row>12</xdr:row>
      <xdr:rowOff>155604</xdr:rowOff>
    </xdr:to>
    <xdr:sp macro="" textlink="">
      <xdr:nvSpPr>
        <xdr:cNvPr id="2162" name="Text Box 114">
          <a:extLst>
            <a:ext uri="{FF2B5EF4-FFF2-40B4-BE49-F238E27FC236}">
              <a16:creationId xmlns:a16="http://schemas.microsoft.com/office/drawing/2014/main" id="{8952C52A-8E86-442F-9CA8-1B57FE863724}"/>
            </a:ext>
          </a:extLst>
        </xdr:cNvPr>
        <xdr:cNvSpPr txBox="1">
          <a:spLocks noChangeArrowheads="1"/>
        </xdr:cNvSpPr>
      </xdr:nvSpPr>
      <xdr:spPr bwMode="auto">
        <a:xfrm>
          <a:off x="66675" y="3895725"/>
          <a:ext cx="1552575" cy="695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※宝橋工事に伴う暫定現示</a:t>
          </a: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292100</xdr:colOff>
      <xdr:row>15</xdr:row>
      <xdr:rowOff>1279525</xdr:rowOff>
    </xdr:from>
    <xdr:to>
      <xdr:col>6</xdr:col>
      <xdr:colOff>18995</xdr:colOff>
      <xdr:row>15</xdr:row>
      <xdr:rowOff>1447927</xdr:rowOff>
    </xdr:to>
    <xdr:sp macro="" textlink="">
      <xdr:nvSpPr>
        <xdr:cNvPr id="2163" name="Text Box 115">
          <a:extLst>
            <a:ext uri="{FF2B5EF4-FFF2-40B4-BE49-F238E27FC236}">
              <a16:creationId xmlns:a16="http://schemas.microsoft.com/office/drawing/2014/main" id="{C6B6CE6A-2954-41F6-993A-1026A303122A}"/>
            </a:ext>
          </a:extLst>
        </xdr:cNvPr>
        <xdr:cNvSpPr txBox="1">
          <a:spLocks noChangeArrowheads="1"/>
        </xdr:cNvSpPr>
      </xdr:nvSpPr>
      <xdr:spPr bwMode="auto">
        <a:xfrm>
          <a:off x="117157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15.4m</a:t>
          </a:r>
        </a:p>
      </xdr:txBody>
    </xdr:sp>
    <xdr:clientData/>
  </xdr:twoCellAnchor>
  <xdr:twoCellAnchor>
    <xdr:from>
      <xdr:col>9</xdr:col>
      <xdr:colOff>307975</xdr:colOff>
      <xdr:row>15</xdr:row>
      <xdr:rowOff>1181100</xdr:rowOff>
    </xdr:from>
    <xdr:to>
      <xdr:col>11</xdr:col>
      <xdr:colOff>22939</xdr:colOff>
      <xdr:row>15</xdr:row>
      <xdr:rowOff>1336797</xdr:rowOff>
    </xdr:to>
    <xdr:sp macro="" textlink="">
      <xdr:nvSpPr>
        <xdr:cNvPr id="2164" name="Text Box 116">
          <a:extLst>
            <a:ext uri="{FF2B5EF4-FFF2-40B4-BE49-F238E27FC236}">
              <a16:creationId xmlns:a16="http://schemas.microsoft.com/office/drawing/2014/main" id="{28AEC322-CD8B-4387-AD03-803B95BB7A5F}"/>
            </a:ext>
          </a:extLst>
        </xdr:cNvPr>
        <xdr:cNvSpPr txBox="1">
          <a:spLocks noChangeArrowheads="1"/>
        </xdr:cNvSpPr>
      </xdr:nvSpPr>
      <xdr:spPr bwMode="auto">
        <a:xfrm>
          <a:off x="27527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19.0m</a:t>
          </a:r>
        </a:p>
      </xdr:txBody>
    </xdr:sp>
    <xdr:clientData/>
  </xdr:twoCellAnchor>
  <xdr:twoCellAnchor editAs="oneCell">
    <xdr:from>
      <xdr:col>21</xdr:col>
      <xdr:colOff>47625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2915" name="Picture 117" descr="北マーク（北東）">
          <a:extLst>
            <a:ext uri="{FF2B5EF4-FFF2-40B4-BE49-F238E27FC236}">
              <a16:creationId xmlns:a16="http://schemas.microsoft.com/office/drawing/2014/main" id="{45151DAB-7D5A-4AB4-945F-09657255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269875</xdr:colOff>
      <xdr:row>3</xdr:row>
      <xdr:rowOff>98425</xdr:rowOff>
    </xdr:from>
    <xdr:to>
      <xdr:col>21</xdr:col>
      <xdr:colOff>209643</xdr:colOff>
      <xdr:row>7</xdr:row>
      <xdr:rowOff>777881</xdr:rowOff>
    </xdr:to>
    <xdr:sp macro="" textlink="">
      <xdr:nvSpPr>
        <xdr:cNvPr id="2166" name="Text Box 118">
          <a:extLst>
            <a:ext uri="{FF2B5EF4-FFF2-40B4-BE49-F238E27FC236}">
              <a16:creationId xmlns:a16="http://schemas.microsoft.com/office/drawing/2014/main" id="{8A72C36E-20C8-42BC-998D-7C372ABD2526}"/>
            </a:ext>
          </a:extLst>
        </xdr:cNvPr>
        <xdr:cNvSpPr txBox="1">
          <a:spLocks noChangeArrowheads="1"/>
        </xdr:cNvSpPr>
      </xdr:nvSpPr>
      <xdr:spPr bwMode="auto">
        <a:xfrm>
          <a:off x="6181725" y="8286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60325</xdr:colOff>
      <xdr:row>8</xdr:row>
      <xdr:rowOff>0</xdr:rowOff>
    </xdr:from>
    <xdr:to>
      <xdr:col>10</xdr:col>
      <xdr:colOff>231775</xdr:colOff>
      <xdr:row>9</xdr:row>
      <xdr:rowOff>38100</xdr:rowOff>
    </xdr:to>
    <xdr:sp macro="" textlink="">
      <xdr:nvSpPr>
        <xdr:cNvPr id="2167" name="Text Box 119">
          <a:extLst>
            <a:ext uri="{FF2B5EF4-FFF2-40B4-BE49-F238E27FC236}">
              <a16:creationId xmlns:a16="http://schemas.microsoft.com/office/drawing/2014/main" id="{4707DF78-DED6-4DD5-978A-7E1BD92A682A}"/>
            </a:ext>
          </a:extLst>
        </xdr:cNvPr>
        <xdr:cNvSpPr txBox="1">
          <a:spLocks noChangeArrowheads="1"/>
        </xdr:cNvSpPr>
      </xdr:nvSpPr>
      <xdr:spPr bwMode="auto">
        <a:xfrm>
          <a:off x="1257300" y="3514725"/>
          <a:ext cx="17430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警固屋</a:t>
          </a:r>
        </a:p>
      </xdr:txBody>
    </xdr:sp>
    <xdr:clientData/>
  </xdr:twoCellAnchor>
  <xdr:twoCellAnchor>
    <xdr:from>
      <xdr:col>17</xdr:col>
      <xdr:colOff>60325</xdr:colOff>
      <xdr:row>3</xdr:row>
      <xdr:rowOff>19050</xdr:rowOff>
    </xdr:from>
    <xdr:to>
      <xdr:col>18</xdr:col>
      <xdr:colOff>143201</xdr:colOff>
      <xdr:row>3</xdr:row>
      <xdr:rowOff>155713</xdr:rowOff>
    </xdr:to>
    <xdr:sp macro="" textlink="">
      <xdr:nvSpPr>
        <xdr:cNvPr id="2168" name="Text Box 120">
          <a:extLst>
            <a:ext uri="{FF2B5EF4-FFF2-40B4-BE49-F238E27FC236}">
              <a16:creationId xmlns:a16="http://schemas.microsoft.com/office/drawing/2014/main" id="{46194D73-D5B1-41C8-B8FF-283126C77F8B}"/>
            </a:ext>
          </a:extLst>
        </xdr:cNvPr>
        <xdr:cNvSpPr txBox="1">
          <a:spLocks noChangeArrowheads="1"/>
        </xdr:cNvSpPr>
      </xdr:nvSpPr>
      <xdr:spPr bwMode="auto">
        <a:xfrm>
          <a:off x="5029200" y="7429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161925</xdr:colOff>
      <xdr:row>7</xdr:row>
      <xdr:rowOff>514350</xdr:rowOff>
    </xdr:from>
    <xdr:to>
      <xdr:col>20</xdr:col>
      <xdr:colOff>231775</xdr:colOff>
      <xdr:row>7</xdr:row>
      <xdr:rowOff>657225</xdr:rowOff>
    </xdr:to>
    <xdr:sp macro="" textlink="">
      <xdr:nvSpPr>
        <xdr:cNvPr id="2169" name="Text Box 121">
          <a:extLst>
            <a:ext uri="{FF2B5EF4-FFF2-40B4-BE49-F238E27FC236}">
              <a16:creationId xmlns:a16="http://schemas.microsoft.com/office/drawing/2014/main" id="{B73E6115-9F5C-4364-B814-645815C0A287}"/>
            </a:ext>
          </a:extLst>
        </xdr:cNvPr>
        <xdr:cNvSpPr txBox="1">
          <a:spLocks noChangeArrowheads="1"/>
        </xdr:cNvSpPr>
      </xdr:nvSpPr>
      <xdr:spPr bwMode="auto">
        <a:xfrm>
          <a:off x="5753100" y="21526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14</xdr:col>
      <xdr:colOff>57150</xdr:colOff>
      <xdr:row>15</xdr:row>
      <xdr:rowOff>571500</xdr:rowOff>
    </xdr:from>
    <xdr:to>
      <xdr:col>15</xdr:col>
      <xdr:colOff>47625</xdr:colOff>
      <xdr:row>15</xdr:row>
      <xdr:rowOff>1314450</xdr:rowOff>
    </xdr:to>
    <xdr:grpSp>
      <xdr:nvGrpSpPr>
        <xdr:cNvPr id="2920" name="Group 124">
          <a:extLst>
            <a:ext uri="{FF2B5EF4-FFF2-40B4-BE49-F238E27FC236}">
              <a16:creationId xmlns:a16="http://schemas.microsoft.com/office/drawing/2014/main" id="{1759E0C4-B39E-4A9F-9AA9-A8239CD140D3}"/>
            </a:ext>
          </a:extLst>
        </xdr:cNvPr>
        <xdr:cNvGrpSpPr>
          <a:grpSpLocks/>
        </xdr:cNvGrpSpPr>
      </xdr:nvGrpSpPr>
      <xdr:grpSpPr bwMode="auto">
        <a:xfrm flipH="1" flipV="1">
          <a:off x="4076700" y="5686425"/>
          <a:ext cx="304800" cy="742950"/>
          <a:chOff x="424" y="565"/>
          <a:chExt cx="32" cy="78"/>
        </a:xfrm>
      </xdr:grpSpPr>
      <xdr:sp macro="" textlink="">
        <xdr:nvSpPr>
          <xdr:cNvPr id="2929" name="Line 125">
            <a:extLst>
              <a:ext uri="{FF2B5EF4-FFF2-40B4-BE49-F238E27FC236}">
                <a16:creationId xmlns:a16="http://schemas.microsoft.com/office/drawing/2014/main" id="{CCB67579-3056-46A2-AC92-0D001088DA8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0" name="Freeform 126">
            <a:extLst>
              <a:ext uri="{FF2B5EF4-FFF2-40B4-BE49-F238E27FC236}">
                <a16:creationId xmlns:a16="http://schemas.microsoft.com/office/drawing/2014/main" id="{C657B8EB-70EB-41FF-8735-F43C70A4F1F0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31" name="Line 127">
            <a:extLst>
              <a:ext uri="{FF2B5EF4-FFF2-40B4-BE49-F238E27FC236}">
                <a16:creationId xmlns:a16="http://schemas.microsoft.com/office/drawing/2014/main" id="{E0181488-9331-4B29-A5C1-72E9FB2A836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2" name="Freeform 128">
            <a:extLst>
              <a:ext uri="{FF2B5EF4-FFF2-40B4-BE49-F238E27FC236}">
                <a16:creationId xmlns:a16="http://schemas.microsoft.com/office/drawing/2014/main" id="{4EECB029-8D53-45F9-8734-FFB3B4DC6357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33" name="Freeform 129">
            <a:extLst>
              <a:ext uri="{FF2B5EF4-FFF2-40B4-BE49-F238E27FC236}">
                <a16:creationId xmlns:a16="http://schemas.microsoft.com/office/drawing/2014/main" id="{367CCF38-7C0D-4F2B-B25F-9E8AB00E84ED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934" name="Line 130">
            <a:extLst>
              <a:ext uri="{FF2B5EF4-FFF2-40B4-BE49-F238E27FC236}">
                <a16:creationId xmlns:a16="http://schemas.microsoft.com/office/drawing/2014/main" id="{BEFEF54E-27F5-4940-91DF-A183FFD66E3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35" name="Freeform 131">
            <a:extLst>
              <a:ext uri="{FF2B5EF4-FFF2-40B4-BE49-F238E27FC236}">
                <a16:creationId xmlns:a16="http://schemas.microsoft.com/office/drawing/2014/main" id="{2BBC5B86-121A-453D-A490-0DE5A808B1DA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209550</xdr:colOff>
      <xdr:row>15</xdr:row>
      <xdr:rowOff>571500</xdr:rowOff>
    </xdr:from>
    <xdr:to>
      <xdr:col>16</xdr:col>
      <xdr:colOff>190500</xdr:colOff>
      <xdr:row>15</xdr:row>
      <xdr:rowOff>638175</xdr:rowOff>
    </xdr:to>
    <xdr:grpSp>
      <xdr:nvGrpSpPr>
        <xdr:cNvPr id="2921" name="Group 135">
          <a:extLst>
            <a:ext uri="{FF2B5EF4-FFF2-40B4-BE49-F238E27FC236}">
              <a16:creationId xmlns:a16="http://schemas.microsoft.com/office/drawing/2014/main" id="{F164F9BF-415C-4CD8-AE00-F4E6DE3171C8}"/>
            </a:ext>
          </a:extLst>
        </xdr:cNvPr>
        <xdr:cNvGrpSpPr>
          <a:grpSpLocks/>
        </xdr:cNvGrpSpPr>
      </xdr:nvGrpSpPr>
      <xdr:grpSpPr bwMode="auto">
        <a:xfrm>
          <a:off x="4543425" y="5686425"/>
          <a:ext cx="295275" cy="66675"/>
          <a:chOff x="485" y="594"/>
          <a:chExt cx="31" cy="7"/>
        </a:xfrm>
      </xdr:grpSpPr>
      <xdr:sp macro="" textlink="">
        <xdr:nvSpPr>
          <xdr:cNvPr id="2927" name="Line 133">
            <a:extLst>
              <a:ext uri="{FF2B5EF4-FFF2-40B4-BE49-F238E27FC236}">
                <a16:creationId xmlns:a16="http://schemas.microsoft.com/office/drawing/2014/main" id="{0BFB333A-8B18-47F6-BEA9-656E078FAB9C}"/>
              </a:ext>
            </a:extLst>
          </xdr:cNvPr>
          <xdr:cNvSpPr>
            <a:spLocks noChangeShapeType="1"/>
          </xdr:cNvSpPr>
        </xdr:nvSpPr>
        <xdr:spPr bwMode="auto">
          <a:xfrm>
            <a:off x="485" y="597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8" name="Freeform 134">
            <a:extLst>
              <a:ext uri="{FF2B5EF4-FFF2-40B4-BE49-F238E27FC236}">
                <a16:creationId xmlns:a16="http://schemas.microsoft.com/office/drawing/2014/main" id="{DEE69B0A-8A47-46A2-8BE7-0B4CE9D7CBF6}"/>
              </a:ext>
            </a:extLst>
          </xdr:cNvPr>
          <xdr:cNvSpPr>
            <a:spLocks/>
          </xdr:cNvSpPr>
        </xdr:nvSpPr>
        <xdr:spPr bwMode="auto">
          <a:xfrm>
            <a:off x="510" y="594"/>
            <a:ext cx="6" cy="7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21</xdr:row>
      <xdr:rowOff>47625</xdr:rowOff>
    </xdr:from>
    <xdr:to>
      <xdr:col>15</xdr:col>
      <xdr:colOff>304800</xdr:colOff>
      <xdr:row>21</xdr:row>
      <xdr:rowOff>190500</xdr:rowOff>
    </xdr:to>
    <xdr:sp macro="" textlink="">
      <xdr:nvSpPr>
        <xdr:cNvPr id="2922" name="Freeform 140">
          <a:extLst>
            <a:ext uri="{FF2B5EF4-FFF2-40B4-BE49-F238E27FC236}">
              <a16:creationId xmlns:a16="http://schemas.microsoft.com/office/drawing/2014/main" id="{646C7A15-3D59-41EB-93EA-4B4F0F8EF9CA}"/>
            </a:ext>
          </a:extLst>
        </xdr:cNvPr>
        <xdr:cNvSpPr>
          <a:spLocks/>
        </xdr:cNvSpPr>
      </xdr:nvSpPr>
      <xdr:spPr bwMode="auto">
        <a:xfrm>
          <a:off x="4343400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21</xdr:row>
      <xdr:rowOff>95250</xdr:rowOff>
    </xdr:from>
    <xdr:to>
      <xdr:col>17</xdr:col>
      <xdr:colOff>0</xdr:colOff>
      <xdr:row>21</xdr:row>
      <xdr:rowOff>142875</xdr:rowOff>
    </xdr:to>
    <xdr:grpSp>
      <xdr:nvGrpSpPr>
        <xdr:cNvPr id="2923" name="Group 141">
          <a:extLst>
            <a:ext uri="{FF2B5EF4-FFF2-40B4-BE49-F238E27FC236}">
              <a16:creationId xmlns:a16="http://schemas.microsoft.com/office/drawing/2014/main" id="{72FAAFB5-70D4-40BE-8F0E-9C7231BBB1FD}"/>
            </a:ext>
          </a:extLst>
        </xdr:cNvPr>
        <xdr:cNvGrpSpPr>
          <a:grpSpLocks/>
        </xdr:cNvGrpSpPr>
      </xdr:nvGrpSpPr>
      <xdr:grpSpPr bwMode="auto">
        <a:xfrm>
          <a:off x="4648200" y="7934325"/>
          <a:ext cx="314325" cy="47625"/>
          <a:chOff x="158" y="715"/>
          <a:chExt cx="33" cy="5"/>
        </a:xfrm>
      </xdr:grpSpPr>
      <xdr:sp macro="" textlink="">
        <xdr:nvSpPr>
          <xdr:cNvPr id="2925" name="Line 142">
            <a:extLst>
              <a:ext uri="{FF2B5EF4-FFF2-40B4-BE49-F238E27FC236}">
                <a16:creationId xmlns:a16="http://schemas.microsoft.com/office/drawing/2014/main" id="{3E9FF8AD-345B-43E9-9F47-CE64FE9A1C4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6" name="Line 143">
            <a:extLst>
              <a:ext uri="{FF2B5EF4-FFF2-40B4-BE49-F238E27FC236}">
                <a16:creationId xmlns:a16="http://schemas.microsoft.com/office/drawing/2014/main" id="{75022B63-BE6A-4A70-A843-931E593DB84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18</xdr:row>
      <xdr:rowOff>114300</xdr:rowOff>
    </xdr:from>
    <xdr:to>
      <xdr:col>17</xdr:col>
      <xdr:colOff>9525</xdr:colOff>
      <xdr:row>18</xdr:row>
      <xdr:rowOff>114300</xdr:rowOff>
    </xdr:to>
    <xdr:sp macro="" textlink="">
      <xdr:nvSpPr>
        <xdr:cNvPr id="2924" name="Line 144">
          <a:extLst>
            <a:ext uri="{FF2B5EF4-FFF2-40B4-BE49-F238E27FC236}">
              <a16:creationId xmlns:a16="http://schemas.microsoft.com/office/drawing/2014/main" id="{54001BD2-AE38-487E-9558-842AADF13056}"/>
            </a:ext>
          </a:extLst>
        </xdr:cNvPr>
        <xdr:cNvSpPr>
          <a:spLocks noChangeShapeType="1"/>
        </xdr:cNvSpPr>
      </xdr:nvSpPr>
      <xdr:spPr bwMode="auto">
        <a:xfrm>
          <a:off x="4019550" y="7267575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</xdr:row>
      <xdr:rowOff>9525</xdr:rowOff>
    </xdr:from>
    <xdr:to>
      <xdr:col>20</xdr:col>
      <xdr:colOff>247650</xdr:colOff>
      <xdr:row>7</xdr:row>
      <xdr:rowOff>1847850</xdr:rowOff>
    </xdr:to>
    <xdr:pic>
      <xdr:nvPicPr>
        <xdr:cNvPr id="1993" name="Picture 1" descr="20060">
          <a:extLst>
            <a:ext uri="{FF2B5EF4-FFF2-40B4-BE49-F238E27FC236}">
              <a16:creationId xmlns:a16="http://schemas.microsoft.com/office/drawing/2014/main" id="{CDF37509-BC62-4D9B-B063-30E8E09F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733425"/>
          <a:ext cx="5086350" cy="275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38100</xdr:colOff>
      <xdr:row>15</xdr:row>
      <xdr:rowOff>561975</xdr:rowOff>
    </xdr:from>
    <xdr:to>
      <xdr:col>10</xdr:col>
      <xdr:colOff>28575</xdr:colOff>
      <xdr:row>15</xdr:row>
      <xdr:rowOff>1304925</xdr:rowOff>
    </xdr:to>
    <xdr:grpSp>
      <xdr:nvGrpSpPr>
        <xdr:cNvPr id="1994" name="Group 2">
          <a:extLst>
            <a:ext uri="{FF2B5EF4-FFF2-40B4-BE49-F238E27FC236}">
              <a16:creationId xmlns:a16="http://schemas.microsoft.com/office/drawing/2014/main" id="{5748BB60-2EC4-4D82-A692-68055785CA2F}"/>
            </a:ext>
          </a:extLst>
        </xdr:cNvPr>
        <xdr:cNvGrpSpPr>
          <a:grpSpLocks/>
        </xdr:cNvGrpSpPr>
      </xdr:nvGrpSpPr>
      <xdr:grpSpPr bwMode="auto">
        <a:xfrm flipH="1" flipV="1">
          <a:off x="2486025" y="5676900"/>
          <a:ext cx="304800" cy="742950"/>
          <a:chOff x="424" y="565"/>
          <a:chExt cx="32" cy="78"/>
        </a:xfrm>
      </xdr:grpSpPr>
      <xdr:sp macro="" textlink="">
        <xdr:nvSpPr>
          <xdr:cNvPr id="6203" name="Line 3">
            <a:extLst>
              <a:ext uri="{FF2B5EF4-FFF2-40B4-BE49-F238E27FC236}">
                <a16:creationId xmlns:a16="http://schemas.microsoft.com/office/drawing/2014/main" id="{C395B54C-BE10-454A-BF51-F2A33F2B106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4" name="Freeform 4">
            <a:extLst>
              <a:ext uri="{FF2B5EF4-FFF2-40B4-BE49-F238E27FC236}">
                <a16:creationId xmlns:a16="http://schemas.microsoft.com/office/drawing/2014/main" id="{08E1514B-2D46-4BD3-A8EC-4D65E91E845D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05" name="Line 5">
            <a:extLst>
              <a:ext uri="{FF2B5EF4-FFF2-40B4-BE49-F238E27FC236}">
                <a16:creationId xmlns:a16="http://schemas.microsoft.com/office/drawing/2014/main" id="{FD790C5F-4C53-4207-9F62-DEAF0448233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6" name="Freeform 6">
            <a:extLst>
              <a:ext uri="{FF2B5EF4-FFF2-40B4-BE49-F238E27FC236}">
                <a16:creationId xmlns:a16="http://schemas.microsoft.com/office/drawing/2014/main" id="{611C76B3-58A3-4725-9982-F1BACA398601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07" name="Freeform 7">
            <a:extLst>
              <a:ext uri="{FF2B5EF4-FFF2-40B4-BE49-F238E27FC236}">
                <a16:creationId xmlns:a16="http://schemas.microsoft.com/office/drawing/2014/main" id="{C11DCA8A-21A2-41A3-8FE1-9DDCAE5B3792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08" name="Line 8">
            <a:extLst>
              <a:ext uri="{FF2B5EF4-FFF2-40B4-BE49-F238E27FC236}">
                <a16:creationId xmlns:a16="http://schemas.microsoft.com/office/drawing/2014/main" id="{FD6651DA-5B4F-4256-8E8B-CCDE6D394A1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9" name="Freeform 9">
            <a:extLst>
              <a:ext uri="{FF2B5EF4-FFF2-40B4-BE49-F238E27FC236}">
                <a16:creationId xmlns:a16="http://schemas.microsoft.com/office/drawing/2014/main" id="{E4B3D41C-04E2-489B-BA37-2FEA63C1D63C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B1DB7D51-7F7E-47D2-B75D-11F2CBA42172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9525</xdr:colOff>
      <xdr:row>16</xdr:row>
      <xdr:rowOff>104775</xdr:rowOff>
    </xdr:from>
    <xdr:to>
      <xdr:col>14</xdr:col>
      <xdr:colOff>9525</xdr:colOff>
      <xdr:row>16</xdr:row>
      <xdr:rowOff>152400</xdr:rowOff>
    </xdr:to>
    <xdr:grpSp>
      <xdr:nvGrpSpPr>
        <xdr:cNvPr id="1996" name="Group 11">
          <a:extLst>
            <a:ext uri="{FF2B5EF4-FFF2-40B4-BE49-F238E27FC236}">
              <a16:creationId xmlns:a16="http://schemas.microsoft.com/office/drawing/2014/main" id="{2ADA81E8-95F1-4102-986D-9B86EBD9ACCC}"/>
            </a:ext>
          </a:extLst>
        </xdr:cNvPr>
        <xdr:cNvGrpSpPr>
          <a:grpSpLocks/>
        </xdr:cNvGrpSpPr>
      </xdr:nvGrpSpPr>
      <xdr:grpSpPr bwMode="auto">
        <a:xfrm>
          <a:off x="1514475" y="6800850"/>
          <a:ext cx="2514600" cy="47625"/>
          <a:chOff x="158" y="715"/>
          <a:chExt cx="33" cy="5"/>
        </a:xfrm>
      </xdr:grpSpPr>
      <xdr:sp macro="" textlink="">
        <xdr:nvSpPr>
          <xdr:cNvPr id="6201" name="Line 12">
            <a:extLst>
              <a:ext uri="{FF2B5EF4-FFF2-40B4-BE49-F238E27FC236}">
                <a16:creationId xmlns:a16="http://schemas.microsoft.com/office/drawing/2014/main" id="{8AA57FF2-7865-4F3D-A7F3-A09A959F8C1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2" name="Line 13">
            <a:extLst>
              <a:ext uri="{FF2B5EF4-FFF2-40B4-BE49-F238E27FC236}">
                <a16:creationId xmlns:a16="http://schemas.microsoft.com/office/drawing/2014/main" id="{FA579300-C1E9-4C2B-9649-72E95B024DA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997" name="Group 14">
          <a:extLst>
            <a:ext uri="{FF2B5EF4-FFF2-40B4-BE49-F238E27FC236}">
              <a16:creationId xmlns:a16="http://schemas.microsoft.com/office/drawing/2014/main" id="{C8F98944-B2C3-4F23-8D73-FB8BBC33C597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6199" name="Line 15">
            <a:extLst>
              <a:ext uri="{FF2B5EF4-FFF2-40B4-BE49-F238E27FC236}">
                <a16:creationId xmlns:a16="http://schemas.microsoft.com/office/drawing/2014/main" id="{EF9A011C-4F7D-42E9-9F24-6A67D0D9ED9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00" name="Line 16">
            <a:extLst>
              <a:ext uri="{FF2B5EF4-FFF2-40B4-BE49-F238E27FC236}">
                <a16:creationId xmlns:a16="http://schemas.microsoft.com/office/drawing/2014/main" id="{B86547F8-A0E3-44A3-B5D6-2235EE26AAC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998" name="Group 17">
          <a:extLst>
            <a:ext uri="{FF2B5EF4-FFF2-40B4-BE49-F238E27FC236}">
              <a16:creationId xmlns:a16="http://schemas.microsoft.com/office/drawing/2014/main" id="{D24732B2-F905-4A44-AAF4-F2ED4DFA64F6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6195" name="Line 18">
            <a:extLst>
              <a:ext uri="{FF2B5EF4-FFF2-40B4-BE49-F238E27FC236}">
                <a16:creationId xmlns:a16="http://schemas.microsoft.com/office/drawing/2014/main" id="{1C047EE9-99A9-48F5-A0CE-18ACB55308A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6" name="Line 19">
            <a:extLst>
              <a:ext uri="{FF2B5EF4-FFF2-40B4-BE49-F238E27FC236}">
                <a16:creationId xmlns:a16="http://schemas.microsoft.com/office/drawing/2014/main" id="{5D97D806-0D04-4B28-8F2B-3773FFD08E4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7" name="Line 20">
            <a:extLst>
              <a:ext uri="{FF2B5EF4-FFF2-40B4-BE49-F238E27FC236}">
                <a16:creationId xmlns:a16="http://schemas.microsoft.com/office/drawing/2014/main" id="{99DC7462-30FB-4E89-89DE-557D8A976B9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8" name="Line 21">
            <a:extLst>
              <a:ext uri="{FF2B5EF4-FFF2-40B4-BE49-F238E27FC236}">
                <a16:creationId xmlns:a16="http://schemas.microsoft.com/office/drawing/2014/main" id="{3F434978-855B-44CF-98E5-D6BD7B0EE4B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999" name="Line 22">
          <a:extLst>
            <a:ext uri="{FF2B5EF4-FFF2-40B4-BE49-F238E27FC236}">
              <a16:creationId xmlns:a16="http://schemas.microsoft.com/office/drawing/2014/main" id="{24EB9DC1-AF41-472C-A732-3D6D5D601E3D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00" name="Freeform 23">
          <a:extLst>
            <a:ext uri="{FF2B5EF4-FFF2-40B4-BE49-F238E27FC236}">
              <a16:creationId xmlns:a16="http://schemas.microsoft.com/office/drawing/2014/main" id="{E9F8D396-ADB2-46A3-8FA7-6AC2113CF76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2001" name="Line 24">
          <a:extLst>
            <a:ext uri="{FF2B5EF4-FFF2-40B4-BE49-F238E27FC236}">
              <a16:creationId xmlns:a16="http://schemas.microsoft.com/office/drawing/2014/main" id="{6C9C96A7-9C3B-403F-80EB-0E0F159C9162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123825</xdr:colOff>
      <xdr:row>15</xdr:row>
      <xdr:rowOff>419100</xdr:rowOff>
    </xdr:from>
    <xdr:to>
      <xdr:col>13</xdr:col>
      <xdr:colOff>180975</xdr:colOff>
      <xdr:row>15</xdr:row>
      <xdr:rowOff>1152525</xdr:rowOff>
    </xdr:to>
    <xdr:grpSp>
      <xdr:nvGrpSpPr>
        <xdr:cNvPr id="2002" name="Group 25">
          <a:extLst>
            <a:ext uri="{FF2B5EF4-FFF2-40B4-BE49-F238E27FC236}">
              <a16:creationId xmlns:a16="http://schemas.microsoft.com/office/drawing/2014/main" id="{7264244D-F567-47F2-9A42-B5F49F35D667}"/>
            </a:ext>
          </a:extLst>
        </xdr:cNvPr>
        <xdr:cNvGrpSpPr>
          <a:grpSpLocks/>
        </xdr:cNvGrpSpPr>
      </xdr:nvGrpSpPr>
      <xdr:grpSpPr bwMode="auto">
        <a:xfrm rot="5400000">
          <a:off x="3490912" y="5872163"/>
          <a:ext cx="733425" cy="57150"/>
          <a:chOff x="123" y="549"/>
          <a:chExt cx="77" cy="6"/>
        </a:xfrm>
      </xdr:grpSpPr>
      <xdr:sp macro="" textlink="">
        <xdr:nvSpPr>
          <xdr:cNvPr id="6192" name="Line 26">
            <a:extLst>
              <a:ext uri="{FF2B5EF4-FFF2-40B4-BE49-F238E27FC236}">
                <a16:creationId xmlns:a16="http://schemas.microsoft.com/office/drawing/2014/main" id="{F2AB3E6D-2770-46B0-B48C-B8C7E530BC4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3" name="Freeform 27">
            <a:extLst>
              <a:ext uri="{FF2B5EF4-FFF2-40B4-BE49-F238E27FC236}">
                <a16:creationId xmlns:a16="http://schemas.microsoft.com/office/drawing/2014/main" id="{33CA973C-B15B-440D-ABE4-6C78E69B2EE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94" name="Freeform 28">
            <a:extLst>
              <a:ext uri="{FF2B5EF4-FFF2-40B4-BE49-F238E27FC236}">
                <a16:creationId xmlns:a16="http://schemas.microsoft.com/office/drawing/2014/main" id="{1BABB3CE-1FB7-4768-97EE-9C5122B9363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123825</xdr:colOff>
      <xdr:row>15</xdr:row>
      <xdr:rowOff>419100</xdr:rowOff>
    </xdr:from>
    <xdr:to>
      <xdr:col>10</xdr:col>
      <xdr:colOff>180975</xdr:colOff>
      <xdr:row>15</xdr:row>
      <xdr:rowOff>1152525</xdr:rowOff>
    </xdr:to>
    <xdr:grpSp>
      <xdr:nvGrpSpPr>
        <xdr:cNvPr id="2003" name="Group 29">
          <a:extLst>
            <a:ext uri="{FF2B5EF4-FFF2-40B4-BE49-F238E27FC236}">
              <a16:creationId xmlns:a16="http://schemas.microsoft.com/office/drawing/2014/main" id="{D7D97E84-7FB1-49D6-8991-08EEA27F973A}"/>
            </a:ext>
          </a:extLst>
        </xdr:cNvPr>
        <xdr:cNvGrpSpPr>
          <a:grpSpLocks/>
        </xdr:cNvGrpSpPr>
      </xdr:nvGrpSpPr>
      <xdr:grpSpPr bwMode="auto">
        <a:xfrm rot="5400000">
          <a:off x="2547937" y="5872163"/>
          <a:ext cx="733425" cy="57150"/>
          <a:chOff x="123" y="549"/>
          <a:chExt cx="77" cy="6"/>
        </a:xfrm>
      </xdr:grpSpPr>
      <xdr:sp macro="" textlink="">
        <xdr:nvSpPr>
          <xdr:cNvPr id="6189" name="Line 30">
            <a:extLst>
              <a:ext uri="{FF2B5EF4-FFF2-40B4-BE49-F238E27FC236}">
                <a16:creationId xmlns:a16="http://schemas.microsoft.com/office/drawing/2014/main" id="{5768CC00-846F-4E2B-B370-B24EA08BC31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90" name="Freeform 31">
            <a:extLst>
              <a:ext uri="{FF2B5EF4-FFF2-40B4-BE49-F238E27FC236}">
                <a16:creationId xmlns:a16="http://schemas.microsoft.com/office/drawing/2014/main" id="{794DEE97-F72F-42B9-A1D6-C5F651D9E31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91" name="Freeform 32">
            <a:extLst>
              <a:ext uri="{FF2B5EF4-FFF2-40B4-BE49-F238E27FC236}">
                <a16:creationId xmlns:a16="http://schemas.microsoft.com/office/drawing/2014/main" id="{E106941D-B23C-4E4D-B805-7BA8D3D15A8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18</xdr:row>
      <xdr:rowOff>47625</xdr:rowOff>
    </xdr:from>
    <xdr:to>
      <xdr:col>7</xdr:col>
      <xdr:colOff>304800</xdr:colOff>
      <xdr:row>18</xdr:row>
      <xdr:rowOff>190500</xdr:rowOff>
    </xdr:to>
    <xdr:sp macro="" textlink="">
      <xdr:nvSpPr>
        <xdr:cNvPr id="2004" name="Freeform 33">
          <a:extLst>
            <a:ext uri="{FF2B5EF4-FFF2-40B4-BE49-F238E27FC236}">
              <a16:creationId xmlns:a16="http://schemas.microsoft.com/office/drawing/2014/main" id="{0D828E23-2EE2-4399-9AE5-39B0238A3CE1}"/>
            </a:ext>
          </a:extLst>
        </xdr:cNvPr>
        <xdr:cNvSpPr>
          <a:spLocks/>
        </xdr:cNvSpPr>
      </xdr:nvSpPr>
      <xdr:spPr bwMode="auto">
        <a:xfrm>
          <a:off x="1828800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114300</xdr:rowOff>
    </xdr:from>
    <xdr:to>
      <xdr:col>7</xdr:col>
      <xdr:colOff>0</xdr:colOff>
      <xdr:row>18</xdr:row>
      <xdr:rowOff>114300</xdr:rowOff>
    </xdr:to>
    <xdr:sp macro="" textlink="">
      <xdr:nvSpPr>
        <xdr:cNvPr id="2005" name="Line 34">
          <a:extLst>
            <a:ext uri="{FF2B5EF4-FFF2-40B4-BE49-F238E27FC236}">
              <a16:creationId xmlns:a16="http://schemas.microsoft.com/office/drawing/2014/main" id="{8C236993-BC58-4074-81DB-E554C9FD94C7}"/>
            </a:ext>
          </a:extLst>
        </xdr:cNvPr>
        <xdr:cNvSpPr>
          <a:spLocks noChangeShapeType="1"/>
        </xdr:cNvSpPr>
      </xdr:nvSpPr>
      <xdr:spPr bwMode="auto">
        <a:xfrm>
          <a:off x="876300" y="72675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18</xdr:row>
      <xdr:rowOff>47625</xdr:rowOff>
    </xdr:from>
    <xdr:to>
      <xdr:col>12</xdr:col>
      <xdr:colOff>304800</xdr:colOff>
      <xdr:row>18</xdr:row>
      <xdr:rowOff>190500</xdr:rowOff>
    </xdr:to>
    <xdr:sp macro="" textlink="">
      <xdr:nvSpPr>
        <xdr:cNvPr id="2006" name="Freeform 35">
          <a:extLst>
            <a:ext uri="{FF2B5EF4-FFF2-40B4-BE49-F238E27FC236}">
              <a16:creationId xmlns:a16="http://schemas.microsoft.com/office/drawing/2014/main" id="{E976BE43-37A5-4303-BB36-82E0D8108F66}"/>
            </a:ext>
          </a:extLst>
        </xdr:cNvPr>
        <xdr:cNvSpPr>
          <a:spLocks/>
        </xdr:cNvSpPr>
      </xdr:nvSpPr>
      <xdr:spPr bwMode="auto">
        <a:xfrm>
          <a:off x="3400425" y="72009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007" name="Group 36">
          <a:extLst>
            <a:ext uri="{FF2B5EF4-FFF2-40B4-BE49-F238E27FC236}">
              <a16:creationId xmlns:a16="http://schemas.microsoft.com/office/drawing/2014/main" id="{D3E82497-DDBA-4FBC-8D4C-DCF91A14DB05}"/>
            </a:ext>
          </a:extLst>
        </xdr:cNvPr>
        <xdr:cNvGrpSpPr>
          <a:grpSpLocks/>
        </xdr:cNvGrpSpPr>
      </xdr:nvGrpSpPr>
      <xdr:grpSpPr bwMode="auto">
        <a:xfrm>
          <a:off x="3705225" y="7248525"/>
          <a:ext cx="314325" cy="47625"/>
          <a:chOff x="158" y="715"/>
          <a:chExt cx="33" cy="5"/>
        </a:xfrm>
      </xdr:grpSpPr>
      <xdr:sp macro="" textlink="">
        <xdr:nvSpPr>
          <xdr:cNvPr id="6187" name="Line 37">
            <a:extLst>
              <a:ext uri="{FF2B5EF4-FFF2-40B4-BE49-F238E27FC236}">
                <a16:creationId xmlns:a16="http://schemas.microsoft.com/office/drawing/2014/main" id="{EDF360D4-8A87-4F09-8B1C-5B96197C5D4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8" name="Line 38">
            <a:extLst>
              <a:ext uri="{FF2B5EF4-FFF2-40B4-BE49-F238E27FC236}">
                <a16:creationId xmlns:a16="http://schemas.microsoft.com/office/drawing/2014/main" id="{844746A3-6CCA-41A4-B70C-1665DCDDD8B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95250</xdr:rowOff>
    </xdr:from>
    <xdr:to>
      <xdr:col>12</xdr:col>
      <xdr:colOff>0</xdr:colOff>
      <xdr:row>18</xdr:row>
      <xdr:rowOff>142875</xdr:rowOff>
    </xdr:to>
    <xdr:grpSp>
      <xdr:nvGrpSpPr>
        <xdr:cNvPr id="2008" name="Group 39">
          <a:extLst>
            <a:ext uri="{FF2B5EF4-FFF2-40B4-BE49-F238E27FC236}">
              <a16:creationId xmlns:a16="http://schemas.microsoft.com/office/drawing/2014/main" id="{45B27798-59AA-4E03-AA56-C4E5D832D1FD}"/>
            </a:ext>
          </a:extLst>
        </xdr:cNvPr>
        <xdr:cNvGrpSpPr>
          <a:grpSpLocks/>
        </xdr:cNvGrpSpPr>
      </xdr:nvGrpSpPr>
      <xdr:grpSpPr bwMode="auto">
        <a:xfrm>
          <a:off x="2133600" y="7248525"/>
          <a:ext cx="1257300" cy="47625"/>
          <a:chOff x="158" y="715"/>
          <a:chExt cx="33" cy="5"/>
        </a:xfrm>
      </xdr:grpSpPr>
      <xdr:sp macro="" textlink="">
        <xdr:nvSpPr>
          <xdr:cNvPr id="6185" name="Line 40">
            <a:extLst>
              <a:ext uri="{FF2B5EF4-FFF2-40B4-BE49-F238E27FC236}">
                <a16:creationId xmlns:a16="http://schemas.microsoft.com/office/drawing/2014/main" id="{A09AFEE1-7266-400B-9E6D-B1D471484B3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6" name="Line 41">
            <a:extLst>
              <a:ext uri="{FF2B5EF4-FFF2-40B4-BE49-F238E27FC236}">
                <a16:creationId xmlns:a16="http://schemas.microsoft.com/office/drawing/2014/main" id="{D647F79F-FD8C-4DE1-A6FA-698092BBE46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2009" name="Freeform 42">
          <a:extLst>
            <a:ext uri="{FF2B5EF4-FFF2-40B4-BE49-F238E27FC236}">
              <a16:creationId xmlns:a16="http://schemas.microsoft.com/office/drawing/2014/main" id="{D29E5E00-00D2-409D-A3E4-8FF84534B203}"/>
            </a:ext>
          </a:extLst>
        </xdr:cNvPr>
        <xdr:cNvSpPr>
          <a:spLocks/>
        </xdr:cNvSpPr>
      </xdr:nvSpPr>
      <xdr:spPr bwMode="auto">
        <a:xfrm>
          <a:off x="3400425" y="788670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38100</xdr:rowOff>
    </xdr:from>
    <xdr:to>
      <xdr:col>10</xdr:col>
      <xdr:colOff>266700</xdr:colOff>
      <xdr:row>20</xdr:row>
      <xdr:rowOff>190500</xdr:rowOff>
    </xdr:to>
    <xdr:grpSp>
      <xdr:nvGrpSpPr>
        <xdr:cNvPr id="2010" name="Group 43">
          <a:extLst>
            <a:ext uri="{FF2B5EF4-FFF2-40B4-BE49-F238E27FC236}">
              <a16:creationId xmlns:a16="http://schemas.microsoft.com/office/drawing/2014/main" id="{0FC46401-3621-4EA1-A67F-C5584FA5263A}"/>
            </a:ext>
          </a:extLst>
        </xdr:cNvPr>
        <xdr:cNvGrpSpPr>
          <a:grpSpLocks/>
        </xdr:cNvGrpSpPr>
      </xdr:nvGrpSpPr>
      <xdr:grpSpPr bwMode="auto">
        <a:xfrm>
          <a:off x="2809875" y="7648575"/>
          <a:ext cx="219075" cy="152400"/>
          <a:chOff x="132" y="708"/>
          <a:chExt cx="20" cy="14"/>
        </a:xfrm>
      </xdr:grpSpPr>
      <xdr:sp macro="" textlink="">
        <xdr:nvSpPr>
          <xdr:cNvPr id="6181" name="Line 44">
            <a:extLst>
              <a:ext uri="{FF2B5EF4-FFF2-40B4-BE49-F238E27FC236}">
                <a16:creationId xmlns:a16="http://schemas.microsoft.com/office/drawing/2014/main" id="{E951A5C2-6454-477B-B8AD-E15AA16FD84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2" name="Line 45">
            <a:extLst>
              <a:ext uri="{FF2B5EF4-FFF2-40B4-BE49-F238E27FC236}">
                <a16:creationId xmlns:a16="http://schemas.microsoft.com/office/drawing/2014/main" id="{136A3F4D-A818-4715-9423-AE0BEBE839D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3" name="Line 46">
            <a:extLst>
              <a:ext uri="{FF2B5EF4-FFF2-40B4-BE49-F238E27FC236}">
                <a16:creationId xmlns:a16="http://schemas.microsoft.com/office/drawing/2014/main" id="{505B2D8A-D627-4A25-906C-F811B773A6F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4" name="Line 47">
            <a:extLst>
              <a:ext uri="{FF2B5EF4-FFF2-40B4-BE49-F238E27FC236}">
                <a16:creationId xmlns:a16="http://schemas.microsoft.com/office/drawing/2014/main" id="{FA73C5AD-28AD-4EF8-A43A-F5CCFC6B35F4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011" name="Group 48">
          <a:extLst>
            <a:ext uri="{FF2B5EF4-FFF2-40B4-BE49-F238E27FC236}">
              <a16:creationId xmlns:a16="http://schemas.microsoft.com/office/drawing/2014/main" id="{F0CD0E19-9FCF-44AD-ADC9-13484BAD5358}"/>
            </a:ext>
          </a:extLst>
        </xdr:cNvPr>
        <xdr:cNvGrpSpPr>
          <a:grpSpLocks/>
        </xdr:cNvGrpSpPr>
      </xdr:nvGrpSpPr>
      <xdr:grpSpPr bwMode="auto">
        <a:xfrm>
          <a:off x="3076575" y="7705725"/>
          <a:ext cx="942975" cy="47625"/>
          <a:chOff x="158" y="715"/>
          <a:chExt cx="33" cy="5"/>
        </a:xfrm>
      </xdr:grpSpPr>
      <xdr:sp macro="" textlink="">
        <xdr:nvSpPr>
          <xdr:cNvPr id="6179" name="Line 49">
            <a:extLst>
              <a:ext uri="{FF2B5EF4-FFF2-40B4-BE49-F238E27FC236}">
                <a16:creationId xmlns:a16="http://schemas.microsoft.com/office/drawing/2014/main" id="{250B2D85-125E-47D0-A92A-F7A4435EEB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80" name="Line 50">
            <a:extLst>
              <a:ext uri="{FF2B5EF4-FFF2-40B4-BE49-F238E27FC236}">
                <a16:creationId xmlns:a16="http://schemas.microsoft.com/office/drawing/2014/main" id="{F101048D-CE5B-4891-BE25-0D53CD007A8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012" name="Group 51">
          <a:extLst>
            <a:ext uri="{FF2B5EF4-FFF2-40B4-BE49-F238E27FC236}">
              <a16:creationId xmlns:a16="http://schemas.microsoft.com/office/drawing/2014/main" id="{2B103D11-90B7-4A22-8CB6-7B0EACE66AEA}"/>
            </a:ext>
          </a:extLst>
        </xdr:cNvPr>
        <xdr:cNvGrpSpPr>
          <a:grpSpLocks/>
        </xdr:cNvGrpSpPr>
      </xdr:nvGrpSpPr>
      <xdr:grpSpPr bwMode="auto">
        <a:xfrm>
          <a:off x="3705225" y="7934325"/>
          <a:ext cx="314325" cy="47625"/>
          <a:chOff x="158" y="715"/>
          <a:chExt cx="33" cy="5"/>
        </a:xfrm>
      </xdr:grpSpPr>
      <xdr:sp macro="" textlink="">
        <xdr:nvSpPr>
          <xdr:cNvPr id="6177" name="Line 52">
            <a:extLst>
              <a:ext uri="{FF2B5EF4-FFF2-40B4-BE49-F238E27FC236}">
                <a16:creationId xmlns:a16="http://schemas.microsoft.com/office/drawing/2014/main" id="{4007DCE7-0A16-4EBA-83DC-BE31D6FF820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78" name="Line 53">
            <a:extLst>
              <a:ext uri="{FF2B5EF4-FFF2-40B4-BE49-F238E27FC236}">
                <a16:creationId xmlns:a16="http://schemas.microsoft.com/office/drawing/2014/main" id="{A44EEA0C-DBB3-4FAD-B4A9-F51F4714C3C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114300</xdr:rowOff>
    </xdr:from>
    <xdr:to>
      <xdr:col>10</xdr:col>
      <xdr:colOff>0</xdr:colOff>
      <xdr:row>20</xdr:row>
      <xdr:rowOff>114300</xdr:rowOff>
    </xdr:to>
    <xdr:sp macro="" textlink="">
      <xdr:nvSpPr>
        <xdr:cNvPr id="2013" name="Line 54">
          <a:extLst>
            <a:ext uri="{FF2B5EF4-FFF2-40B4-BE49-F238E27FC236}">
              <a16:creationId xmlns:a16="http://schemas.microsoft.com/office/drawing/2014/main" id="{A6542210-CE7D-44B9-B71E-05E9456CF388}"/>
            </a:ext>
          </a:extLst>
        </xdr:cNvPr>
        <xdr:cNvSpPr>
          <a:spLocks noChangeShapeType="1"/>
        </xdr:cNvSpPr>
      </xdr:nvSpPr>
      <xdr:spPr bwMode="auto">
        <a:xfrm>
          <a:off x="2447925" y="7724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2014" name="Line 55">
          <a:extLst>
            <a:ext uri="{FF2B5EF4-FFF2-40B4-BE49-F238E27FC236}">
              <a16:creationId xmlns:a16="http://schemas.microsoft.com/office/drawing/2014/main" id="{29EECC16-A991-4F77-B325-1D25048FC986}"/>
            </a:ext>
          </a:extLst>
        </xdr:cNvPr>
        <xdr:cNvSpPr>
          <a:spLocks noChangeShapeType="1"/>
        </xdr:cNvSpPr>
      </xdr:nvSpPr>
      <xdr:spPr bwMode="auto">
        <a:xfrm>
          <a:off x="2447925" y="7953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95250</xdr:rowOff>
    </xdr:from>
    <xdr:to>
      <xdr:col>9</xdr:col>
      <xdr:colOff>0</xdr:colOff>
      <xdr:row>21</xdr:row>
      <xdr:rowOff>142875</xdr:rowOff>
    </xdr:to>
    <xdr:grpSp>
      <xdr:nvGrpSpPr>
        <xdr:cNvPr id="2015" name="Group 56">
          <a:extLst>
            <a:ext uri="{FF2B5EF4-FFF2-40B4-BE49-F238E27FC236}">
              <a16:creationId xmlns:a16="http://schemas.microsoft.com/office/drawing/2014/main" id="{30CD2E53-A5B2-4BA6-909E-20289F16F95C}"/>
            </a:ext>
          </a:extLst>
        </xdr:cNvPr>
        <xdr:cNvGrpSpPr>
          <a:grpSpLocks/>
        </xdr:cNvGrpSpPr>
      </xdr:nvGrpSpPr>
      <xdr:grpSpPr bwMode="auto">
        <a:xfrm>
          <a:off x="876300" y="7934325"/>
          <a:ext cx="1571625" cy="47625"/>
          <a:chOff x="158" y="715"/>
          <a:chExt cx="33" cy="5"/>
        </a:xfrm>
      </xdr:grpSpPr>
      <xdr:sp macro="" textlink="">
        <xdr:nvSpPr>
          <xdr:cNvPr id="6175" name="Line 57">
            <a:extLst>
              <a:ext uri="{FF2B5EF4-FFF2-40B4-BE49-F238E27FC236}">
                <a16:creationId xmlns:a16="http://schemas.microsoft.com/office/drawing/2014/main" id="{07406B91-A8BA-4F7F-A773-890CB630FA7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76" name="Line 58">
            <a:extLst>
              <a:ext uri="{FF2B5EF4-FFF2-40B4-BE49-F238E27FC236}">
                <a16:creationId xmlns:a16="http://schemas.microsoft.com/office/drawing/2014/main" id="{C926D5C8-1BF2-47F6-B79C-42B18A1D541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016" name="Group 59">
          <a:extLst>
            <a:ext uri="{FF2B5EF4-FFF2-40B4-BE49-F238E27FC236}">
              <a16:creationId xmlns:a16="http://schemas.microsoft.com/office/drawing/2014/main" id="{428F7BCA-1F35-4EE2-AA99-5D35EAAB93AE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1571625" cy="47625"/>
          <a:chOff x="158" y="715"/>
          <a:chExt cx="33" cy="5"/>
        </a:xfrm>
      </xdr:grpSpPr>
      <xdr:sp macro="" textlink="">
        <xdr:nvSpPr>
          <xdr:cNvPr id="6173" name="Line 60">
            <a:extLst>
              <a:ext uri="{FF2B5EF4-FFF2-40B4-BE49-F238E27FC236}">
                <a16:creationId xmlns:a16="http://schemas.microsoft.com/office/drawing/2014/main" id="{B2EE25E3-B96B-4319-80C0-3EFD12E510C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74" name="Line 61">
            <a:extLst>
              <a:ext uri="{FF2B5EF4-FFF2-40B4-BE49-F238E27FC236}">
                <a16:creationId xmlns:a16="http://schemas.microsoft.com/office/drawing/2014/main" id="{D51F1212-63A7-436F-BCD7-C301D02F22A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38100</xdr:rowOff>
    </xdr:from>
    <xdr:to>
      <xdr:col>12</xdr:col>
      <xdr:colOff>0</xdr:colOff>
      <xdr:row>19</xdr:row>
      <xdr:rowOff>209550</xdr:rowOff>
    </xdr:to>
    <xdr:grpSp>
      <xdr:nvGrpSpPr>
        <xdr:cNvPr id="2017" name="Group 62">
          <a:extLst>
            <a:ext uri="{FF2B5EF4-FFF2-40B4-BE49-F238E27FC236}">
              <a16:creationId xmlns:a16="http://schemas.microsoft.com/office/drawing/2014/main" id="{1608F4A7-93B0-4916-B599-0B2C059C3CA2}"/>
            </a:ext>
          </a:extLst>
        </xdr:cNvPr>
        <xdr:cNvGrpSpPr>
          <a:grpSpLocks/>
        </xdr:cNvGrpSpPr>
      </xdr:nvGrpSpPr>
      <xdr:grpSpPr bwMode="auto">
        <a:xfrm>
          <a:off x="1819275" y="7419975"/>
          <a:ext cx="1571625" cy="171450"/>
          <a:chOff x="191" y="779"/>
          <a:chExt cx="165" cy="18"/>
        </a:xfrm>
      </xdr:grpSpPr>
      <xdr:grpSp>
        <xdr:nvGrpSpPr>
          <xdr:cNvPr id="6167" name="Group 63">
            <a:extLst>
              <a:ext uri="{FF2B5EF4-FFF2-40B4-BE49-F238E27FC236}">
                <a16:creationId xmlns:a16="http://schemas.microsoft.com/office/drawing/2014/main" id="{EC325C49-6593-4A7C-A1D3-9143390BB9F9}"/>
              </a:ext>
            </a:extLst>
          </xdr:cNvPr>
          <xdr:cNvGrpSpPr>
            <a:grpSpLocks/>
          </xdr:cNvGrpSpPr>
        </xdr:nvGrpSpPr>
        <xdr:grpSpPr bwMode="auto">
          <a:xfrm rot="10800000">
            <a:off x="259" y="779"/>
            <a:ext cx="29" cy="18"/>
            <a:chOff x="226" y="755"/>
            <a:chExt cx="29" cy="18"/>
          </a:xfrm>
        </xdr:grpSpPr>
        <xdr:sp macro="" textlink="">
          <xdr:nvSpPr>
            <xdr:cNvPr id="6170" name="Oval 64">
              <a:extLst>
                <a:ext uri="{FF2B5EF4-FFF2-40B4-BE49-F238E27FC236}">
                  <a16:creationId xmlns:a16="http://schemas.microsoft.com/office/drawing/2014/main" id="{335DF15C-096D-4EE2-AEB5-D706B0066E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6" y="755"/>
              <a:ext cx="29" cy="18"/>
            </a:xfrm>
            <a:prstGeom prst="ellips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71" name="Line 65">
              <a:extLst>
                <a:ext uri="{FF2B5EF4-FFF2-40B4-BE49-F238E27FC236}">
                  <a16:creationId xmlns:a16="http://schemas.microsoft.com/office/drawing/2014/main" id="{5DE2CF96-5F9F-4317-987B-7664585AE0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" y="764"/>
              <a:ext cx="18" cy="0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172" name="Freeform 66">
              <a:extLst>
                <a:ext uri="{FF2B5EF4-FFF2-40B4-BE49-F238E27FC236}">
                  <a16:creationId xmlns:a16="http://schemas.microsoft.com/office/drawing/2014/main" id="{014D95CF-4900-4EB1-B522-03092790B72A}"/>
                </a:ext>
              </a:extLst>
            </xdr:cNvPr>
            <xdr:cNvSpPr>
              <a:spLocks/>
            </xdr:cNvSpPr>
          </xdr:nvSpPr>
          <xdr:spPr bwMode="auto">
            <a:xfrm>
              <a:off x="240" y="760"/>
              <a:ext cx="11" cy="8"/>
            </a:xfrm>
            <a:custGeom>
              <a:avLst/>
              <a:gdLst>
                <a:gd name="T0" fmla="*/ 0 w 268"/>
                <a:gd name="T1" fmla="*/ 0 h 208"/>
                <a:gd name="T2" fmla="*/ 0 w 268"/>
                <a:gd name="T3" fmla="*/ 0 h 208"/>
                <a:gd name="T4" fmla="*/ 0 w 268"/>
                <a:gd name="T5" fmla="*/ 0 h 208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68" h="208">
                  <a:moveTo>
                    <a:pt x="0" y="208"/>
                  </a:moveTo>
                  <a:lnTo>
                    <a:pt x="268" y="107"/>
                  </a:lnTo>
                  <a:lnTo>
                    <a:pt x="0" y="0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6168" name="Line 67">
            <a:extLst>
              <a:ext uri="{FF2B5EF4-FFF2-40B4-BE49-F238E27FC236}">
                <a16:creationId xmlns:a16="http://schemas.microsoft.com/office/drawing/2014/main" id="{A1E17060-A2DD-4017-965D-D3A0C3D212F8}"/>
              </a:ext>
            </a:extLst>
          </xdr:cNvPr>
          <xdr:cNvSpPr>
            <a:spLocks noChangeShapeType="1"/>
          </xdr:cNvSpPr>
        </xdr:nvSpPr>
        <xdr:spPr bwMode="auto">
          <a:xfrm>
            <a:off x="288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9" name="Line 68">
            <a:extLst>
              <a:ext uri="{FF2B5EF4-FFF2-40B4-BE49-F238E27FC236}">
                <a16:creationId xmlns:a16="http://schemas.microsoft.com/office/drawing/2014/main" id="{CC005779-7BE0-4032-8178-7BFC89E95F1D}"/>
              </a:ext>
            </a:extLst>
          </xdr:cNvPr>
          <xdr:cNvSpPr>
            <a:spLocks noChangeShapeType="1"/>
          </xdr:cNvSpPr>
        </xdr:nvSpPr>
        <xdr:spPr bwMode="auto">
          <a:xfrm>
            <a:off x="191" y="788"/>
            <a:ext cx="6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304800</xdr:colOff>
      <xdr:row>15</xdr:row>
      <xdr:rowOff>276225</xdr:rowOff>
    </xdr:from>
    <xdr:to>
      <xdr:col>12</xdr:col>
      <xdr:colOff>295275</xdr:colOff>
      <xdr:row>15</xdr:row>
      <xdr:rowOff>1019175</xdr:rowOff>
    </xdr:to>
    <xdr:grpSp>
      <xdr:nvGrpSpPr>
        <xdr:cNvPr id="2018" name="Group 69">
          <a:extLst>
            <a:ext uri="{FF2B5EF4-FFF2-40B4-BE49-F238E27FC236}">
              <a16:creationId xmlns:a16="http://schemas.microsoft.com/office/drawing/2014/main" id="{B901CE10-4745-44A4-BE8B-B3BDAD99ED14}"/>
            </a:ext>
          </a:extLst>
        </xdr:cNvPr>
        <xdr:cNvGrpSpPr>
          <a:grpSpLocks/>
        </xdr:cNvGrpSpPr>
      </xdr:nvGrpSpPr>
      <xdr:grpSpPr bwMode="auto">
        <a:xfrm>
          <a:off x="3381375" y="5391150"/>
          <a:ext cx="304800" cy="742950"/>
          <a:chOff x="424" y="565"/>
          <a:chExt cx="32" cy="78"/>
        </a:xfrm>
      </xdr:grpSpPr>
      <xdr:sp macro="" textlink="">
        <xdr:nvSpPr>
          <xdr:cNvPr id="6160" name="Line 70">
            <a:extLst>
              <a:ext uri="{FF2B5EF4-FFF2-40B4-BE49-F238E27FC236}">
                <a16:creationId xmlns:a16="http://schemas.microsoft.com/office/drawing/2014/main" id="{C5E5A7F9-5276-40E7-9513-6FC17731172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1" name="Freeform 71">
            <a:extLst>
              <a:ext uri="{FF2B5EF4-FFF2-40B4-BE49-F238E27FC236}">
                <a16:creationId xmlns:a16="http://schemas.microsoft.com/office/drawing/2014/main" id="{7112AD05-1A77-4500-83AE-94C56B4014C2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62" name="Line 72">
            <a:extLst>
              <a:ext uri="{FF2B5EF4-FFF2-40B4-BE49-F238E27FC236}">
                <a16:creationId xmlns:a16="http://schemas.microsoft.com/office/drawing/2014/main" id="{AB0A0C4E-0D45-4F29-86B8-3A9BA5FA536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3" name="Freeform 73">
            <a:extLst>
              <a:ext uri="{FF2B5EF4-FFF2-40B4-BE49-F238E27FC236}">
                <a16:creationId xmlns:a16="http://schemas.microsoft.com/office/drawing/2014/main" id="{847C8E7B-3099-4D0B-ADBE-51270F8D66F1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64" name="Freeform 74">
            <a:extLst>
              <a:ext uri="{FF2B5EF4-FFF2-40B4-BE49-F238E27FC236}">
                <a16:creationId xmlns:a16="http://schemas.microsoft.com/office/drawing/2014/main" id="{F4911AF9-15EC-42E5-A54B-E7BD479368FA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65" name="Line 75">
            <a:extLst>
              <a:ext uri="{FF2B5EF4-FFF2-40B4-BE49-F238E27FC236}">
                <a16:creationId xmlns:a16="http://schemas.microsoft.com/office/drawing/2014/main" id="{C9D45418-F2EC-4BBE-8647-78C12BE78E9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66" name="Freeform 76">
            <a:extLst>
              <a:ext uri="{FF2B5EF4-FFF2-40B4-BE49-F238E27FC236}">
                <a16:creationId xmlns:a16="http://schemas.microsoft.com/office/drawing/2014/main" id="{360AAE71-BF7C-4F97-AAF2-C5F013B8B64F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257175</xdr:colOff>
      <xdr:row>15</xdr:row>
      <xdr:rowOff>1247775</xdr:rowOff>
    </xdr:from>
    <xdr:to>
      <xdr:col>6</xdr:col>
      <xdr:colOff>47625</xdr:colOff>
      <xdr:row>15</xdr:row>
      <xdr:rowOff>1295400</xdr:rowOff>
    </xdr:to>
    <xdr:grpSp>
      <xdr:nvGrpSpPr>
        <xdr:cNvPr id="2019" name="Group 77">
          <a:extLst>
            <a:ext uri="{FF2B5EF4-FFF2-40B4-BE49-F238E27FC236}">
              <a16:creationId xmlns:a16="http://schemas.microsoft.com/office/drawing/2014/main" id="{4887E5BA-4BF8-4051-A76F-0EF8C4A70281}"/>
            </a:ext>
          </a:extLst>
        </xdr:cNvPr>
        <xdr:cNvGrpSpPr>
          <a:grpSpLocks/>
        </xdr:cNvGrpSpPr>
      </xdr:nvGrpSpPr>
      <xdr:grpSpPr bwMode="auto">
        <a:xfrm rot="-5400000">
          <a:off x="1319212" y="6176963"/>
          <a:ext cx="47625" cy="419100"/>
          <a:chOff x="122" y="579"/>
          <a:chExt cx="6" cy="44"/>
        </a:xfrm>
      </xdr:grpSpPr>
      <xdr:sp macro="" textlink="">
        <xdr:nvSpPr>
          <xdr:cNvPr id="6157" name="Line 78">
            <a:extLst>
              <a:ext uri="{FF2B5EF4-FFF2-40B4-BE49-F238E27FC236}">
                <a16:creationId xmlns:a16="http://schemas.microsoft.com/office/drawing/2014/main" id="{31AB57EA-6900-4A38-99C2-8DCFD2BDB3E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8" name="Freeform 79">
            <a:extLst>
              <a:ext uri="{FF2B5EF4-FFF2-40B4-BE49-F238E27FC236}">
                <a16:creationId xmlns:a16="http://schemas.microsoft.com/office/drawing/2014/main" id="{9C1FB463-C697-442E-8403-D1E8CB662D20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59" name="Freeform 80">
            <a:extLst>
              <a:ext uri="{FF2B5EF4-FFF2-40B4-BE49-F238E27FC236}">
                <a16:creationId xmlns:a16="http://schemas.microsoft.com/office/drawing/2014/main" id="{7B7CB013-E9DB-4B55-90EF-2EAC54555ED3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247650</xdr:colOff>
      <xdr:row>15</xdr:row>
      <xdr:rowOff>295275</xdr:rowOff>
    </xdr:from>
    <xdr:to>
      <xdr:col>8</xdr:col>
      <xdr:colOff>38100</xdr:colOff>
      <xdr:row>15</xdr:row>
      <xdr:rowOff>352425</xdr:rowOff>
    </xdr:to>
    <xdr:grpSp>
      <xdr:nvGrpSpPr>
        <xdr:cNvPr id="2020" name="Group 81">
          <a:extLst>
            <a:ext uri="{FF2B5EF4-FFF2-40B4-BE49-F238E27FC236}">
              <a16:creationId xmlns:a16="http://schemas.microsoft.com/office/drawing/2014/main" id="{83CBC36C-10D5-4857-AE25-74701304A97C}"/>
            </a:ext>
          </a:extLst>
        </xdr:cNvPr>
        <xdr:cNvGrpSpPr>
          <a:grpSpLocks/>
        </xdr:cNvGrpSpPr>
      </xdr:nvGrpSpPr>
      <xdr:grpSpPr bwMode="auto">
        <a:xfrm rot="-5400000">
          <a:off x="1933575" y="5229225"/>
          <a:ext cx="57150" cy="419100"/>
          <a:chOff x="122" y="579"/>
          <a:chExt cx="6" cy="44"/>
        </a:xfrm>
      </xdr:grpSpPr>
      <xdr:sp macro="" textlink="">
        <xdr:nvSpPr>
          <xdr:cNvPr id="6154" name="Line 82">
            <a:extLst>
              <a:ext uri="{FF2B5EF4-FFF2-40B4-BE49-F238E27FC236}">
                <a16:creationId xmlns:a16="http://schemas.microsoft.com/office/drawing/2014/main" id="{D94435E6-3145-4884-B42B-D56EBB4EF0A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106" y="602"/>
            <a:ext cx="3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5" name="Freeform 83">
            <a:extLst>
              <a:ext uri="{FF2B5EF4-FFF2-40B4-BE49-F238E27FC236}">
                <a16:creationId xmlns:a16="http://schemas.microsoft.com/office/drawing/2014/main" id="{EFB40917-4A86-4C11-8579-C465CA9A7703}"/>
              </a:ext>
            </a:extLst>
          </xdr:cNvPr>
          <xdr:cNvSpPr>
            <a:spLocks/>
          </xdr:cNvSpPr>
        </xdr:nvSpPr>
        <xdr:spPr bwMode="auto">
          <a:xfrm rot="5400000">
            <a:off x="121" y="61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56" name="Freeform 84">
            <a:extLst>
              <a:ext uri="{FF2B5EF4-FFF2-40B4-BE49-F238E27FC236}">
                <a16:creationId xmlns:a16="http://schemas.microsoft.com/office/drawing/2014/main" id="{EA484E6B-8DAF-4C8E-AB3A-ADEAFAEBB7DA}"/>
              </a:ext>
            </a:extLst>
          </xdr:cNvPr>
          <xdr:cNvSpPr>
            <a:spLocks/>
          </xdr:cNvSpPr>
        </xdr:nvSpPr>
        <xdr:spPr bwMode="auto">
          <a:xfrm rot="-5400000">
            <a:off x="121" y="58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447675</xdr:rowOff>
    </xdr:from>
    <xdr:to>
      <xdr:col>8</xdr:col>
      <xdr:colOff>38100</xdr:colOff>
      <xdr:row>15</xdr:row>
      <xdr:rowOff>628650</xdr:rowOff>
    </xdr:to>
    <xdr:grpSp>
      <xdr:nvGrpSpPr>
        <xdr:cNvPr id="2021" name="Group 85">
          <a:extLst>
            <a:ext uri="{FF2B5EF4-FFF2-40B4-BE49-F238E27FC236}">
              <a16:creationId xmlns:a16="http://schemas.microsoft.com/office/drawing/2014/main" id="{7F7382F2-A334-4415-8809-B2A37899EC05}"/>
            </a:ext>
          </a:extLst>
        </xdr:cNvPr>
        <xdr:cNvGrpSpPr>
          <a:grpSpLocks/>
        </xdr:cNvGrpSpPr>
      </xdr:nvGrpSpPr>
      <xdr:grpSpPr bwMode="auto">
        <a:xfrm>
          <a:off x="1714500" y="5562600"/>
          <a:ext cx="457200" cy="180975"/>
          <a:chOff x="180" y="589"/>
          <a:chExt cx="48" cy="19"/>
        </a:xfrm>
      </xdr:grpSpPr>
      <xdr:sp macro="" textlink="">
        <xdr:nvSpPr>
          <xdr:cNvPr id="6149" name="Line 86">
            <a:extLst>
              <a:ext uri="{FF2B5EF4-FFF2-40B4-BE49-F238E27FC236}">
                <a16:creationId xmlns:a16="http://schemas.microsoft.com/office/drawing/2014/main" id="{7CC07A7F-4126-4066-AEBF-3A91E550DA31}"/>
              </a:ext>
            </a:extLst>
          </xdr:cNvPr>
          <xdr:cNvSpPr>
            <a:spLocks noChangeShapeType="1"/>
          </xdr:cNvSpPr>
        </xdr:nvSpPr>
        <xdr:spPr bwMode="auto">
          <a:xfrm>
            <a:off x="180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0" name="Freeform 87">
            <a:extLst>
              <a:ext uri="{FF2B5EF4-FFF2-40B4-BE49-F238E27FC236}">
                <a16:creationId xmlns:a16="http://schemas.microsoft.com/office/drawing/2014/main" id="{4CDF491E-8941-40F0-8AFB-BDB4EAD2F850}"/>
              </a:ext>
            </a:extLst>
          </xdr:cNvPr>
          <xdr:cNvSpPr>
            <a:spLocks/>
          </xdr:cNvSpPr>
        </xdr:nvSpPr>
        <xdr:spPr bwMode="auto">
          <a:xfrm>
            <a:off x="221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51" name="Freeform 88">
            <a:extLst>
              <a:ext uri="{FF2B5EF4-FFF2-40B4-BE49-F238E27FC236}">
                <a16:creationId xmlns:a16="http://schemas.microsoft.com/office/drawing/2014/main" id="{CC6B8CF1-0476-457F-9543-29EDB7F02B23}"/>
              </a:ext>
            </a:extLst>
          </xdr:cNvPr>
          <xdr:cNvSpPr>
            <a:spLocks/>
          </xdr:cNvSpPr>
        </xdr:nvSpPr>
        <xdr:spPr bwMode="auto">
          <a:xfrm>
            <a:off x="187" y="597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52" name="Line 89">
            <a:extLst>
              <a:ext uri="{FF2B5EF4-FFF2-40B4-BE49-F238E27FC236}">
                <a16:creationId xmlns:a16="http://schemas.microsoft.com/office/drawing/2014/main" id="{AA9792C8-CBB1-4080-98A7-0BD1C758ADF7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58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53" name="Freeform 90">
            <a:extLst>
              <a:ext uri="{FF2B5EF4-FFF2-40B4-BE49-F238E27FC236}">
                <a16:creationId xmlns:a16="http://schemas.microsoft.com/office/drawing/2014/main" id="{BF7CF744-A8B5-498A-82B1-2CA0D1D3C051}"/>
              </a:ext>
            </a:extLst>
          </xdr:cNvPr>
          <xdr:cNvSpPr>
            <a:spLocks/>
          </xdr:cNvSpPr>
        </xdr:nvSpPr>
        <xdr:spPr bwMode="auto">
          <a:xfrm>
            <a:off x="190" y="589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209550</xdr:colOff>
      <xdr:row>15</xdr:row>
      <xdr:rowOff>819150</xdr:rowOff>
    </xdr:from>
    <xdr:to>
      <xdr:col>8</xdr:col>
      <xdr:colOff>38100</xdr:colOff>
      <xdr:row>15</xdr:row>
      <xdr:rowOff>1000125</xdr:rowOff>
    </xdr:to>
    <xdr:grpSp>
      <xdr:nvGrpSpPr>
        <xdr:cNvPr id="2022" name="Group 91">
          <a:extLst>
            <a:ext uri="{FF2B5EF4-FFF2-40B4-BE49-F238E27FC236}">
              <a16:creationId xmlns:a16="http://schemas.microsoft.com/office/drawing/2014/main" id="{07DFF576-DEFC-4AB9-BB52-40A4CDEB41D7}"/>
            </a:ext>
          </a:extLst>
        </xdr:cNvPr>
        <xdr:cNvGrpSpPr>
          <a:grpSpLocks/>
        </xdr:cNvGrpSpPr>
      </xdr:nvGrpSpPr>
      <xdr:grpSpPr bwMode="auto">
        <a:xfrm>
          <a:off x="1714500" y="5934075"/>
          <a:ext cx="457200" cy="180975"/>
          <a:chOff x="180" y="627"/>
          <a:chExt cx="48" cy="19"/>
        </a:xfrm>
      </xdr:grpSpPr>
      <xdr:sp macro="" textlink="">
        <xdr:nvSpPr>
          <xdr:cNvPr id="6144" name="Line 92">
            <a:extLst>
              <a:ext uri="{FF2B5EF4-FFF2-40B4-BE49-F238E27FC236}">
                <a16:creationId xmlns:a16="http://schemas.microsoft.com/office/drawing/2014/main" id="{76F2343C-7A89-4141-BEB2-C42EBA7F55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81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5" name="Freeform 93">
            <a:extLst>
              <a:ext uri="{FF2B5EF4-FFF2-40B4-BE49-F238E27FC236}">
                <a16:creationId xmlns:a16="http://schemas.microsoft.com/office/drawing/2014/main" id="{17C98A54-D170-4313-A34C-8CE45B4B245D}"/>
              </a:ext>
            </a:extLst>
          </xdr:cNvPr>
          <xdr:cNvSpPr>
            <a:spLocks/>
          </xdr:cNvSpPr>
        </xdr:nvSpPr>
        <xdr:spPr bwMode="auto">
          <a:xfrm flipH="1" flipV="1">
            <a:off x="180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46" name="Freeform 94">
            <a:extLst>
              <a:ext uri="{FF2B5EF4-FFF2-40B4-BE49-F238E27FC236}">
                <a16:creationId xmlns:a16="http://schemas.microsoft.com/office/drawing/2014/main" id="{B529E0D1-F8A1-41FF-A9DD-59B227B7A918}"/>
              </a:ext>
            </a:extLst>
          </xdr:cNvPr>
          <xdr:cNvSpPr>
            <a:spLocks/>
          </xdr:cNvSpPr>
        </xdr:nvSpPr>
        <xdr:spPr bwMode="auto">
          <a:xfrm flipH="1" flipV="1">
            <a:off x="207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47" name="Line 95">
            <a:extLst>
              <a:ext uri="{FF2B5EF4-FFF2-40B4-BE49-F238E27FC236}">
                <a16:creationId xmlns:a16="http://schemas.microsoft.com/office/drawing/2014/main" id="{2CFFA461-820F-4C65-9729-C414AFCDD80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07" y="62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48" name="Freeform 96">
            <a:extLst>
              <a:ext uri="{FF2B5EF4-FFF2-40B4-BE49-F238E27FC236}">
                <a16:creationId xmlns:a16="http://schemas.microsoft.com/office/drawing/2014/main" id="{B840F6BB-70F3-4413-9DF8-1C1EDFEFA70C}"/>
              </a:ext>
            </a:extLst>
          </xdr:cNvPr>
          <xdr:cNvSpPr>
            <a:spLocks/>
          </xdr:cNvSpPr>
        </xdr:nvSpPr>
        <xdr:spPr bwMode="auto">
          <a:xfrm flipH="1" flipV="1">
            <a:off x="203" y="627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571500</xdr:rowOff>
    </xdr:from>
    <xdr:to>
      <xdr:col>6</xdr:col>
      <xdr:colOff>38100</xdr:colOff>
      <xdr:row>15</xdr:row>
      <xdr:rowOff>752475</xdr:rowOff>
    </xdr:to>
    <xdr:grpSp>
      <xdr:nvGrpSpPr>
        <xdr:cNvPr id="2023" name="Group 97">
          <a:extLst>
            <a:ext uri="{FF2B5EF4-FFF2-40B4-BE49-F238E27FC236}">
              <a16:creationId xmlns:a16="http://schemas.microsoft.com/office/drawing/2014/main" id="{CA8ABC55-9895-4281-9CE3-D33D314C71E0}"/>
            </a:ext>
          </a:extLst>
        </xdr:cNvPr>
        <xdr:cNvGrpSpPr>
          <a:grpSpLocks/>
        </xdr:cNvGrpSpPr>
      </xdr:nvGrpSpPr>
      <xdr:grpSpPr bwMode="auto">
        <a:xfrm>
          <a:off x="1085850" y="5686425"/>
          <a:ext cx="457200" cy="180975"/>
          <a:chOff x="114" y="602"/>
          <a:chExt cx="48" cy="19"/>
        </a:xfrm>
      </xdr:grpSpPr>
      <xdr:sp macro="" textlink="">
        <xdr:nvSpPr>
          <xdr:cNvPr id="2043" name="Line 98">
            <a:extLst>
              <a:ext uri="{FF2B5EF4-FFF2-40B4-BE49-F238E27FC236}">
                <a16:creationId xmlns:a16="http://schemas.microsoft.com/office/drawing/2014/main" id="{69268E77-C029-4100-A3BD-E882DFC13396}"/>
              </a:ext>
            </a:extLst>
          </xdr:cNvPr>
          <xdr:cNvSpPr>
            <a:spLocks noChangeShapeType="1"/>
          </xdr:cNvSpPr>
        </xdr:nvSpPr>
        <xdr:spPr bwMode="auto">
          <a:xfrm>
            <a:off x="114" y="605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4" name="Freeform 99">
            <a:extLst>
              <a:ext uri="{FF2B5EF4-FFF2-40B4-BE49-F238E27FC236}">
                <a16:creationId xmlns:a16="http://schemas.microsoft.com/office/drawing/2014/main" id="{63708AD3-3F6B-41A2-A943-FF8F843368B5}"/>
              </a:ext>
            </a:extLst>
          </xdr:cNvPr>
          <xdr:cNvSpPr>
            <a:spLocks/>
          </xdr:cNvSpPr>
        </xdr:nvSpPr>
        <xdr:spPr bwMode="auto">
          <a:xfrm>
            <a:off x="155" y="602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45" name="Freeform 100">
            <a:extLst>
              <a:ext uri="{FF2B5EF4-FFF2-40B4-BE49-F238E27FC236}">
                <a16:creationId xmlns:a16="http://schemas.microsoft.com/office/drawing/2014/main" id="{2780C104-9464-446D-A837-0A9122FE4330}"/>
              </a:ext>
            </a:extLst>
          </xdr:cNvPr>
          <xdr:cNvSpPr>
            <a:spLocks/>
          </xdr:cNvSpPr>
        </xdr:nvSpPr>
        <xdr:spPr bwMode="auto">
          <a:xfrm>
            <a:off x="130" y="605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46" name="Line 101">
            <a:extLst>
              <a:ext uri="{FF2B5EF4-FFF2-40B4-BE49-F238E27FC236}">
                <a16:creationId xmlns:a16="http://schemas.microsoft.com/office/drawing/2014/main" id="{307B7956-8B7D-45FD-9E79-56C0E182F039}"/>
              </a:ext>
            </a:extLst>
          </xdr:cNvPr>
          <xdr:cNvSpPr>
            <a:spLocks noChangeShapeType="1"/>
          </xdr:cNvSpPr>
        </xdr:nvSpPr>
        <xdr:spPr bwMode="auto">
          <a:xfrm>
            <a:off x="138" y="612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7" name="Freeform 102">
            <a:extLst>
              <a:ext uri="{FF2B5EF4-FFF2-40B4-BE49-F238E27FC236}">
                <a16:creationId xmlns:a16="http://schemas.microsoft.com/office/drawing/2014/main" id="{5F3FDE35-9DE8-4E9F-BC08-5CC15144DA3B}"/>
              </a:ext>
            </a:extLst>
          </xdr:cNvPr>
          <xdr:cNvSpPr>
            <a:spLocks/>
          </xdr:cNvSpPr>
        </xdr:nvSpPr>
        <xdr:spPr bwMode="auto">
          <a:xfrm>
            <a:off x="134" y="61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209550</xdr:colOff>
      <xdr:row>15</xdr:row>
      <xdr:rowOff>933450</xdr:rowOff>
    </xdr:from>
    <xdr:to>
      <xdr:col>6</xdr:col>
      <xdr:colOff>38100</xdr:colOff>
      <xdr:row>15</xdr:row>
      <xdr:rowOff>1114425</xdr:rowOff>
    </xdr:to>
    <xdr:grpSp>
      <xdr:nvGrpSpPr>
        <xdr:cNvPr id="2024" name="Group 103">
          <a:extLst>
            <a:ext uri="{FF2B5EF4-FFF2-40B4-BE49-F238E27FC236}">
              <a16:creationId xmlns:a16="http://schemas.microsoft.com/office/drawing/2014/main" id="{C8FD627F-DD63-4DD9-860E-6609C69B7A05}"/>
            </a:ext>
          </a:extLst>
        </xdr:cNvPr>
        <xdr:cNvGrpSpPr>
          <a:grpSpLocks/>
        </xdr:cNvGrpSpPr>
      </xdr:nvGrpSpPr>
      <xdr:grpSpPr bwMode="auto">
        <a:xfrm>
          <a:off x="1085850" y="6048375"/>
          <a:ext cx="457200" cy="180975"/>
          <a:chOff x="114" y="640"/>
          <a:chExt cx="48" cy="19"/>
        </a:xfrm>
      </xdr:grpSpPr>
      <xdr:sp macro="" textlink="">
        <xdr:nvSpPr>
          <xdr:cNvPr id="2038" name="Line 104">
            <a:extLst>
              <a:ext uri="{FF2B5EF4-FFF2-40B4-BE49-F238E27FC236}">
                <a16:creationId xmlns:a16="http://schemas.microsoft.com/office/drawing/2014/main" id="{DB298758-6F61-4B59-8D46-31E6D3EAEEE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15" y="643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9" name="Freeform 105">
            <a:extLst>
              <a:ext uri="{FF2B5EF4-FFF2-40B4-BE49-F238E27FC236}">
                <a16:creationId xmlns:a16="http://schemas.microsoft.com/office/drawing/2014/main" id="{CB69E19A-3E89-4882-AE7D-AC96137FBE53}"/>
              </a:ext>
            </a:extLst>
          </xdr:cNvPr>
          <xdr:cNvSpPr>
            <a:spLocks/>
          </xdr:cNvSpPr>
        </xdr:nvSpPr>
        <xdr:spPr bwMode="auto">
          <a:xfrm flipH="1" flipV="1">
            <a:off x="114" y="640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40" name="Freeform 106">
            <a:extLst>
              <a:ext uri="{FF2B5EF4-FFF2-40B4-BE49-F238E27FC236}">
                <a16:creationId xmlns:a16="http://schemas.microsoft.com/office/drawing/2014/main" id="{B2EA6A5F-25D3-48CC-9AE6-659F5A404B92}"/>
              </a:ext>
            </a:extLst>
          </xdr:cNvPr>
          <xdr:cNvSpPr>
            <a:spLocks/>
          </xdr:cNvSpPr>
        </xdr:nvSpPr>
        <xdr:spPr bwMode="auto">
          <a:xfrm flipH="1" flipV="1">
            <a:off x="150" y="643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41" name="Line 107">
            <a:extLst>
              <a:ext uri="{FF2B5EF4-FFF2-40B4-BE49-F238E27FC236}">
                <a16:creationId xmlns:a16="http://schemas.microsoft.com/office/drawing/2014/main" id="{4F3AE5A7-67F9-45BA-B8B6-E93BD7B70B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50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2" name="Freeform 108">
            <a:extLst>
              <a:ext uri="{FF2B5EF4-FFF2-40B4-BE49-F238E27FC236}">
                <a16:creationId xmlns:a16="http://schemas.microsoft.com/office/drawing/2014/main" id="{68D4ABDB-2096-4213-8408-79E498E4CC6F}"/>
              </a:ext>
            </a:extLst>
          </xdr:cNvPr>
          <xdr:cNvSpPr>
            <a:spLocks/>
          </xdr:cNvSpPr>
        </xdr:nvSpPr>
        <xdr:spPr bwMode="auto">
          <a:xfrm flipH="1" flipV="1">
            <a:off x="146" y="652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</xdr:colOff>
      <xdr:row>15</xdr:row>
      <xdr:rowOff>447675</xdr:rowOff>
    </xdr:from>
    <xdr:to>
      <xdr:col>11</xdr:col>
      <xdr:colOff>295275</xdr:colOff>
      <xdr:row>15</xdr:row>
      <xdr:rowOff>600075</xdr:rowOff>
    </xdr:to>
    <xdr:grpSp>
      <xdr:nvGrpSpPr>
        <xdr:cNvPr id="2025" name="Group 109">
          <a:extLst>
            <a:ext uri="{FF2B5EF4-FFF2-40B4-BE49-F238E27FC236}">
              <a16:creationId xmlns:a16="http://schemas.microsoft.com/office/drawing/2014/main" id="{035939CC-C4AA-4988-A9EC-72DF54609819}"/>
            </a:ext>
          </a:extLst>
        </xdr:cNvPr>
        <xdr:cNvGrpSpPr>
          <a:grpSpLocks/>
        </xdr:cNvGrpSpPr>
      </xdr:nvGrpSpPr>
      <xdr:grpSpPr bwMode="auto">
        <a:xfrm flipV="1">
          <a:off x="3105150" y="5562600"/>
          <a:ext cx="266700" cy="152400"/>
          <a:chOff x="248" y="601"/>
          <a:chExt cx="28" cy="16"/>
        </a:xfrm>
      </xdr:grpSpPr>
      <xdr:sp macro="" textlink="">
        <xdr:nvSpPr>
          <xdr:cNvPr id="2034" name="Line 110">
            <a:extLst>
              <a:ext uri="{FF2B5EF4-FFF2-40B4-BE49-F238E27FC236}">
                <a16:creationId xmlns:a16="http://schemas.microsoft.com/office/drawing/2014/main" id="{177B834A-F39F-486C-B1A2-A4EAFEA22E0C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5" name="Freeform 111">
            <a:extLst>
              <a:ext uri="{FF2B5EF4-FFF2-40B4-BE49-F238E27FC236}">
                <a16:creationId xmlns:a16="http://schemas.microsoft.com/office/drawing/2014/main" id="{8B81CF05-A847-4A74-8B81-CB04D9FD77A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0 w 193"/>
              <a:gd name="T7" fmla="*/ 0 h 199"/>
              <a:gd name="T8" fmla="*/ 0 w 193"/>
              <a:gd name="T9" fmla="*/ 0 h 199"/>
              <a:gd name="T10" fmla="*/ 0 w 193"/>
              <a:gd name="T11" fmla="*/ 0 h 199"/>
              <a:gd name="T12" fmla="*/ 0 w 193"/>
              <a:gd name="T13" fmla="*/ 0 h 199"/>
              <a:gd name="T14" fmla="*/ 0 w 193"/>
              <a:gd name="T15" fmla="*/ 0 h 199"/>
              <a:gd name="T16" fmla="*/ 0 w 193"/>
              <a:gd name="T17" fmla="*/ 0 h 199"/>
              <a:gd name="T18" fmla="*/ 0 w 193"/>
              <a:gd name="T19" fmla="*/ 0 h 199"/>
              <a:gd name="T20" fmla="*/ 0 w 193"/>
              <a:gd name="T21" fmla="*/ 0 h 199"/>
              <a:gd name="T22" fmla="*/ 0 w 193"/>
              <a:gd name="T23" fmla="*/ 0 h 199"/>
              <a:gd name="T24" fmla="*/ 0 w 193"/>
              <a:gd name="T25" fmla="*/ 0 h 199"/>
              <a:gd name="T26" fmla="*/ 0 w 193"/>
              <a:gd name="T27" fmla="*/ 0 h 199"/>
              <a:gd name="T28" fmla="*/ 0 w 193"/>
              <a:gd name="T29" fmla="*/ 0 h 199"/>
              <a:gd name="T30" fmla="*/ 0 w 193"/>
              <a:gd name="T31" fmla="*/ 0 h 199"/>
              <a:gd name="T32" fmla="*/ 0 w 193"/>
              <a:gd name="T33" fmla="*/ 0 h 199"/>
              <a:gd name="T34" fmla="*/ 0 w 193"/>
              <a:gd name="T35" fmla="*/ 0 h 199"/>
              <a:gd name="T36" fmla="*/ 0 w 193"/>
              <a:gd name="T37" fmla="*/ 0 h 199"/>
              <a:gd name="T38" fmla="*/ 0 w 193"/>
              <a:gd name="T39" fmla="*/ 0 h 199"/>
              <a:gd name="T40" fmla="*/ 0 w 193"/>
              <a:gd name="T41" fmla="*/ 0 h 199"/>
              <a:gd name="T42" fmla="*/ 0 w 193"/>
              <a:gd name="T43" fmla="*/ 0 h 199"/>
              <a:gd name="T44" fmla="*/ 0 w 193"/>
              <a:gd name="T45" fmla="*/ 0 h 199"/>
              <a:gd name="T46" fmla="*/ 0 w 193"/>
              <a:gd name="T47" fmla="*/ 0 h 199"/>
              <a:gd name="T48" fmla="*/ 0 w 193"/>
              <a:gd name="T49" fmla="*/ 0 h 199"/>
              <a:gd name="T50" fmla="*/ 0 w 193"/>
              <a:gd name="T51" fmla="*/ 0 h 199"/>
              <a:gd name="T52" fmla="*/ 0 w 193"/>
              <a:gd name="T53" fmla="*/ 0 h 199"/>
              <a:gd name="T54" fmla="*/ 0 w 193"/>
              <a:gd name="T55" fmla="*/ 0 h 199"/>
              <a:gd name="T56" fmla="*/ 0 w 193"/>
              <a:gd name="T57" fmla="*/ 0 h 199"/>
              <a:gd name="T58" fmla="*/ 0 w 193"/>
              <a:gd name="T59" fmla="*/ 0 h 199"/>
              <a:gd name="T60" fmla="*/ 0 w 193"/>
              <a:gd name="T61" fmla="*/ 0 h 199"/>
              <a:gd name="T62" fmla="*/ 0 w 193"/>
              <a:gd name="T63" fmla="*/ 0 h 199"/>
              <a:gd name="T64" fmla="*/ 0 w 193"/>
              <a:gd name="T65" fmla="*/ 0 h 199"/>
              <a:gd name="T66" fmla="*/ 0 w 193"/>
              <a:gd name="T67" fmla="*/ 0 h 199"/>
              <a:gd name="T68" fmla="*/ 0 w 193"/>
              <a:gd name="T69" fmla="*/ 0 h 199"/>
              <a:gd name="T70" fmla="*/ 0 w 193"/>
              <a:gd name="T71" fmla="*/ 0 h 199"/>
              <a:gd name="T72" fmla="*/ 0 w 193"/>
              <a:gd name="T73" fmla="*/ 0 h 199"/>
              <a:gd name="T74" fmla="*/ 0 w 193"/>
              <a:gd name="T75" fmla="*/ 0 h 199"/>
              <a:gd name="T76" fmla="*/ 0 w 193"/>
              <a:gd name="T77" fmla="*/ 0 h 199"/>
              <a:gd name="T78" fmla="*/ 0 w 193"/>
              <a:gd name="T79" fmla="*/ 0 h 199"/>
              <a:gd name="T80" fmla="*/ 0 w 193"/>
              <a:gd name="T81" fmla="*/ 0 h 199"/>
              <a:gd name="T82" fmla="*/ 0 w 193"/>
              <a:gd name="T83" fmla="*/ 0 h 199"/>
              <a:gd name="T84" fmla="*/ 0 w 193"/>
              <a:gd name="T85" fmla="*/ 0 h 199"/>
              <a:gd name="T86" fmla="*/ 0 w 193"/>
              <a:gd name="T87" fmla="*/ 0 h 199"/>
              <a:gd name="T88" fmla="*/ 0 w 193"/>
              <a:gd name="T89" fmla="*/ 0 h 199"/>
              <a:gd name="T90" fmla="*/ 0 w 193"/>
              <a:gd name="T91" fmla="*/ 0 h 199"/>
              <a:gd name="T92" fmla="*/ 0 w 193"/>
              <a:gd name="T93" fmla="*/ 0 h 199"/>
              <a:gd name="T94" fmla="*/ 0 w 193"/>
              <a:gd name="T95" fmla="*/ 0 h 199"/>
              <a:gd name="T96" fmla="*/ 0 w 193"/>
              <a:gd name="T97" fmla="*/ 0 h 199"/>
              <a:gd name="T98" fmla="*/ 0 w 193"/>
              <a:gd name="T99" fmla="*/ 0 h 199"/>
              <a:gd name="T100" fmla="*/ 0 w 193"/>
              <a:gd name="T101" fmla="*/ 0 h 199"/>
              <a:gd name="T102" fmla="*/ 0 w 193"/>
              <a:gd name="T103" fmla="*/ 0 h 199"/>
              <a:gd name="T104" fmla="*/ 0 w 193"/>
              <a:gd name="T105" fmla="*/ 0 h 199"/>
              <a:gd name="T106" fmla="*/ 0 w 193"/>
              <a:gd name="T107" fmla="*/ 0 h 199"/>
              <a:gd name="T108" fmla="*/ 0 w 193"/>
              <a:gd name="T109" fmla="*/ 0 h 199"/>
              <a:gd name="T110" fmla="*/ 0 w 193"/>
              <a:gd name="T111" fmla="*/ 0 h 199"/>
              <a:gd name="T112" fmla="*/ 0 w 193"/>
              <a:gd name="T113" fmla="*/ 0 h 199"/>
              <a:gd name="T114" fmla="*/ 0 w 193"/>
              <a:gd name="T115" fmla="*/ 0 h 199"/>
              <a:gd name="T116" fmla="*/ 0 w 193"/>
              <a:gd name="T117" fmla="*/ 0 h 199"/>
              <a:gd name="T118" fmla="*/ 0 w 193"/>
              <a:gd name="T119" fmla="*/ 0 h 199"/>
              <a:gd name="T120" fmla="*/ 0 w 193"/>
              <a:gd name="T121" fmla="*/ 0 h 199"/>
              <a:gd name="T122" fmla="*/ 0 w 19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36" name="Line 112">
            <a:extLst>
              <a:ext uri="{FF2B5EF4-FFF2-40B4-BE49-F238E27FC236}">
                <a16:creationId xmlns:a16="http://schemas.microsoft.com/office/drawing/2014/main" id="{9C42E536-AECE-4443-B47C-1EE9916EE361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7" name="Freeform 113">
            <a:extLst>
              <a:ext uri="{FF2B5EF4-FFF2-40B4-BE49-F238E27FC236}">
                <a16:creationId xmlns:a16="http://schemas.microsoft.com/office/drawing/2014/main" id="{11BF5C40-C7B2-4D92-8DBF-E082E9695987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0 w 201"/>
              <a:gd name="T1" fmla="*/ 0 h 174"/>
              <a:gd name="T2" fmla="*/ 0 w 201"/>
              <a:gd name="T3" fmla="*/ 0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79375</xdr:colOff>
      <xdr:row>10</xdr:row>
      <xdr:rowOff>114300</xdr:rowOff>
    </xdr:from>
    <xdr:to>
      <xdr:col>5</xdr:col>
      <xdr:colOff>168275</xdr:colOff>
      <xdr:row>13</xdr:row>
      <xdr:rowOff>19050</xdr:rowOff>
    </xdr:to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845B0BD8-4922-4A56-AF4E-DE58E16F9571}"/>
            </a:ext>
          </a:extLst>
        </xdr:cNvPr>
        <xdr:cNvSpPr txBox="1">
          <a:spLocks noChangeArrowheads="1"/>
        </xdr:cNvSpPr>
      </xdr:nvSpPr>
      <xdr:spPr bwMode="auto">
        <a:xfrm>
          <a:off x="76200" y="4086225"/>
          <a:ext cx="1285875" cy="590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7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292100</xdr:colOff>
      <xdr:row>15</xdr:row>
      <xdr:rowOff>1279525</xdr:rowOff>
    </xdr:from>
    <xdr:to>
      <xdr:col>6</xdr:col>
      <xdr:colOff>18995</xdr:colOff>
      <xdr:row>15</xdr:row>
      <xdr:rowOff>1447927</xdr:rowOff>
    </xdr:to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72B60161-20E1-40B7-BFF8-E42AD1FAC0FC}"/>
            </a:ext>
          </a:extLst>
        </xdr:cNvPr>
        <xdr:cNvSpPr txBox="1">
          <a:spLocks noChangeArrowheads="1"/>
        </xdr:cNvSpPr>
      </xdr:nvSpPr>
      <xdr:spPr bwMode="auto">
        <a:xfrm>
          <a:off x="1171575" y="64008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15.4m</a:t>
          </a:r>
        </a:p>
      </xdr:txBody>
    </xdr:sp>
    <xdr:clientData/>
  </xdr:twoCellAnchor>
  <xdr:twoCellAnchor>
    <xdr:from>
      <xdr:col>9</xdr:col>
      <xdr:colOff>307975</xdr:colOff>
      <xdr:row>15</xdr:row>
      <xdr:rowOff>1181100</xdr:rowOff>
    </xdr:from>
    <xdr:to>
      <xdr:col>11</xdr:col>
      <xdr:colOff>22939</xdr:colOff>
      <xdr:row>15</xdr:row>
      <xdr:rowOff>1336797</xdr:rowOff>
    </xdr:to>
    <xdr:sp macro="" textlink="">
      <xdr:nvSpPr>
        <xdr:cNvPr id="1140" name="Text Box 116">
          <a:extLst>
            <a:ext uri="{FF2B5EF4-FFF2-40B4-BE49-F238E27FC236}">
              <a16:creationId xmlns:a16="http://schemas.microsoft.com/office/drawing/2014/main" id="{23CA3CF0-ECF0-4CEC-96E2-DFD6E2F07728}"/>
            </a:ext>
          </a:extLst>
        </xdr:cNvPr>
        <xdr:cNvSpPr txBox="1">
          <a:spLocks noChangeArrowheads="1"/>
        </xdr:cNvSpPr>
      </xdr:nvSpPr>
      <xdr:spPr bwMode="auto">
        <a:xfrm>
          <a:off x="2752725" y="6296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19.0m</a:t>
          </a:r>
        </a:p>
      </xdr:txBody>
    </xdr:sp>
    <xdr:clientData/>
  </xdr:twoCellAnchor>
  <xdr:twoCellAnchor editAs="oneCell">
    <xdr:from>
      <xdr:col>21</xdr:col>
      <xdr:colOff>47625</xdr:colOff>
      <xdr:row>2</xdr:row>
      <xdr:rowOff>114300</xdr:rowOff>
    </xdr:from>
    <xdr:to>
      <xdr:col>23</xdr:col>
      <xdr:colOff>114300</xdr:colOff>
      <xdr:row>5</xdr:row>
      <xdr:rowOff>123825</xdr:rowOff>
    </xdr:to>
    <xdr:pic>
      <xdr:nvPicPr>
        <xdr:cNvPr id="2029" name="Picture 117" descr="北マーク（北東）">
          <a:extLst>
            <a:ext uri="{FF2B5EF4-FFF2-40B4-BE49-F238E27FC236}">
              <a16:creationId xmlns:a16="http://schemas.microsoft.com/office/drawing/2014/main" id="{D66E7B54-AC65-41B6-B87A-BBFD09208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6096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269875</xdr:colOff>
      <xdr:row>3</xdr:row>
      <xdr:rowOff>98425</xdr:rowOff>
    </xdr:from>
    <xdr:to>
      <xdr:col>21</xdr:col>
      <xdr:colOff>209643</xdr:colOff>
      <xdr:row>7</xdr:row>
      <xdr:rowOff>777881</xdr:rowOff>
    </xdr:to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EF93AF45-7ADB-4EFD-8FC4-3A3B58873926}"/>
            </a:ext>
          </a:extLst>
        </xdr:cNvPr>
        <xdr:cNvSpPr txBox="1">
          <a:spLocks noChangeArrowheads="1"/>
        </xdr:cNvSpPr>
      </xdr:nvSpPr>
      <xdr:spPr bwMode="auto">
        <a:xfrm>
          <a:off x="6181725" y="8286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本通り１丁目</a:t>
          </a:r>
        </a:p>
      </xdr:txBody>
    </xdr:sp>
    <xdr:clientData/>
  </xdr:twoCellAnchor>
  <xdr:twoCellAnchor>
    <xdr:from>
      <xdr:col>5</xdr:col>
      <xdr:colOff>60325</xdr:colOff>
      <xdr:row>8</xdr:row>
      <xdr:rowOff>0</xdr:rowOff>
    </xdr:from>
    <xdr:to>
      <xdr:col>10</xdr:col>
      <xdr:colOff>231775</xdr:colOff>
      <xdr:row>9</xdr:row>
      <xdr:rowOff>38100</xdr:rowOff>
    </xdr:to>
    <xdr:sp macro="" textlink="">
      <xdr:nvSpPr>
        <xdr:cNvPr id="1143" name="Text Box 119">
          <a:extLst>
            <a:ext uri="{FF2B5EF4-FFF2-40B4-BE49-F238E27FC236}">
              <a16:creationId xmlns:a16="http://schemas.microsoft.com/office/drawing/2014/main" id="{3D1D12DC-0B03-4061-ABEA-59CA69F8473E}"/>
            </a:ext>
          </a:extLst>
        </xdr:cNvPr>
        <xdr:cNvSpPr txBox="1">
          <a:spLocks noChangeArrowheads="1"/>
        </xdr:cNvSpPr>
      </xdr:nvSpPr>
      <xdr:spPr bwMode="auto">
        <a:xfrm>
          <a:off x="1257300" y="3514725"/>
          <a:ext cx="174307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警固屋</a:t>
          </a:r>
        </a:p>
      </xdr:txBody>
    </xdr:sp>
    <xdr:clientData/>
  </xdr:twoCellAnchor>
  <xdr:twoCellAnchor>
    <xdr:from>
      <xdr:col>17</xdr:col>
      <xdr:colOff>60325</xdr:colOff>
      <xdr:row>3</xdr:row>
      <xdr:rowOff>19050</xdr:rowOff>
    </xdr:from>
    <xdr:to>
      <xdr:col>18</xdr:col>
      <xdr:colOff>143201</xdr:colOff>
      <xdr:row>3</xdr:row>
      <xdr:rowOff>155713</xdr:rowOff>
    </xdr:to>
    <xdr:sp macro="" textlink="">
      <xdr:nvSpPr>
        <xdr:cNvPr id="1144" name="Text Box 120">
          <a:extLst>
            <a:ext uri="{FF2B5EF4-FFF2-40B4-BE49-F238E27FC236}">
              <a16:creationId xmlns:a16="http://schemas.microsoft.com/office/drawing/2014/main" id="{832B4A1E-5B1A-4D03-BD6F-ABC43B39BD3C}"/>
            </a:ext>
          </a:extLst>
        </xdr:cNvPr>
        <xdr:cNvSpPr txBox="1">
          <a:spLocks noChangeArrowheads="1"/>
        </xdr:cNvSpPr>
      </xdr:nvSpPr>
      <xdr:spPr bwMode="auto">
        <a:xfrm>
          <a:off x="5029200" y="7429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40km/h</a:t>
          </a:r>
        </a:p>
      </xdr:txBody>
    </xdr:sp>
    <xdr:clientData/>
  </xdr:twoCellAnchor>
  <xdr:twoCellAnchor>
    <xdr:from>
      <xdr:col>19</xdr:col>
      <xdr:colOff>161925</xdr:colOff>
      <xdr:row>7</xdr:row>
      <xdr:rowOff>514350</xdr:rowOff>
    </xdr:from>
    <xdr:to>
      <xdr:col>20</xdr:col>
      <xdr:colOff>231775</xdr:colOff>
      <xdr:row>7</xdr:row>
      <xdr:rowOff>657225</xdr:rowOff>
    </xdr:to>
    <xdr:sp macro="" textlink="">
      <xdr:nvSpPr>
        <xdr:cNvPr id="1145" name="Text Box 121">
          <a:extLst>
            <a:ext uri="{FF2B5EF4-FFF2-40B4-BE49-F238E27FC236}">
              <a16:creationId xmlns:a16="http://schemas.microsoft.com/office/drawing/2014/main" id="{DFA579CE-62A1-4C78-8B4C-7A6173482C74}"/>
            </a:ext>
          </a:extLst>
        </xdr:cNvPr>
        <xdr:cNvSpPr txBox="1">
          <a:spLocks noChangeArrowheads="1"/>
        </xdr:cNvSpPr>
      </xdr:nvSpPr>
      <xdr:spPr bwMode="auto">
        <a:xfrm>
          <a:off x="5753100" y="215265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="115" zoomScaleNormal="100" zoomScaleSheetLayoutView="115" workbookViewId="0">
      <selection activeCell="T18" sqref="T18"/>
    </sheetView>
  </sheetViews>
  <sheetFormatPr defaultRowHeight="12" x14ac:dyDescent="0.15"/>
  <cols>
    <col min="1" max="1" width="7.5" style="52" bestFit="1" customWidth="1"/>
    <col min="2" max="2" width="2.25" style="71" bestFit="1" customWidth="1"/>
    <col min="3" max="3" width="5.875" style="52" bestFit="1" customWidth="1"/>
    <col min="4" max="4" width="2.25" style="51" bestFit="1" customWidth="1"/>
    <col min="5" max="24" width="4.125" style="45" customWidth="1"/>
    <col min="25" max="26" width="9" style="45"/>
    <col min="27" max="27" width="9.125" style="45" bestFit="1" customWidth="1"/>
    <col min="28" max="16384" width="9" style="45"/>
  </cols>
  <sheetData>
    <row r="1" spans="1:30" ht="15" customHeight="1" x14ac:dyDescent="0.15">
      <c r="A1" s="103" t="s">
        <v>0</v>
      </c>
      <c r="B1" s="125"/>
      <c r="C1" s="125"/>
      <c r="D1" s="125"/>
      <c r="E1" s="75"/>
      <c r="F1" s="130" t="s">
        <v>68</v>
      </c>
      <c r="G1" s="125"/>
      <c r="H1" s="131" t="s">
        <v>2</v>
      </c>
      <c r="I1" s="131"/>
      <c r="J1" s="131"/>
      <c r="K1" s="131"/>
      <c r="L1" s="125" t="s">
        <v>63</v>
      </c>
      <c r="M1" s="75"/>
      <c r="N1" s="74" t="s">
        <v>64</v>
      </c>
      <c r="O1" s="75"/>
      <c r="P1" s="80">
        <v>46072</v>
      </c>
      <c r="Q1" s="81"/>
      <c r="R1" s="81"/>
      <c r="S1" s="82"/>
      <c r="T1" s="129" t="s">
        <v>5</v>
      </c>
      <c r="U1" s="129"/>
      <c r="V1" s="129" t="s">
        <v>74</v>
      </c>
      <c r="W1" s="129"/>
      <c r="X1" s="129"/>
    </row>
    <row r="2" spans="1:30" ht="7.5" customHeight="1" x14ac:dyDescent="0.15">
      <c r="A2" s="126"/>
      <c r="B2" s="127"/>
      <c r="C2" s="127"/>
      <c r="D2" s="127"/>
      <c r="E2" s="128"/>
      <c r="F2" s="126"/>
      <c r="G2" s="127"/>
      <c r="H2" s="132"/>
      <c r="I2" s="132"/>
      <c r="J2" s="132"/>
      <c r="K2" s="132"/>
      <c r="L2" s="127"/>
      <c r="M2" s="128"/>
      <c r="N2" s="76"/>
      <c r="O2" s="77"/>
      <c r="P2" s="83"/>
      <c r="Q2" s="84"/>
      <c r="R2" s="84"/>
      <c r="S2" s="85"/>
      <c r="T2" s="103" t="s">
        <v>12</v>
      </c>
      <c r="U2" s="75"/>
      <c r="V2" s="104">
        <v>45992</v>
      </c>
      <c r="W2" s="105"/>
      <c r="X2" s="106"/>
    </row>
    <row r="3" spans="1:30" ht="7.5" customHeight="1" x14ac:dyDescent="0.15">
      <c r="A3" s="76" t="s">
        <v>7</v>
      </c>
      <c r="B3" s="110"/>
      <c r="C3" s="110"/>
      <c r="D3" s="110"/>
      <c r="E3" s="77"/>
      <c r="F3" s="112" t="s">
        <v>69</v>
      </c>
      <c r="G3" s="113"/>
      <c r="H3" s="114" t="s">
        <v>2</v>
      </c>
      <c r="I3" s="114"/>
      <c r="J3" s="114"/>
      <c r="K3" s="114"/>
      <c r="L3" s="116" t="s">
        <v>65</v>
      </c>
      <c r="M3" s="117"/>
      <c r="N3" s="76"/>
      <c r="O3" s="77"/>
      <c r="P3" s="120">
        <v>0.96111111111111114</v>
      </c>
      <c r="Q3" s="121"/>
      <c r="R3" s="121"/>
      <c r="S3" s="124" t="s">
        <v>11</v>
      </c>
      <c r="T3" s="78"/>
      <c r="U3" s="79"/>
      <c r="V3" s="107"/>
      <c r="W3" s="108"/>
      <c r="X3" s="109"/>
    </row>
    <row r="4" spans="1:30" ht="15" customHeight="1" x14ac:dyDescent="0.15">
      <c r="A4" s="78"/>
      <c r="B4" s="111"/>
      <c r="C4" s="111"/>
      <c r="D4" s="111"/>
      <c r="E4" s="79"/>
      <c r="F4" s="78"/>
      <c r="G4" s="111"/>
      <c r="H4" s="115"/>
      <c r="I4" s="115"/>
      <c r="J4" s="115"/>
      <c r="K4" s="115"/>
      <c r="L4" s="118"/>
      <c r="M4" s="119"/>
      <c r="N4" s="78"/>
      <c r="O4" s="79"/>
      <c r="P4" s="122"/>
      <c r="Q4" s="123"/>
      <c r="R4" s="123"/>
      <c r="S4" s="79"/>
      <c r="T4" s="129" t="s">
        <v>66</v>
      </c>
      <c r="U4" s="129"/>
      <c r="V4" s="129" t="s">
        <v>73</v>
      </c>
      <c r="W4" s="129"/>
      <c r="X4" s="129"/>
      <c r="Z4" s="69" t="s">
        <v>67</v>
      </c>
      <c r="AA4" s="70">
        <v>844</v>
      </c>
    </row>
    <row r="5" spans="1:30" ht="18" customHeight="1" x14ac:dyDescent="0.15">
      <c r="A5" s="86"/>
      <c r="B5" s="87"/>
      <c r="C5" s="87"/>
      <c r="D5" s="87"/>
      <c r="E5" s="47"/>
      <c r="F5" s="47"/>
      <c r="G5" s="47"/>
      <c r="H5" s="47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9"/>
    </row>
    <row r="6" spans="1:30" ht="18" customHeight="1" x14ac:dyDescent="0.15">
      <c r="A6" s="88"/>
      <c r="B6" s="89"/>
      <c r="C6" s="89"/>
      <c r="D6" s="89"/>
      <c r="X6" s="50"/>
    </row>
    <row r="7" spans="1:30" ht="18" customHeight="1" x14ac:dyDescent="0.15">
      <c r="A7" s="88"/>
      <c r="B7" s="89"/>
      <c r="C7" s="89"/>
      <c r="D7" s="89"/>
      <c r="X7" s="50"/>
    </row>
    <row r="8" spans="1:30" ht="18" customHeight="1" x14ac:dyDescent="0.15">
      <c r="A8" s="88"/>
      <c r="B8" s="89"/>
      <c r="C8" s="89"/>
      <c r="D8" s="89"/>
      <c r="X8" s="50"/>
    </row>
    <row r="9" spans="1:30" ht="18" customHeight="1" x14ac:dyDescent="0.15">
      <c r="A9" s="88"/>
      <c r="B9" s="89"/>
      <c r="C9" s="89"/>
      <c r="D9" s="89"/>
      <c r="X9" s="50"/>
    </row>
    <row r="10" spans="1:30" ht="147.75" customHeight="1" x14ac:dyDescent="0.15">
      <c r="A10" s="88"/>
      <c r="B10" s="89"/>
      <c r="C10" s="89"/>
      <c r="D10" s="89"/>
      <c r="X10" s="50"/>
    </row>
    <row r="11" spans="1:30" ht="18" customHeight="1" x14ac:dyDescent="0.15">
      <c r="A11" s="88"/>
      <c r="B11" s="89"/>
      <c r="C11" s="89"/>
      <c r="D11" s="89"/>
      <c r="X11" s="50"/>
    </row>
    <row r="12" spans="1:30" ht="18" customHeight="1" x14ac:dyDescent="0.15">
      <c r="A12" s="90"/>
      <c r="B12" s="91"/>
      <c r="C12" s="89"/>
      <c r="D12" s="89"/>
      <c r="X12" s="50"/>
    </row>
    <row r="13" spans="1:30" ht="18" customHeight="1" x14ac:dyDescent="0.15">
      <c r="A13" s="90"/>
      <c r="B13" s="91"/>
      <c r="C13" s="89"/>
      <c r="D13" s="89"/>
      <c r="X13" s="50"/>
    </row>
    <row r="14" spans="1:30" ht="18" customHeight="1" x14ac:dyDescent="0.15">
      <c r="A14" s="90"/>
      <c r="B14" s="91"/>
      <c r="C14" s="95"/>
      <c r="D14" s="95"/>
      <c r="E14" s="51"/>
      <c r="F14" s="52"/>
      <c r="G14" s="52"/>
      <c r="H14" s="52"/>
      <c r="X14" s="50"/>
      <c r="Z14" s="45">
        <v>50</v>
      </c>
      <c r="AA14" s="45">
        <f>Z14/3.6</f>
        <v>13.888888888888889</v>
      </c>
      <c r="AC14" s="73">
        <v>34.5</v>
      </c>
      <c r="AD14" s="73">
        <f>AC14/AA14</f>
        <v>2.484</v>
      </c>
    </row>
    <row r="15" spans="1:30" ht="18" customHeight="1" x14ac:dyDescent="0.15">
      <c r="A15" s="96"/>
      <c r="B15" s="97"/>
      <c r="C15" s="98"/>
      <c r="D15" s="98"/>
      <c r="E15" s="53"/>
      <c r="F15" s="53"/>
      <c r="G15" s="53"/>
      <c r="H15" s="53"/>
      <c r="I15" s="53"/>
      <c r="J15" s="53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46"/>
      <c r="Z15" s="45">
        <v>40</v>
      </c>
      <c r="AA15" s="45">
        <f>Z15/3.6</f>
        <v>11.111111111111111</v>
      </c>
      <c r="AC15" s="73">
        <v>32.9</v>
      </c>
      <c r="AD15" s="73">
        <f>AC15/AA15</f>
        <v>2.9609999999999999</v>
      </c>
    </row>
    <row r="16" spans="1:30" s="56" customFormat="1" ht="18" customHeight="1" x14ac:dyDescent="0.15">
      <c r="A16" s="99" t="s">
        <v>14</v>
      </c>
      <c r="B16" s="99"/>
      <c r="C16" s="99"/>
      <c r="D16" s="99"/>
      <c r="E16" s="36">
        <v>1</v>
      </c>
      <c r="F16" s="36">
        <v>2</v>
      </c>
      <c r="G16" s="36">
        <v>3</v>
      </c>
      <c r="H16" s="36">
        <v>4</v>
      </c>
      <c r="I16" s="36">
        <v>5</v>
      </c>
      <c r="J16" s="36">
        <v>6</v>
      </c>
      <c r="K16" s="36">
        <v>7</v>
      </c>
      <c r="L16" s="36">
        <v>8</v>
      </c>
      <c r="M16" s="36">
        <v>9</v>
      </c>
      <c r="N16" s="36">
        <v>10</v>
      </c>
      <c r="O16" s="36">
        <v>11</v>
      </c>
      <c r="P16" s="36">
        <v>12</v>
      </c>
      <c r="Q16" s="36">
        <v>13</v>
      </c>
      <c r="R16" s="55">
        <v>14</v>
      </c>
      <c r="S16" s="36">
        <v>15</v>
      </c>
      <c r="T16" s="36">
        <v>16</v>
      </c>
      <c r="U16" s="36">
        <v>17</v>
      </c>
      <c r="V16" s="36">
        <v>18</v>
      </c>
      <c r="W16" s="36">
        <v>19</v>
      </c>
      <c r="X16" s="36">
        <v>20</v>
      </c>
    </row>
    <row r="17" spans="1:25" s="52" customFormat="1" ht="18" customHeight="1" x14ac:dyDescent="0.15">
      <c r="A17" s="99" t="s">
        <v>15</v>
      </c>
      <c r="B17" s="99"/>
      <c r="C17" s="99"/>
      <c r="D17" s="99"/>
      <c r="E17" s="57" t="s">
        <v>16</v>
      </c>
      <c r="F17" s="57" t="s">
        <v>17</v>
      </c>
      <c r="G17" s="57" t="s">
        <v>18</v>
      </c>
      <c r="H17" s="57" t="s">
        <v>19</v>
      </c>
      <c r="I17" s="57" t="s">
        <v>20</v>
      </c>
      <c r="J17" s="57" t="s">
        <v>21</v>
      </c>
      <c r="K17" s="57" t="s">
        <v>22</v>
      </c>
      <c r="L17" s="57" t="s">
        <v>23</v>
      </c>
      <c r="M17" s="57" t="s">
        <v>24</v>
      </c>
      <c r="N17" s="57" t="s">
        <v>25</v>
      </c>
      <c r="O17" s="57"/>
      <c r="P17" s="57"/>
      <c r="Q17" s="57"/>
      <c r="R17" s="58"/>
      <c r="T17" s="57"/>
      <c r="U17" s="57"/>
      <c r="V17" s="57"/>
      <c r="W17" s="57"/>
      <c r="X17" s="57"/>
    </row>
    <row r="18" spans="1:25" s="52" customFormat="1" ht="125.1" customHeight="1" x14ac:dyDescent="0.15">
      <c r="A18" s="92"/>
      <c r="B18" s="93"/>
      <c r="C18" s="93"/>
      <c r="D18" s="94"/>
      <c r="E18" s="44"/>
      <c r="F18" s="59"/>
      <c r="G18" s="59"/>
      <c r="H18" s="59"/>
      <c r="I18" s="59"/>
      <c r="J18" s="44"/>
      <c r="K18" s="59"/>
      <c r="L18" s="59"/>
      <c r="M18" s="59"/>
      <c r="N18" s="59"/>
      <c r="O18" s="44"/>
      <c r="P18" s="59"/>
      <c r="Q18" s="59"/>
      <c r="R18" s="59"/>
      <c r="S18" s="59"/>
      <c r="T18" s="59"/>
      <c r="U18" s="59"/>
      <c r="V18" s="59"/>
      <c r="W18" s="59"/>
      <c r="X18" s="58"/>
      <c r="Y18" s="60"/>
    </row>
    <row r="19" spans="1:25" ht="18" customHeight="1" x14ac:dyDescent="0.15">
      <c r="A19" s="92" t="s">
        <v>71</v>
      </c>
      <c r="B19" s="93"/>
      <c r="C19" s="93" t="s">
        <v>27</v>
      </c>
      <c r="D19" s="9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5" ht="18" customHeight="1" x14ac:dyDescent="0.15">
      <c r="A20" s="92" t="s">
        <v>28</v>
      </c>
      <c r="B20" s="93"/>
      <c r="C20" s="93" t="s">
        <v>29</v>
      </c>
      <c r="D20" s="94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5" ht="18" customHeight="1" x14ac:dyDescent="0.15">
      <c r="A21" s="92" t="s">
        <v>30</v>
      </c>
      <c r="B21" s="93"/>
      <c r="C21" s="93" t="s">
        <v>31</v>
      </c>
      <c r="D21" s="9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5" ht="18" customHeight="1" x14ac:dyDescent="0.15">
      <c r="A22" s="92" t="s">
        <v>32</v>
      </c>
      <c r="B22" s="93"/>
      <c r="C22" s="93" t="s">
        <v>33</v>
      </c>
      <c r="D22" s="9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5" ht="18" customHeight="1" x14ac:dyDescent="0.15">
      <c r="A23" s="92" t="s">
        <v>72</v>
      </c>
      <c r="B23" s="93"/>
      <c r="C23" s="93" t="s">
        <v>35</v>
      </c>
      <c r="D23" s="94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5" ht="18" customHeight="1" x14ac:dyDescent="0.15">
      <c r="A24" s="92" t="s">
        <v>36</v>
      </c>
      <c r="B24" s="93"/>
      <c r="C24" s="93" t="s">
        <v>37</v>
      </c>
      <c r="D24" s="94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5" ht="18" customHeight="1" x14ac:dyDescent="0.15">
      <c r="A25" s="92"/>
      <c r="B25" s="93"/>
      <c r="C25" s="100"/>
      <c r="D25" s="10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5" ht="18" customHeight="1" x14ac:dyDescent="0.15">
      <c r="A26" s="102"/>
      <c r="B26" s="100"/>
      <c r="C26" s="100"/>
      <c r="D26" s="10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5" ht="18" customHeight="1" x14ac:dyDescent="0.15">
      <c r="A27" s="102"/>
      <c r="B27" s="100"/>
      <c r="C27" s="100"/>
      <c r="D27" s="10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5" ht="18" customHeight="1" x14ac:dyDescent="0.15">
      <c r="A28" s="102"/>
      <c r="B28" s="100"/>
      <c r="C28" s="100"/>
      <c r="D28" s="10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5" ht="18" customHeight="1" x14ac:dyDescent="0.15">
      <c r="A29" s="102"/>
      <c r="B29" s="100"/>
      <c r="C29" s="100"/>
      <c r="D29" s="101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5" ht="18" customHeight="1" x14ac:dyDescent="0.15">
      <c r="A30" s="102"/>
      <c r="B30" s="100"/>
      <c r="C30" s="100"/>
      <c r="D30" s="101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5" ht="18" customHeight="1" x14ac:dyDescent="0.15">
      <c r="A31" s="102"/>
      <c r="B31" s="100"/>
      <c r="C31" s="100"/>
      <c r="D31" s="101"/>
      <c r="E31" s="37"/>
      <c r="F31" s="37"/>
      <c r="G31" s="37"/>
      <c r="H31" s="64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5" ht="18" customHeight="1" x14ac:dyDescent="0.15">
      <c r="A32" s="32" t="s">
        <v>56</v>
      </c>
      <c r="B32" s="33"/>
      <c r="C32" s="34"/>
      <c r="D32" s="35"/>
      <c r="E32" s="36">
        <v>109</v>
      </c>
      <c r="F32" s="36"/>
      <c r="G32" s="36"/>
      <c r="H32" s="36"/>
      <c r="I32" s="36"/>
      <c r="J32" s="36">
        <v>109</v>
      </c>
      <c r="K32" s="36"/>
      <c r="L32" s="36"/>
      <c r="M32" s="36"/>
      <c r="N32" s="36"/>
      <c r="O32" s="36"/>
      <c r="P32" s="37"/>
      <c r="Q32" s="37"/>
      <c r="R32" s="37"/>
      <c r="S32" s="37"/>
      <c r="T32" s="37"/>
      <c r="U32" s="37"/>
      <c r="V32" s="37"/>
      <c r="W32" s="37"/>
      <c r="X32" s="38"/>
    </row>
    <row r="33" spans="1:27" ht="18" customHeight="1" x14ac:dyDescent="0.15">
      <c r="A33" s="32" t="s">
        <v>57</v>
      </c>
      <c r="B33" s="33" t="s">
        <v>44</v>
      </c>
      <c r="C33" s="34">
        <f>SUM(E33:X33)</f>
        <v>64</v>
      </c>
      <c r="D33" s="35" t="s">
        <v>45</v>
      </c>
      <c r="E33" s="36">
        <v>17</v>
      </c>
      <c r="F33" s="36">
        <v>6</v>
      </c>
      <c r="G33" s="36">
        <v>2</v>
      </c>
      <c r="H33" s="36">
        <v>3</v>
      </c>
      <c r="I33" s="36">
        <v>3</v>
      </c>
      <c r="J33" s="36">
        <v>18</v>
      </c>
      <c r="K33" s="36">
        <v>7</v>
      </c>
      <c r="L33" s="36">
        <v>2</v>
      </c>
      <c r="M33" s="36">
        <v>3</v>
      </c>
      <c r="N33" s="36">
        <v>3</v>
      </c>
      <c r="O33" s="36"/>
      <c r="P33" s="36"/>
      <c r="Q33" s="36"/>
      <c r="R33" s="37"/>
      <c r="S33" s="37"/>
      <c r="T33" s="37"/>
      <c r="U33" s="37"/>
      <c r="V33" s="37"/>
      <c r="W33" s="37"/>
      <c r="X33" s="68" t="s">
        <v>70</v>
      </c>
      <c r="Y33" s="72"/>
      <c r="Z33" s="45">
        <v>80</v>
      </c>
      <c r="AA33" s="45">
        <f>Z33-INT(Z33/8)-3</f>
        <v>67</v>
      </c>
    </row>
    <row r="34" spans="1:27" ht="18" customHeight="1" x14ac:dyDescent="0.15">
      <c r="A34" s="32" t="s">
        <v>59</v>
      </c>
      <c r="B34" s="33" t="s">
        <v>44</v>
      </c>
      <c r="C34" s="34">
        <f>SUM(E34:X34)</f>
        <v>84</v>
      </c>
      <c r="D34" s="35" t="s">
        <v>45</v>
      </c>
      <c r="E34" s="36">
        <v>17</v>
      </c>
      <c r="F34" s="36">
        <v>6</v>
      </c>
      <c r="G34" s="36">
        <v>7</v>
      </c>
      <c r="H34" s="36">
        <v>3</v>
      </c>
      <c r="I34" s="36">
        <v>3</v>
      </c>
      <c r="J34" s="36">
        <v>18</v>
      </c>
      <c r="K34" s="36">
        <v>7</v>
      </c>
      <c r="L34" s="36">
        <v>17</v>
      </c>
      <c r="M34" s="36">
        <v>3</v>
      </c>
      <c r="N34" s="36">
        <v>3</v>
      </c>
      <c r="O34" s="43"/>
      <c r="P34" s="43"/>
      <c r="Q34" s="43"/>
      <c r="R34" s="37"/>
      <c r="S34" s="37"/>
      <c r="T34" s="37"/>
      <c r="U34" s="37"/>
      <c r="V34" s="37"/>
      <c r="W34" s="37"/>
      <c r="X34" s="68" t="s">
        <v>60</v>
      </c>
      <c r="Y34" s="72"/>
      <c r="Z34" s="45">
        <v>120</v>
      </c>
      <c r="AA34" s="45">
        <f>Z34-INT(Z34/8)-3</f>
        <v>102</v>
      </c>
    </row>
    <row r="35" spans="1:27" ht="18" customHeight="1" x14ac:dyDescent="0.15">
      <c r="A35" s="32" t="s">
        <v>43</v>
      </c>
      <c r="B35" s="33" t="s">
        <v>44</v>
      </c>
      <c r="C35" s="34">
        <f>SUM(E35:X35)</f>
        <v>120</v>
      </c>
      <c r="D35" s="35" t="s">
        <v>45</v>
      </c>
      <c r="E35" s="36">
        <v>46</v>
      </c>
      <c r="F35" s="36">
        <v>6</v>
      </c>
      <c r="G35" s="36">
        <v>2</v>
      </c>
      <c r="H35" s="36">
        <v>3</v>
      </c>
      <c r="I35" s="36">
        <v>3</v>
      </c>
      <c r="J35" s="36">
        <v>45</v>
      </c>
      <c r="K35" s="36">
        <v>7</v>
      </c>
      <c r="L35" s="36">
        <v>2</v>
      </c>
      <c r="M35" s="36">
        <v>3</v>
      </c>
      <c r="N35" s="36">
        <v>3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7" ht="18" customHeight="1" x14ac:dyDescent="0.15">
      <c r="A36" s="92" t="s">
        <v>46</v>
      </c>
      <c r="B36" s="93"/>
      <c r="C36" s="93"/>
      <c r="D36" s="94"/>
      <c r="E36" s="36">
        <v>110</v>
      </c>
      <c r="F36" s="36">
        <v>110</v>
      </c>
      <c r="G36" s="36">
        <v>110</v>
      </c>
      <c r="H36" s="36">
        <v>10</v>
      </c>
      <c r="I36" s="36">
        <v>10</v>
      </c>
      <c r="J36" s="36">
        <v>110</v>
      </c>
      <c r="K36" s="36">
        <v>110</v>
      </c>
      <c r="L36" s="36">
        <v>110</v>
      </c>
      <c r="M36" s="36">
        <v>10</v>
      </c>
      <c r="N36" s="36">
        <v>10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7" ht="18" customHeight="1" x14ac:dyDescent="0.15">
      <c r="A37" s="92" t="s">
        <v>47</v>
      </c>
      <c r="B37" s="93"/>
      <c r="C37" s="93"/>
      <c r="D37" s="94"/>
      <c r="E37" s="36">
        <v>6</v>
      </c>
      <c r="F37" s="36">
        <v>0.95</v>
      </c>
      <c r="G37" s="36">
        <v>0.95</v>
      </c>
      <c r="H37" s="36">
        <v>0.95</v>
      </c>
      <c r="I37" s="36">
        <v>0.95</v>
      </c>
      <c r="J37" s="36">
        <v>6</v>
      </c>
      <c r="K37" s="36">
        <v>0.95</v>
      </c>
      <c r="L37" s="36">
        <v>0.95</v>
      </c>
      <c r="M37" s="36">
        <v>0.95</v>
      </c>
      <c r="N37" s="36">
        <v>0.95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7" ht="18" customHeight="1" x14ac:dyDescent="0.15">
      <c r="A38" s="92" t="s">
        <v>48</v>
      </c>
      <c r="B38" s="93"/>
      <c r="C38" s="93"/>
      <c r="D38" s="94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</sheetData>
  <mergeCells count="72"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V1:X1"/>
    <mergeCell ref="T4:U4"/>
    <mergeCell ref="V4:X4"/>
    <mergeCell ref="F1:G2"/>
    <mergeCell ref="T1:U1"/>
    <mergeCell ref="H1:K2"/>
    <mergeCell ref="L1:M2"/>
    <mergeCell ref="A31:B31"/>
    <mergeCell ref="C31:D31"/>
    <mergeCell ref="A36:D36"/>
    <mergeCell ref="A37:D37"/>
    <mergeCell ref="A38:D38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3:B13"/>
    <mergeCell ref="C13:D13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N1:O4"/>
    <mergeCell ref="P1:S2"/>
    <mergeCell ref="A5:B5"/>
    <mergeCell ref="C5:D5"/>
    <mergeCell ref="A6:B6"/>
    <mergeCell ref="C6:D6"/>
  </mergeCells>
  <phoneticPr fontId="1"/>
  <pageMargins left="0.78740157480314965" right="0" top="0.59055118110236227" bottom="0.19685039370078741" header="0.23622047244094491" footer="0.31496062992125984"/>
  <pageSetup paperSize="9" scale="94" firstPageNumber="44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view="pageBreakPreview" topLeftCell="A4" zoomScaleNormal="100" zoomScaleSheetLayoutView="100" workbookViewId="0">
      <selection sqref="A1:E1"/>
    </sheetView>
  </sheetViews>
  <sheetFormatPr defaultRowHeight="12" x14ac:dyDescent="0.15"/>
  <cols>
    <col min="1" max="1" width="7.5" style="65" bestFit="1" customWidth="1"/>
    <col min="2" max="2" width="2.25" style="65" bestFit="1" customWidth="1"/>
    <col min="3" max="3" width="5.25" style="65" bestFit="1" customWidth="1"/>
    <col min="4" max="4" width="2.25" style="65" bestFit="1" customWidth="1"/>
    <col min="5" max="24" width="4.125" style="45" customWidth="1"/>
    <col min="25" max="16384" width="9" style="45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44" t="s">
        <v>61</v>
      </c>
      <c r="G1" s="145"/>
      <c r="H1" s="146" t="s">
        <v>2</v>
      </c>
      <c r="I1" s="147"/>
      <c r="J1" s="147"/>
      <c r="K1" s="147"/>
      <c r="L1" s="147"/>
      <c r="M1" s="147"/>
      <c r="N1" s="133" t="s">
        <v>3</v>
      </c>
      <c r="O1" s="133"/>
      <c r="P1" s="134">
        <v>41839</v>
      </c>
      <c r="Q1" s="134"/>
      <c r="R1" s="134"/>
      <c r="S1" s="134"/>
      <c r="T1" s="129" t="s">
        <v>5</v>
      </c>
      <c r="U1" s="129"/>
      <c r="V1" s="129" t="s">
        <v>6</v>
      </c>
      <c r="W1" s="129"/>
      <c r="X1" s="129"/>
    </row>
    <row r="2" spans="1:25" ht="20.100000000000001" customHeight="1" x14ac:dyDescent="0.15">
      <c r="A2" s="140" t="s">
        <v>7</v>
      </c>
      <c r="B2" s="140"/>
      <c r="C2" s="140"/>
      <c r="D2" s="140"/>
      <c r="E2" s="140"/>
      <c r="F2" s="136" t="s">
        <v>62</v>
      </c>
      <c r="G2" s="96"/>
      <c r="H2" s="137" t="s">
        <v>2</v>
      </c>
      <c r="I2" s="137"/>
      <c r="J2" s="137"/>
      <c r="K2" s="137"/>
      <c r="L2" s="138" t="s">
        <v>55</v>
      </c>
      <c r="M2" s="139"/>
      <c r="N2" s="140" t="s">
        <v>10</v>
      </c>
      <c r="O2" s="140"/>
      <c r="P2" s="141">
        <v>3.472222222222222E-3</v>
      </c>
      <c r="Q2" s="142"/>
      <c r="R2" s="143"/>
      <c r="S2" s="46" t="s">
        <v>11</v>
      </c>
      <c r="T2" s="129" t="s">
        <v>12</v>
      </c>
      <c r="U2" s="129"/>
      <c r="V2" s="129" t="s">
        <v>13</v>
      </c>
      <c r="W2" s="129"/>
      <c r="X2" s="129"/>
    </row>
    <row r="3" spans="1:25" ht="18" customHeight="1" x14ac:dyDescent="0.15">
      <c r="A3" s="86"/>
      <c r="B3" s="87"/>
      <c r="C3" s="87"/>
      <c r="D3" s="87"/>
      <c r="E3" s="47"/>
      <c r="F3" s="47"/>
      <c r="G3" s="47"/>
      <c r="H3" s="47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</row>
    <row r="4" spans="1:25" ht="18" customHeight="1" x14ac:dyDescent="0.15">
      <c r="A4" s="88"/>
      <c r="B4" s="89"/>
      <c r="C4" s="89"/>
      <c r="D4" s="89"/>
      <c r="X4" s="50"/>
    </row>
    <row r="5" spans="1:25" ht="18" customHeight="1" x14ac:dyDescent="0.15">
      <c r="A5" s="88"/>
      <c r="B5" s="89"/>
      <c r="C5" s="89"/>
      <c r="D5" s="89"/>
      <c r="X5" s="50"/>
    </row>
    <row r="6" spans="1:25" ht="18" customHeight="1" x14ac:dyDescent="0.15">
      <c r="A6" s="88"/>
      <c r="B6" s="89"/>
      <c r="C6" s="89"/>
      <c r="D6" s="89"/>
      <c r="X6" s="50"/>
    </row>
    <row r="7" spans="1:25" ht="18" customHeight="1" x14ac:dyDescent="0.15">
      <c r="A7" s="88"/>
      <c r="B7" s="89"/>
      <c r="C7" s="89"/>
      <c r="D7" s="89"/>
      <c r="X7" s="50"/>
    </row>
    <row r="8" spans="1:25" ht="147.75" customHeight="1" x14ac:dyDescent="0.15">
      <c r="A8" s="88"/>
      <c r="B8" s="89"/>
      <c r="C8" s="89"/>
      <c r="D8" s="89"/>
      <c r="X8" s="50"/>
    </row>
    <row r="9" spans="1:25" ht="18" customHeight="1" x14ac:dyDescent="0.15">
      <c r="A9" s="88"/>
      <c r="B9" s="89"/>
      <c r="C9" s="89"/>
      <c r="D9" s="89"/>
      <c r="X9" s="50"/>
    </row>
    <row r="10" spans="1:25" ht="18" customHeight="1" x14ac:dyDescent="0.15">
      <c r="A10" s="90"/>
      <c r="B10" s="91"/>
      <c r="C10" s="89"/>
      <c r="D10" s="89"/>
      <c r="X10" s="50"/>
    </row>
    <row r="11" spans="1:25" ht="18" customHeight="1" x14ac:dyDescent="0.15">
      <c r="A11" s="90"/>
      <c r="B11" s="91"/>
      <c r="C11" s="89"/>
      <c r="D11" s="89"/>
      <c r="X11" s="50"/>
    </row>
    <row r="12" spans="1:25" ht="18" customHeight="1" x14ac:dyDescent="0.15">
      <c r="A12" s="90"/>
      <c r="B12" s="91"/>
      <c r="C12" s="95"/>
      <c r="D12" s="95"/>
      <c r="E12" s="51"/>
      <c r="F12" s="52"/>
      <c r="G12" s="52"/>
      <c r="H12" s="52"/>
      <c r="X12" s="50"/>
    </row>
    <row r="13" spans="1:25" ht="18" customHeight="1" x14ac:dyDescent="0.15">
      <c r="A13" s="96"/>
      <c r="B13" s="97"/>
      <c r="C13" s="98"/>
      <c r="D13" s="98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46"/>
    </row>
    <row r="14" spans="1:25" s="56" customFormat="1" ht="18" customHeight="1" x14ac:dyDescent="0.15">
      <c r="A14" s="99" t="s">
        <v>14</v>
      </c>
      <c r="B14" s="99"/>
      <c r="C14" s="99"/>
      <c r="D14" s="99"/>
      <c r="E14" s="36">
        <v>1</v>
      </c>
      <c r="F14" s="36">
        <v>2</v>
      </c>
      <c r="G14" s="36">
        <v>3</v>
      </c>
      <c r="H14" s="36">
        <v>4</v>
      </c>
      <c r="I14" s="36">
        <v>5</v>
      </c>
      <c r="J14" s="36">
        <v>6</v>
      </c>
      <c r="K14" s="36">
        <v>7</v>
      </c>
      <c r="L14" s="36">
        <v>8</v>
      </c>
      <c r="M14" s="36">
        <v>9</v>
      </c>
      <c r="N14" s="36">
        <v>10</v>
      </c>
      <c r="O14" s="36">
        <v>11</v>
      </c>
      <c r="P14" s="36">
        <v>12</v>
      </c>
      <c r="Q14" s="36">
        <v>13</v>
      </c>
      <c r="R14" s="55">
        <v>14</v>
      </c>
      <c r="S14" s="36">
        <v>15</v>
      </c>
      <c r="T14" s="36">
        <v>16</v>
      </c>
      <c r="U14" s="36">
        <v>17</v>
      </c>
      <c r="V14" s="36">
        <v>18</v>
      </c>
      <c r="W14" s="36">
        <v>19</v>
      </c>
      <c r="X14" s="36">
        <v>20</v>
      </c>
    </row>
    <row r="15" spans="1:25" s="52" customFormat="1" ht="18" customHeight="1" x14ac:dyDescent="0.15">
      <c r="A15" s="99" t="s">
        <v>15</v>
      </c>
      <c r="B15" s="99"/>
      <c r="C15" s="99"/>
      <c r="D15" s="99"/>
      <c r="E15" s="57" t="s">
        <v>16</v>
      </c>
      <c r="F15" s="57" t="s">
        <v>17</v>
      </c>
      <c r="G15" s="57" t="s">
        <v>18</v>
      </c>
      <c r="H15" s="57" t="s">
        <v>19</v>
      </c>
      <c r="I15" s="57" t="s">
        <v>20</v>
      </c>
      <c r="J15" s="57" t="s">
        <v>21</v>
      </c>
      <c r="K15" s="57" t="s">
        <v>22</v>
      </c>
      <c r="L15" s="57" t="s">
        <v>23</v>
      </c>
      <c r="M15" s="57" t="s">
        <v>24</v>
      </c>
      <c r="N15" s="57" t="s">
        <v>25</v>
      </c>
      <c r="O15" s="57"/>
      <c r="P15" s="57"/>
      <c r="Q15" s="57"/>
      <c r="R15" s="58"/>
      <c r="T15" s="57"/>
      <c r="U15" s="57"/>
      <c r="V15" s="57"/>
      <c r="W15" s="57"/>
      <c r="X15" s="57"/>
    </row>
    <row r="16" spans="1:25" s="52" customFormat="1" ht="125.1" customHeight="1" x14ac:dyDescent="0.15">
      <c r="A16" s="92"/>
      <c r="B16" s="93"/>
      <c r="C16" s="93"/>
      <c r="D16" s="94"/>
      <c r="E16" s="44"/>
      <c r="F16" s="59"/>
      <c r="G16" s="59"/>
      <c r="H16" s="59"/>
      <c r="I16" s="59"/>
      <c r="J16" s="44"/>
      <c r="K16" s="59"/>
      <c r="L16" s="59"/>
      <c r="M16" s="59"/>
      <c r="N16" s="59"/>
      <c r="O16" s="44"/>
      <c r="P16" s="59"/>
      <c r="Q16" s="59"/>
      <c r="R16" s="59"/>
      <c r="S16" s="59"/>
      <c r="T16" s="59"/>
      <c r="U16" s="59"/>
      <c r="V16" s="59"/>
      <c r="W16" s="59"/>
      <c r="X16" s="58"/>
      <c r="Y16" s="60"/>
    </row>
    <row r="17" spans="1:24" ht="18" customHeight="1" x14ac:dyDescent="0.15">
      <c r="A17" s="92" t="s">
        <v>26</v>
      </c>
      <c r="B17" s="93"/>
      <c r="C17" s="93" t="s">
        <v>27</v>
      </c>
      <c r="D17" s="9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8" customHeight="1" x14ac:dyDescent="0.15">
      <c r="A18" s="92" t="s">
        <v>28</v>
      </c>
      <c r="B18" s="93"/>
      <c r="C18" s="93" t="s">
        <v>29</v>
      </c>
      <c r="D18" s="9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8" customHeight="1" x14ac:dyDescent="0.15">
      <c r="A19" s="92" t="s">
        <v>30</v>
      </c>
      <c r="B19" s="93"/>
      <c r="C19" s="93" t="s">
        <v>31</v>
      </c>
      <c r="D19" s="9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8" customHeight="1" x14ac:dyDescent="0.15">
      <c r="A20" s="92" t="s">
        <v>32</v>
      </c>
      <c r="B20" s="93"/>
      <c r="C20" s="93" t="s">
        <v>33</v>
      </c>
      <c r="D20" s="94"/>
      <c r="E20" s="37"/>
      <c r="F20" s="37"/>
      <c r="G20" s="37"/>
      <c r="H20" s="61"/>
      <c r="I20" s="62"/>
      <c r="J20" s="62"/>
      <c r="K20" s="62"/>
      <c r="L20" s="63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8" customHeight="1" x14ac:dyDescent="0.15">
      <c r="A21" s="92" t="s">
        <v>34</v>
      </c>
      <c r="B21" s="93"/>
      <c r="C21" s="93" t="s">
        <v>35</v>
      </c>
      <c r="D21" s="9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8" customHeight="1" x14ac:dyDescent="0.15">
      <c r="A22" s="92" t="s">
        <v>36</v>
      </c>
      <c r="B22" s="93"/>
      <c r="C22" s="93" t="s">
        <v>37</v>
      </c>
      <c r="D22" s="9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8" customHeight="1" x14ac:dyDescent="0.15">
      <c r="A23" s="92"/>
      <c r="B23" s="93"/>
      <c r="C23" s="100"/>
      <c r="D23" s="10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8" customHeight="1" x14ac:dyDescent="0.15">
      <c r="A24" s="102"/>
      <c r="B24" s="100"/>
      <c r="C24" s="100"/>
      <c r="D24" s="10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8" customHeight="1" x14ac:dyDescent="0.15">
      <c r="A25" s="102"/>
      <c r="B25" s="100"/>
      <c r="C25" s="100"/>
      <c r="D25" s="10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8" customHeight="1" x14ac:dyDescent="0.15">
      <c r="A26" s="102"/>
      <c r="B26" s="100"/>
      <c r="C26" s="100"/>
      <c r="D26" s="10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8" customHeight="1" x14ac:dyDescent="0.15">
      <c r="A27" s="102"/>
      <c r="B27" s="100"/>
      <c r="C27" s="100"/>
      <c r="D27" s="10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8" customHeight="1" x14ac:dyDescent="0.15">
      <c r="A28" s="102"/>
      <c r="B28" s="100"/>
      <c r="C28" s="100"/>
      <c r="D28" s="10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8" customHeight="1" x14ac:dyDescent="0.15">
      <c r="A29" s="102"/>
      <c r="B29" s="100"/>
      <c r="C29" s="100"/>
      <c r="D29" s="101"/>
      <c r="E29" s="37"/>
      <c r="F29" s="37"/>
      <c r="G29" s="37"/>
      <c r="H29" s="64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8" customHeight="1" x14ac:dyDescent="0.15">
      <c r="A30" s="32" t="s">
        <v>56</v>
      </c>
      <c r="B30" s="33"/>
      <c r="C30" s="34"/>
      <c r="D30" s="35"/>
      <c r="E30" s="36">
        <v>109</v>
      </c>
      <c r="F30" s="36"/>
      <c r="G30" s="36"/>
      <c r="H30" s="36"/>
      <c r="I30" s="36"/>
      <c r="J30" s="36">
        <v>109</v>
      </c>
      <c r="K30" s="36"/>
      <c r="L30" s="36"/>
      <c r="M30" s="36"/>
      <c r="N30" s="36"/>
      <c r="O30" s="36"/>
      <c r="P30" s="37"/>
      <c r="Q30" s="37"/>
      <c r="R30" s="37"/>
      <c r="S30" s="37"/>
      <c r="T30" s="37"/>
      <c r="U30" s="37"/>
      <c r="V30" s="37"/>
      <c r="W30" s="37"/>
      <c r="X30" s="38"/>
    </row>
    <row r="31" spans="1:24" ht="18" customHeight="1" x14ac:dyDescent="0.15">
      <c r="A31" s="32" t="s">
        <v>57</v>
      </c>
      <c r="B31" s="33" t="s">
        <v>44</v>
      </c>
      <c r="C31" s="34">
        <f>SUM(E31:X31)</f>
        <v>66</v>
      </c>
      <c r="D31" s="35" t="s">
        <v>45</v>
      </c>
      <c r="E31" s="36">
        <v>17</v>
      </c>
      <c r="F31" s="36">
        <v>6</v>
      </c>
      <c r="G31" s="36">
        <v>2</v>
      </c>
      <c r="H31" s="36">
        <v>3</v>
      </c>
      <c r="I31" s="36">
        <v>3</v>
      </c>
      <c r="J31" s="36">
        <v>20</v>
      </c>
      <c r="K31" s="36">
        <v>7</v>
      </c>
      <c r="L31" s="36">
        <v>2</v>
      </c>
      <c r="M31" s="36">
        <v>3</v>
      </c>
      <c r="N31" s="36">
        <v>3</v>
      </c>
      <c r="O31" s="36"/>
      <c r="P31" s="36"/>
      <c r="Q31" s="36"/>
      <c r="R31" s="37"/>
      <c r="S31" s="37"/>
      <c r="T31" s="37"/>
      <c r="U31" s="37"/>
      <c r="V31" s="37"/>
      <c r="W31" s="37"/>
      <c r="X31" s="68" t="s">
        <v>58</v>
      </c>
    </row>
    <row r="32" spans="1:24" ht="18" customHeight="1" x14ac:dyDescent="0.15">
      <c r="A32" s="32" t="s">
        <v>59</v>
      </c>
      <c r="B32" s="33" t="s">
        <v>44</v>
      </c>
      <c r="C32" s="34">
        <f>SUM(E32:X32)</f>
        <v>81</v>
      </c>
      <c r="D32" s="35" t="s">
        <v>45</v>
      </c>
      <c r="E32" s="36">
        <v>17</v>
      </c>
      <c r="F32" s="36">
        <v>6</v>
      </c>
      <c r="G32" s="36">
        <v>2</v>
      </c>
      <c r="H32" s="36">
        <v>3</v>
      </c>
      <c r="I32" s="36">
        <v>3</v>
      </c>
      <c r="J32" s="36">
        <v>20</v>
      </c>
      <c r="K32" s="36">
        <v>7</v>
      </c>
      <c r="L32" s="43">
        <v>17</v>
      </c>
      <c r="M32" s="36">
        <v>3</v>
      </c>
      <c r="N32" s="36">
        <v>3</v>
      </c>
      <c r="O32" s="43"/>
      <c r="P32" s="43"/>
      <c r="Q32" s="43"/>
      <c r="R32" s="37"/>
      <c r="S32" s="37"/>
      <c r="T32" s="37"/>
      <c r="U32" s="37"/>
      <c r="V32" s="37"/>
      <c r="W32" s="37"/>
      <c r="X32" s="68" t="s">
        <v>60</v>
      </c>
    </row>
    <row r="33" spans="1:24" ht="18" customHeight="1" x14ac:dyDescent="0.15">
      <c r="A33" s="66" t="s">
        <v>43</v>
      </c>
      <c r="B33" s="33" t="s">
        <v>44</v>
      </c>
      <c r="C33" s="34">
        <f>SUM(E33:X33)</f>
        <v>100</v>
      </c>
      <c r="D33" s="67" t="s">
        <v>45</v>
      </c>
      <c r="E33" s="36">
        <v>37</v>
      </c>
      <c r="F33" s="36">
        <v>6</v>
      </c>
      <c r="G33" s="36">
        <v>2</v>
      </c>
      <c r="H33" s="36">
        <v>3</v>
      </c>
      <c r="I33" s="36">
        <v>2</v>
      </c>
      <c r="J33" s="36">
        <v>35</v>
      </c>
      <c r="K33" s="36">
        <v>7</v>
      </c>
      <c r="L33" s="36">
        <v>2</v>
      </c>
      <c r="M33" s="36">
        <v>3</v>
      </c>
      <c r="N33" s="36">
        <v>3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 ht="18" customHeight="1" x14ac:dyDescent="0.15">
      <c r="A34" s="92" t="s">
        <v>46</v>
      </c>
      <c r="B34" s="93"/>
      <c r="C34" s="93"/>
      <c r="D34" s="94"/>
      <c r="E34" s="36">
        <v>110</v>
      </c>
      <c r="F34" s="36">
        <v>110</v>
      </c>
      <c r="G34" s="36">
        <v>110</v>
      </c>
      <c r="H34" s="36">
        <v>10</v>
      </c>
      <c r="I34" s="36">
        <v>10</v>
      </c>
      <c r="J34" s="36">
        <v>110</v>
      </c>
      <c r="K34" s="36">
        <v>110</v>
      </c>
      <c r="L34" s="36">
        <v>110</v>
      </c>
      <c r="M34" s="36">
        <v>10</v>
      </c>
      <c r="N34" s="36">
        <v>10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8" customHeight="1" x14ac:dyDescent="0.15">
      <c r="A35" s="92" t="s">
        <v>47</v>
      </c>
      <c r="B35" s="93"/>
      <c r="C35" s="93"/>
      <c r="D35" s="94"/>
      <c r="E35" s="36">
        <v>6</v>
      </c>
      <c r="F35" s="36">
        <v>0.95</v>
      </c>
      <c r="G35" s="36">
        <v>0.95</v>
      </c>
      <c r="H35" s="36">
        <v>0.95</v>
      </c>
      <c r="I35" s="36">
        <v>0.95</v>
      </c>
      <c r="J35" s="36">
        <v>6</v>
      </c>
      <c r="K35" s="36">
        <v>0.95</v>
      </c>
      <c r="L35" s="36">
        <v>0.95</v>
      </c>
      <c r="M35" s="36">
        <v>0.95</v>
      </c>
      <c r="N35" s="36">
        <v>0.95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8" customHeight="1" x14ac:dyDescent="0.15">
      <c r="A36" s="92" t="s">
        <v>48</v>
      </c>
      <c r="B36" s="93"/>
      <c r="C36" s="93"/>
      <c r="D36" s="94"/>
      <c r="E36" s="36" t="s">
        <v>49</v>
      </c>
      <c r="F36" s="36" t="s">
        <v>50</v>
      </c>
      <c r="G36" s="36" t="s">
        <v>50</v>
      </c>
      <c r="H36" s="36" t="s">
        <v>50</v>
      </c>
      <c r="I36" s="36" t="s">
        <v>50</v>
      </c>
      <c r="J36" s="36" t="s">
        <v>50</v>
      </c>
      <c r="K36" s="36" t="s">
        <v>49</v>
      </c>
      <c r="L36" s="36" t="s">
        <v>49</v>
      </c>
      <c r="M36" s="36" t="s">
        <v>49</v>
      </c>
      <c r="N36" s="36" t="s">
        <v>49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</row>
  </sheetData>
  <mergeCells count="69">
    <mergeCell ref="A29:B29"/>
    <mergeCell ref="C29:D29"/>
    <mergeCell ref="A34:D34"/>
    <mergeCell ref="A35:D35"/>
    <mergeCell ref="A36:D36"/>
    <mergeCell ref="A22:B22"/>
    <mergeCell ref="C22:D22"/>
    <mergeCell ref="C28:D28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A19:B19"/>
    <mergeCell ref="C19:D19"/>
    <mergeCell ref="A20:B20"/>
    <mergeCell ref="C20:D20"/>
    <mergeCell ref="A21:B21"/>
    <mergeCell ref="C21:D21"/>
    <mergeCell ref="A18:B18"/>
    <mergeCell ref="C18:D18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A3:B3"/>
    <mergeCell ref="C3:D3"/>
    <mergeCell ref="A4:B4"/>
    <mergeCell ref="C4:D4"/>
    <mergeCell ref="A2:E2"/>
    <mergeCell ref="N1:O1"/>
    <mergeCell ref="P1:S1"/>
    <mergeCell ref="T2:U2"/>
    <mergeCell ref="V2:X2"/>
    <mergeCell ref="A1:E1"/>
    <mergeCell ref="F2:G2"/>
    <mergeCell ref="H2:K2"/>
    <mergeCell ref="T1:U1"/>
    <mergeCell ref="V1:X1"/>
    <mergeCell ref="L2:M2"/>
    <mergeCell ref="N2:O2"/>
    <mergeCell ref="P2:R2"/>
    <mergeCell ref="F1:G1"/>
    <mergeCell ref="H1:M1"/>
  </mergeCells>
  <phoneticPr fontId="1"/>
  <pageMargins left="0.78740157480314965" right="0" top="0.59055118110236227" bottom="0.19685039370078741" header="0.23622047244094491" footer="0.31496062992125984"/>
  <pageSetup paperSize="9" scale="94" firstPageNumber="44" orientation="portrait" useFirstPageNumber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view="pageBreakPreview" topLeftCell="A9" zoomScaleNormal="100" zoomScaleSheetLayoutView="100" workbookViewId="0">
      <selection activeCell="X32" sqref="X32"/>
    </sheetView>
  </sheetViews>
  <sheetFormatPr defaultRowHeight="12" x14ac:dyDescent="0.15"/>
  <cols>
    <col min="1" max="1" width="7.5" style="65" bestFit="1" customWidth="1"/>
    <col min="2" max="2" width="2.25" style="65" bestFit="1" customWidth="1"/>
    <col min="3" max="3" width="5.25" style="65" bestFit="1" customWidth="1"/>
    <col min="4" max="4" width="2.25" style="65" bestFit="1" customWidth="1"/>
    <col min="5" max="24" width="4.125" style="45" customWidth="1"/>
    <col min="25" max="16384" width="9" style="45"/>
  </cols>
  <sheetData>
    <row r="1" spans="1:25" ht="20.100000000000001" customHeight="1" x14ac:dyDescent="0.15">
      <c r="A1" s="135" t="s">
        <v>0</v>
      </c>
      <c r="B1" s="135"/>
      <c r="C1" s="135"/>
      <c r="D1" s="135"/>
      <c r="E1" s="135"/>
      <c r="F1" s="144" t="s">
        <v>1</v>
      </c>
      <c r="G1" s="145"/>
      <c r="H1" s="148" t="s">
        <v>2</v>
      </c>
      <c r="I1" s="149"/>
      <c r="J1" s="149"/>
      <c r="K1" s="149"/>
      <c r="L1" s="149"/>
      <c r="M1" s="149"/>
      <c r="N1" s="133" t="s">
        <v>3</v>
      </c>
      <c r="O1" s="133"/>
      <c r="P1" s="134">
        <v>41839</v>
      </c>
      <c r="Q1" s="134"/>
      <c r="R1" s="134"/>
      <c r="S1" s="134"/>
      <c r="T1" s="129" t="s">
        <v>5</v>
      </c>
      <c r="U1" s="129"/>
      <c r="V1" s="129" t="s">
        <v>6</v>
      </c>
      <c r="W1" s="129"/>
      <c r="X1" s="129"/>
    </row>
    <row r="2" spans="1:25" ht="20.100000000000001" customHeight="1" x14ac:dyDescent="0.15">
      <c r="A2" s="140" t="s">
        <v>7</v>
      </c>
      <c r="B2" s="140"/>
      <c r="C2" s="140"/>
      <c r="D2" s="140"/>
      <c r="E2" s="140"/>
      <c r="F2" s="136" t="s">
        <v>8</v>
      </c>
      <c r="G2" s="96"/>
      <c r="H2" s="150" t="s">
        <v>2</v>
      </c>
      <c r="I2" s="150"/>
      <c r="J2" s="150"/>
      <c r="K2" s="150"/>
      <c r="L2" s="138" t="s">
        <v>55</v>
      </c>
      <c r="M2" s="139"/>
      <c r="N2" s="140" t="s">
        <v>10</v>
      </c>
      <c r="O2" s="140"/>
      <c r="P2" s="141">
        <v>3.472222222222222E-3</v>
      </c>
      <c r="Q2" s="142"/>
      <c r="R2" s="143"/>
      <c r="S2" s="46" t="s">
        <v>11</v>
      </c>
      <c r="T2" s="129" t="s">
        <v>12</v>
      </c>
      <c r="U2" s="129"/>
      <c r="V2" s="129" t="s">
        <v>13</v>
      </c>
      <c r="W2" s="129"/>
      <c r="X2" s="129"/>
    </row>
    <row r="3" spans="1:25" ht="18" customHeight="1" x14ac:dyDescent="0.15">
      <c r="A3" s="86"/>
      <c r="B3" s="87"/>
      <c r="C3" s="87"/>
      <c r="D3" s="87"/>
      <c r="E3" s="47"/>
      <c r="F3" s="47"/>
      <c r="G3" s="47"/>
      <c r="H3" s="47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</row>
    <row r="4" spans="1:25" ht="18" customHeight="1" x14ac:dyDescent="0.15">
      <c r="A4" s="88"/>
      <c r="B4" s="89"/>
      <c r="C4" s="89"/>
      <c r="D4" s="89"/>
      <c r="X4" s="50"/>
    </row>
    <row r="5" spans="1:25" ht="18" customHeight="1" x14ac:dyDescent="0.15">
      <c r="A5" s="88"/>
      <c r="B5" s="89"/>
      <c r="C5" s="89"/>
      <c r="D5" s="89"/>
      <c r="X5" s="50"/>
    </row>
    <row r="6" spans="1:25" ht="18" customHeight="1" x14ac:dyDescent="0.15">
      <c r="A6" s="88"/>
      <c r="B6" s="89"/>
      <c r="C6" s="89"/>
      <c r="D6" s="89"/>
      <c r="X6" s="50"/>
    </row>
    <row r="7" spans="1:25" ht="18" customHeight="1" x14ac:dyDescent="0.15">
      <c r="A7" s="88"/>
      <c r="B7" s="89"/>
      <c r="C7" s="89"/>
      <c r="D7" s="89"/>
      <c r="X7" s="50"/>
    </row>
    <row r="8" spans="1:25" ht="147.75" customHeight="1" x14ac:dyDescent="0.15">
      <c r="A8" s="88"/>
      <c r="B8" s="89"/>
      <c r="C8" s="89"/>
      <c r="D8" s="89"/>
      <c r="X8" s="50"/>
    </row>
    <row r="9" spans="1:25" ht="18" customHeight="1" x14ac:dyDescent="0.15">
      <c r="A9" s="88"/>
      <c r="B9" s="89"/>
      <c r="C9" s="89"/>
      <c r="D9" s="89"/>
      <c r="X9" s="50"/>
    </row>
    <row r="10" spans="1:25" ht="18" customHeight="1" x14ac:dyDescent="0.15">
      <c r="A10" s="90"/>
      <c r="B10" s="91"/>
      <c r="C10" s="89"/>
      <c r="D10" s="89"/>
      <c r="X10" s="50"/>
    </row>
    <row r="11" spans="1:25" ht="18" customHeight="1" x14ac:dyDescent="0.15">
      <c r="A11" s="90"/>
      <c r="B11" s="91"/>
      <c r="C11" s="89"/>
      <c r="D11" s="89"/>
      <c r="X11" s="50"/>
    </row>
    <row r="12" spans="1:25" ht="18" customHeight="1" x14ac:dyDescent="0.15">
      <c r="A12" s="90"/>
      <c r="B12" s="91"/>
      <c r="C12" s="95"/>
      <c r="D12" s="95"/>
      <c r="E12" s="51"/>
      <c r="F12" s="52"/>
      <c r="G12" s="52"/>
      <c r="H12" s="52"/>
      <c r="X12" s="50"/>
    </row>
    <row r="13" spans="1:25" ht="18" customHeight="1" x14ac:dyDescent="0.15">
      <c r="A13" s="96"/>
      <c r="B13" s="97"/>
      <c r="C13" s="98"/>
      <c r="D13" s="98"/>
      <c r="E13" s="53"/>
      <c r="F13" s="53"/>
      <c r="G13" s="53"/>
      <c r="H13" s="53"/>
      <c r="I13" s="53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46"/>
    </row>
    <row r="14" spans="1:25" s="56" customFormat="1" ht="18" customHeight="1" x14ac:dyDescent="0.15">
      <c r="A14" s="99" t="s">
        <v>14</v>
      </c>
      <c r="B14" s="99"/>
      <c r="C14" s="99"/>
      <c r="D14" s="99"/>
      <c r="E14" s="36">
        <v>1</v>
      </c>
      <c r="F14" s="36">
        <v>2</v>
      </c>
      <c r="G14" s="36">
        <v>3</v>
      </c>
      <c r="H14" s="36">
        <v>4</v>
      </c>
      <c r="I14" s="36">
        <v>5</v>
      </c>
      <c r="J14" s="36">
        <v>6</v>
      </c>
      <c r="K14" s="36">
        <v>7</v>
      </c>
      <c r="L14" s="36">
        <v>8</v>
      </c>
      <c r="M14" s="36">
        <v>9</v>
      </c>
      <c r="N14" s="36">
        <v>10</v>
      </c>
      <c r="O14" s="36">
        <v>11</v>
      </c>
      <c r="P14" s="36">
        <v>12</v>
      </c>
      <c r="Q14" s="36">
        <v>13</v>
      </c>
      <c r="R14" s="55">
        <v>14</v>
      </c>
      <c r="S14" s="36">
        <v>15</v>
      </c>
      <c r="T14" s="36">
        <v>16</v>
      </c>
      <c r="U14" s="36">
        <v>17</v>
      </c>
      <c r="V14" s="36">
        <v>18</v>
      </c>
      <c r="W14" s="36">
        <v>19</v>
      </c>
      <c r="X14" s="36">
        <v>20</v>
      </c>
    </row>
    <row r="15" spans="1:25" s="52" customFormat="1" ht="18" customHeight="1" x14ac:dyDescent="0.15">
      <c r="A15" s="99" t="s">
        <v>15</v>
      </c>
      <c r="B15" s="99"/>
      <c r="C15" s="99"/>
      <c r="D15" s="99"/>
      <c r="E15" s="57" t="s">
        <v>16</v>
      </c>
      <c r="F15" s="57" t="s">
        <v>17</v>
      </c>
      <c r="G15" s="57" t="s">
        <v>18</v>
      </c>
      <c r="H15" s="57" t="s">
        <v>19</v>
      </c>
      <c r="I15" s="57" t="s">
        <v>20</v>
      </c>
      <c r="J15" s="57" t="s">
        <v>21</v>
      </c>
      <c r="K15" s="57" t="s">
        <v>22</v>
      </c>
      <c r="L15" s="57" t="s">
        <v>23</v>
      </c>
      <c r="M15" s="57" t="s">
        <v>24</v>
      </c>
      <c r="N15" s="57" t="s">
        <v>25</v>
      </c>
      <c r="O15" s="57"/>
      <c r="P15" s="57"/>
      <c r="Q15" s="57"/>
      <c r="R15" s="58"/>
      <c r="T15" s="57"/>
      <c r="U15" s="57"/>
      <c r="V15" s="57"/>
      <c r="W15" s="57"/>
      <c r="X15" s="57"/>
    </row>
    <row r="16" spans="1:25" s="52" customFormat="1" ht="125.1" customHeight="1" x14ac:dyDescent="0.15">
      <c r="A16" s="92"/>
      <c r="B16" s="93"/>
      <c r="C16" s="93"/>
      <c r="D16" s="94"/>
      <c r="E16" s="44"/>
      <c r="F16" s="59"/>
      <c r="G16" s="59"/>
      <c r="H16" s="59"/>
      <c r="I16" s="59"/>
      <c r="J16" s="44"/>
      <c r="K16" s="59"/>
      <c r="L16" s="59"/>
      <c r="M16" s="59"/>
      <c r="N16" s="59"/>
      <c r="O16" s="44"/>
      <c r="P16" s="59"/>
      <c r="Q16" s="59"/>
      <c r="R16" s="59"/>
      <c r="S16" s="59"/>
      <c r="T16" s="59"/>
      <c r="U16" s="59"/>
      <c r="V16" s="59"/>
      <c r="W16" s="59"/>
      <c r="X16" s="58"/>
      <c r="Y16" s="60"/>
    </row>
    <row r="17" spans="1:24" ht="18" customHeight="1" x14ac:dyDescent="0.15">
      <c r="A17" s="92" t="s">
        <v>26</v>
      </c>
      <c r="B17" s="93"/>
      <c r="C17" s="93" t="s">
        <v>27</v>
      </c>
      <c r="D17" s="94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8" customHeight="1" x14ac:dyDescent="0.15">
      <c r="A18" s="92" t="s">
        <v>28</v>
      </c>
      <c r="B18" s="93"/>
      <c r="C18" s="93" t="s">
        <v>29</v>
      </c>
      <c r="D18" s="94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8" customHeight="1" x14ac:dyDescent="0.15">
      <c r="A19" s="92" t="s">
        <v>30</v>
      </c>
      <c r="B19" s="93"/>
      <c r="C19" s="93" t="s">
        <v>31</v>
      </c>
      <c r="D19" s="94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8" customHeight="1" x14ac:dyDescent="0.15">
      <c r="A20" s="92" t="s">
        <v>32</v>
      </c>
      <c r="B20" s="93"/>
      <c r="C20" s="93" t="s">
        <v>33</v>
      </c>
      <c r="D20" s="94"/>
      <c r="E20" s="37"/>
      <c r="F20" s="37"/>
      <c r="G20" s="37"/>
      <c r="H20" s="61"/>
      <c r="I20" s="62"/>
      <c r="J20" s="62"/>
      <c r="K20" s="62"/>
      <c r="L20" s="63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8" customHeight="1" x14ac:dyDescent="0.15">
      <c r="A21" s="92" t="s">
        <v>34</v>
      </c>
      <c r="B21" s="93"/>
      <c r="C21" s="93" t="s">
        <v>35</v>
      </c>
      <c r="D21" s="94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8" customHeight="1" x14ac:dyDescent="0.15">
      <c r="A22" s="92" t="s">
        <v>36</v>
      </c>
      <c r="B22" s="93"/>
      <c r="C22" s="93" t="s">
        <v>37</v>
      </c>
      <c r="D22" s="94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8" customHeight="1" x14ac:dyDescent="0.15">
      <c r="A23" s="92"/>
      <c r="B23" s="93"/>
      <c r="C23" s="100"/>
      <c r="D23" s="10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8" customHeight="1" x14ac:dyDescent="0.15">
      <c r="A24" s="102"/>
      <c r="B24" s="100"/>
      <c r="C24" s="100"/>
      <c r="D24" s="10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8" customHeight="1" x14ac:dyDescent="0.15">
      <c r="A25" s="102"/>
      <c r="B25" s="100"/>
      <c r="C25" s="100"/>
      <c r="D25" s="10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8" customHeight="1" x14ac:dyDescent="0.15">
      <c r="A26" s="102"/>
      <c r="B26" s="100"/>
      <c r="C26" s="100"/>
      <c r="D26" s="10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8" customHeight="1" x14ac:dyDescent="0.15">
      <c r="A27" s="102"/>
      <c r="B27" s="100"/>
      <c r="C27" s="100"/>
      <c r="D27" s="10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8" customHeight="1" x14ac:dyDescent="0.15">
      <c r="A28" s="102"/>
      <c r="B28" s="100"/>
      <c r="C28" s="100"/>
      <c r="D28" s="10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8" customHeight="1" x14ac:dyDescent="0.15">
      <c r="A29" s="102"/>
      <c r="B29" s="100"/>
      <c r="C29" s="100"/>
      <c r="D29" s="101"/>
      <c r="E29" s="37"/>
      <c r="F29" s="37"/>
      <c r="G29" s="37"/>
      <c r="H29" s="64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8" customHeight="1" x14ac:dyDescent="0.15">
      <c r="A30" s="32" t="s">
        <v>56</v>
      </c>
      <c r="B30" s="33"/>
      <c r="C30" s="34"/>
      <c r="D30" s="35"/>
      <c r="E30" s="36">
        <v>109</v>
      </c>
      <c r="F30" s="36"/>
      <c r="G30" s="36"/>
      <c r="H30" s="36"/>
      <c r="I30" s="36"/>
      <c r="J30" s="36">
        <v>109</v>
      </c>
      <c r="K30" s="36"/>
      <c r="L30" s="36"/>
      <c r="M30" s="36"/>
      <c r="N30" s="36"/>
      <c r="O30" s="36"/>
      <c r="P30" s="37"/>
      <c r="Q30" s="37"/>
      <c r="R30" s="37"/>
      <c r="S30" s="37"/>
      <c r="T30" s="37"/>
      <c r="U30" s="37"/>
      <c r="V30" s="37"/>
      <c r="W30" s="37"/>
      <c r="X30" s="38"/>
    </row>
    <row r="31" spans="1:24" ht="18" customHeight="1" x14ac:dyDescent="0.15">
      <c r="A31" s="32" t="s">
        <v>57</v>
      </c>
      <c r="B31" s="33" t="s">
        <v>44</v>
      </c>
      <c r="C31" s="34">
        <f>SUM(E31:X31)</f>
        <v>66</v>
      </c>
      <c r="D31" s="35" t="s">
        <v>45</v>
      </c>
      <c r="E31" s="36">
        <v>17</v>
      </c>
      <c r="F31" s="36">
        <v>6</v>
      </c>
      <c r="G31" s="36">
        <v>2</v>
      </c>
      <c r="H31" s="36">
        <v>3</v>
      </c>
      <c r="I31" s="36">
        <v>3</v>
      </c>
      <c r="J31" s="36">
        <v>20</v>
      </c>
      <c r="K31" s="36">
        <v>7</v>
      </c>
      <c r="L31" s="36">
        <v>2</v>
      </c>
      <c r="M31" s="36">
        <v>3</v>
      </c>
      <c r="N31" s="36">
        <v>3</v>
      </c>
      <c r="O31" s="36"/>
      <c r="P31" s="36"/>
      <c r="Q31" s="36"/>
      <c r="R31" s="37"/>
      <c r="S31" s="37"/>
      <c r="T31" s="37"/>
      <c r="U31" s="37"/>
      <c r="V31" s="37"/>
      <c r="W31" s="37"/>
      <c r="X31" s="38" t="s">
        <v>58</v>
      </c>
    </row>
    <row r="32" spans="1:24" ht="18" customHeight="1" x14ac:dyDescent="0.15">
      <c r="A32" s="39" t="s">
        <v>59</v>
      </c>
      <c r="B32" s="40" t="s">
        <v>44</v>
      </c>
      <c r="C32" s="41">
        <f>SUM(E32:X32)</f>
        <v>71</v>
      </c>
      <c r="D32" s="42" t="s">
        <v>45</v>
      </c>
      <c r="E32" s="43">
        <v>17</v>
      </c>
      <c r="F32" s="43">
        <v>6</v>
      </c>
      <c r="G32" s="43">
        <v>2</v>
      </c>
      <c r="H32" s="43">
        <v>3</v>
      </c>
      <c r="I32" s="43">
        <v>3</v>
      </c>
      <c r="J32" s="43">
        <v>20</v>
      </c>
      <c r="K32" s="43">
        <v>7</v>
      </c>
      <c r="L32" s="43">
        <v>7</v>
      </c>
      <c r="M32" s="43">
        <v>3</v>
      </c>
      <c r="N32" s="43">
        <v>3</v>
      </c>
      <c r="O32" s="43"/>
      <c r="P32" s="43"/>
      <c r="Q32" s="43"/>
      <c r="R32" s="37"/>
      <c r="S32" s="37"/>
      <c r="T32" s="37"/>
      <c r="U32" s="37"/>
      <c r="V32" s="37"/>
      <c r="W32" s="37"/>
      <c r="X32" s="38" t="s">
        <v>60</v>
      </c>
    </row>
    <row r="33" spans="1:24" ht="18" customHeight="1" x14ac:dyDescent="0.15">
      <c r="A33" s="66" t="s">
        <v>43</v>
      </c>
      <c r="B33" s="33" t="s">
        <v>44</v>
      </c>
      <c r="C33" s="34">
        <f>SUM(E33:X33)</f>
        <v>100</v>
      </c>
      <c r="D33" s="67" t="s">
        <v>45</v>
      </c>
      <c r="E33" s="36">
        <v>37</v>
      </c>
      <c r="F33" s="36">
        <v>6</v>
      </c>
      <c r="G33" s="36">
        <v>2</v>
      </c>
      <c r="H33" s="36">
        <v>3</v>
      </c>
      <c r="I33" s="36">
        <v>2</v>
      </c>
      <c r="J33" s="36">
        <v>35</v>
      </c>
      <c r="K33" s="36">
        <v>7</v>
      </c>
      <c r="L33" s="36">
        <v>2</v>
      </c>
      <c r="M33" s="36">
        <v>3</v>
      </c>
      <c r="N33" s="36">
        <v>3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 ht="18" customHeight="1" x14ac:dyDescent="0.15">
      <c r="A34" s="92" t="s">
        <v>46</v>
      </c>
      <c r="B34" s="93"/>
      <c r="C34" s="93"/>
      <c r="D34" s="94"/>
      <c r="E34" s="36">
        <v>110</v>
      </c>
      <c r="F34" s="36">
        <v>110</v>
      </c>
      <c r="G34" s="36">
        <v>110</v>
      </c>
      <c r="H34" s="36">
        <v>10</v>
      </c>
      <c r="I34" s="36">
        <v>10</v>
      </c>
      <c r="J34" s="36">
        <v>110</v>
      </c>
      <c r="K34" s="36">
        <v>110</v>
      </c>
      <c r="L34" s="36">
        <v>110</v>
      </c>
      <c r="M34" s="36">
        <v>10</v>
      </c>
      <c r="N34" s="36">
        <v>10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8" customHeight="1" x14ac:dyDescent="0.15">
      <c r="A35" s="92" t="s">
        <v>47</v>
      </c>
      <c r="B35" s="93"/>
      <c r="C35" s="93"/>
      <c r="D35" s="94"/>
      <c r="E35" s="36">
        <v>6</v>
      </c>
      <c r="F35" s="36">
        <v>0.95</v>
      </c>
      <c r="G35" s="36">
        <v>0.95</v>
      </c>
      <c r="H35" s="36">
        <v>0.95</v>
      </c>
      <c r="I35" s="36">
        <v>0.95</v>
      </c>
      <c r="J35" s="36">
        <v>6</v>
      </c>
      <c r="K35" s="36">
        <v>0.95</v>
      </c>
      <c r="L35" s="36">
        <v>0.95</v>
      </c>
      <c r="M35" s="36">
        <v>0.95</v>
      </c>
      <c r="N35" s="36">
        <v>0.95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8" customHeight="1" x14ac:dyDescent="0.15">
      <c r="A36" s="92" t="s">
        <v>48</v>
      </c>
      <c r="B36" s="93"/>
      <c r="C36" s="93"/>
      <c r="D36" s="94"/>
      <c r="E36" s="36" t="s">
        <v>49</v>
      </c>
      <c r="F36" s="36" t="s">
        <v>50</v>
      </c>
      <c r="G36" s="36" t="s">
        <v>50</v>
      </c>
      <c r="H36" s="36" t="s">
        <v>50</v>
      </c>
      <c r="I36" s="36" t="s">
        <v>50</v>
      </c>
      <c r="J36" s="36" t="s">
        <v>50</v>
      </c>
      <c r="K36" s="36" t="s">
        <v>49</v>
      </c>
      <c r="L36" s="36" t="s">
        <v>49</v>
      </c>
      <c r="M36" s="36" t="s">
        <v>49</v>
      </c>
      <c r="N36" s="36" t="s">
        <v>49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</row>
  </sheetData>
  <mergeCells count="69">
    <mergeCell ref="V1:X1"/>
    <mergeCell ref="L2:M2"/>
    <mergeCell ref="N2:O2"/>
    <mergeCell ref="P2:R2"/>
    <mergeCell ref="F1:G1"/>
    <mergeCell ref="H1:M1"/>
    <mergeCell ref="N1:O1"/>
    <mergeCell ref="P1:S1"/>
    <mergeCell ref="T2:U2"/>
    <mergeCell ref="V2:X2"/>
    <mergeCell ref="F2:G2"/>
    <mergeCell ref="H2:K2"/>
    <mergeCell ref="T1:U1"/>
    <mergeCell ref="A1:E1"/>
    <mergeCell ref="A3:B3"/>
    <mergeCell ref="C3:D3"/>
    <mergeCell ref="A4:B4"/>
    <mergeCell ref="C4:D4"/>
    <mergeCell ref="A2:E2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D14"/>
    <mergeCell ref="A15:D15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35:D35"/>
    <mergeCell ref="A36:D36"/>
    <mergeCell ref="A29:B29"/>
    <mergeCell ref="C29:D29"/>
    <mergeCell ref="A27:B27"/>
    <mergeCell ref="C27:D27"/>
    <mergeCell ref="A28:B28"/>
    <mergeCell ref="C28:D28"/>
    <mergeCell ref="A34:D34"/>
  </mergeCells>
  <phoneticPr fontId="1"/>
  <pageMargins left="0.78740157480314965" right="0" top="0.59055118110236227" bottom="0.19685039370078741" header="0.23622047244094491" footer="0.31496062992125984"/>
  <pageSetup paperSize="9" scale="94" firstPageNumber="44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30" customWidth="1"/>
    <col min="2" max="2" width="0.875" style="30" customWidth="1"/>
    <col min="3" max="3" width="4.625" style="30" customWidth="1"/>
    <col min="4" max="4" width="0.875" style="30" customWidth="1"/>
    <col min="5" max="24" width="4.125" style="2" customWidth="1"/>
    <col min="25" max="16384" width="9" style="2"/>
  </cols>
  <sheetData>
    <row r="1" spans="1:25" ht="20.100000000000001" customHeight="1" x14ac:dyDescent="0.15">
      <c r="A1" s="166" t="s">
        <v>0</v>
      </c>
      <c r="B1" s="166"/>
      <c r="C1" s="166"/>
      <c r="D1" s="166"/>
      <c r="E1" s="166"/>
      <c r="F1" s="167" t="s">
        <v>1</v>
      </c>
      <c r="G1" s="168"/>
      <c r="H1" s="169" t="s">
        <v>2</v>
      </c>
      <c r="I1" s="170"/>
      <c r="J1" s="170"/>
      <c r="K1" s="170"/>
      <c r="L1" s="170"/>
      <c r="M1" s="170"/>
      <c r="N1" s="171" t="s">
        <v>3</v>
      </c>
      <c r="O1" s="171"/>
      <c r="P1" s="151">
        <v>41839</v>
      </c>
      <c r="Q1" s="151"/>
      <c r="R1" s="151"/>
      <c r="S1" s="151"/>
      <c r="T1" s="164" t="s">
        <v>5</v>
      </c>
      <c r="U1" s="164"/>
      <c r="V1" s="154" t="s">
        <v>6</v>
      </c>
      <c r="W1" s="154"/>
      <c r="X1" s="154"/>
    </row>
    <row r="2" spans="1:25" ht="20.100000000000001" customHeight="1" x14ac:dyDescent="0.15">
      <c r="A2" s="155" t="s">
        <v>7</v>
      </c>
      <c r="B2" s="155"/>
      <c r="C2" s="155"/>
      <c r="D2" s="155"/>
      <c r="E2" s="155"/>
      <c r="F2" s="156" t="s">
        <v>8</v>
      </c>
      <c r="G2" s="157"/>
      <c r="H2" s="158" t="s">
        <v>2</v>
      </c>
      <c r="I2" s="158"/>
      <c r="J2" s="158"/>
      <c r="K2" s="158"/>
      <c r="L2" s="159" t="s">
        <v>55</v>
      </c>
      <c r="M2" s="160"/>
      <c r="N2" s="155" t="s">
        <v>10</v>
      </c>
      <c r="O2" s="155"/>
      <c r="P2" s="161">
        <v>3.472222222222222E-3</v>
      </c>
      <c r="Q2" s="162"/>
      <c r="R2" s="163"/>
      <c r="S2" s="3" t="s">
        <v>11</v>
      </c>
      <c r="T2" s="164" t="s">
        <v>12</v>
      </c>
      <c r="U2" s="164"/>
      <c r="V2" s="165" t="s">
        <v>13</v>
      </c>
      <c r="W2" s="165"/>
      <c r="X2" s="165"/>
    </row>
    <row r="3" spans="1:25" ht="18" customHeight="1" x14ac:dyDescent="0.15">
      <c r="A3" s="172"/>
      <c r="B3" s="173"/>
      <c r="C3" s="173"/>
      <c r="D3" s="173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2"/>
      <c r="B4" s="153"/>
      <c r="C4" s="153"/>
      <c r="D4" s="153"/>
      <c r="X4" s="8"/>
    </row>
    <row r="5" spans="1:25" ht="18" customHeight="1" x14ac:dyDescent="0.15">
      <c r="A5" s="152"/>
      <c r="B5" s="153"/>
      <c r="C5" s="153"/>
      <c r="D5" s="153"/>
      <c r="X5" s="8"/>
    </row>
    <row r="6" spans="1:25" ht="18" customHeight="1" x14ac:dyDescent="0.15">
      <c r="A6" s="152"/>
      <c r="B6" s="153"/>
      <c r="C6" s="153"/>
      <c r="D6" s="153"/>
      <c r="X6" s="8"/>
    </row>
    <row r="7" spans="1:25" ht="18" customHeight="1" x14ac:dyDescent="0.15">
      <c r="A7" s="152"/>
      <c r="B7" s="153"/>
      <c r="C7" s="153"/>
      <c r="D7" s="153"/>
      <c r="X7" s="8"/>
    </row>
    <row r="8" spans="1:25" ht="147.75" customHeight="1" x14ac:dyDescent="0.15">
      <c r="A8" s="152"/>
      <c r="B8" s="153"/>
      <c r="C8" s="153"/>
      <c r="D8" s="153"/>
      <c r="X8" s="8"/>
    </row>
    <row r="9" spans="1:25" ht="18" customHeight="1" x14ac:dyDescent="0.15">
      <c r="A9" s="152"/>
      <c r="B9" s="153"/>
      <c r="C9" s="153"/>
      <c r="D9" s="153"/>
      <c r="X9" s="8"/>
    </row>
    <row r="10" spans="1:25" ht="18" customHeight="1" x14ac:dyDescent="0.15">
      <c r="A10" s="174"/>
      <c r="B10" s="175"/>
      <c r="C10" s="153"/>
      <c r="D10" s="153"/>
      <c r="X10" s="8"/>
    </row>
    <row r="11" spans="1:25" ht="18" customHeight="1" x14ac:dyDescent="0.15">
      <c r="A11" s="174"/>
      <c r="B11" s="175"/>
      <c r="C11" s="153"/>
      <c r="D11" s="153"/>
      <c r="X11" s="8"/>
    </row>
    <row r="12" spans="1:25" ht="18" customHeight="1" x14ac:dyDescent="0.15">
      <c r="A12" s="174"/>
      <c r="B12" s="175"/>
      <c r="C12" s="176"/>
      <c r="D12" s="176"/>
      <c r="E12" s="9"/>
      <c r="F12" s="10"/>
      <c r="G12" s="10"/>
      <c r="H12" s="10"/>
      <c r="X12" s="8"/>
    </row>
    <row r="13" spans="1:25" ht="18" customHeight="1" x14ac:dyDescent="0.15">
      <c r="A13" s="157"/>
      <c r="B13" s="180"/>
      <c r="C13" s="181"/>
      <c r="D13" s="18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3"/>
    </row>
    <row r="14" spans="1:25" s="14" customFormat="1" ht="18" customHeight="1" x14ac:dyDescent="0.15">
      <c r="A14" s="182" t="s">
        <v>14</v>
      </c>
      <c r="B14" s="182"/>
      <c r="C14" s="182"/>
      <c r="D14" s="18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0" customFormat="1" ht="18" customHeight="1" x14ac:dyDescent="0.15">
      <c r="A15" s="182" t="s">
        <v>15</v>
      </c>
      <c r="B15" s="182"/>
      <c r="C15" s="182"/>
      <c r="D15" s="182"/>
      <c r="E15" s="15" t="s">
        <v>16</v>
      </c>
      <c r="F15" s="15" t="s">
        <v>17</v>
      </c>
      <c r="G15" s="15" t="s">
        <v>18</v>
      </c>
      <c r="H15" s="15" t="s">
        <v>19</v>
      </c>
      <c r="I15" s="15" t="s">
        <v>20</v>
      </c>
      <c r="J15" s="15" t="s">
        <v>21</v>
      </c>
      <c r="K15" s="15" t="s">
        <v>22</v>
      </c>
      <c r="L15" s="15" t="s">
        <v>23</v>
      </c>
      <c r="M15" s="15" t="s">
        <v>24</v>
      </c>
      <c r="N15" s="15" t="s">
        <v>25</v>
      </c>
      <c r="O15" s="15"/>
      <c r="P15" s="15"/>
      <c r="Q15" s="15"/>
      <c r="R15" s="16"/>
      <c r="T15" s="15"/>
      <c r="U15" s="15"/>
      <c r="V15" s="15"/>
      <c r="W15" s="15"/>
      <c r="X15" s="15"/>
    </row>
    <row r="16" spans="1:25" s="10" customFormat="1" ht="125.1" customHeight="1" x14ac:dyDescent="0.15">
      <c r="A16" s="177"/>
      <c r="B16" s="178"/>
      <c r="C16" s="178"/>
      <c r="D16" s="179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77" t="s">
        <v>26</v>
      </c>
      <c r="B17" s="178"/>
      <c r="C17" s="178" t="s">
        <v>27</v>
      </c>
      <c r="D17" s="17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77" t="s">
        <v>28</v>
      </c>
      <c r="B18" s="178"/>
      <c r="C18" s="178" t="s">
        <v>29</v>
      </c>
      <c r="D18" s="17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77" t="s">
        <v>30</v>
      </c>
      <c r="B19" s="178"/>
      <c r="C19" s="178" t="s">
        <v>31</v>
      </c>
      <c r="D19" s="17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77" t="s">
        <v>32</v>
      </c>
      <c r="B20" s="178"/>
      <c r="C20" s="178" t="s">
        <v>33</v>
      </c>
      <c r="D20" s="179"/>
      <c r="E20" s="20"/>
      <c r="F20" s="20"/>
      <c r="G20" s="20"/>
      <c r="H20" s="21"/>
      <c r="I20" s="22"/>
      <c r="J20" s="22"/>
      <c r="K20" s="22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77" t="s">
        <v>34</v>
      </c>
      <c r="B21" s="178"/>
      <c r="C21" s="178" t="s">
        <v>35</v>
      </c>
      <c r="D21" s="17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77" t="s">
        <v>36</v>
      </c>
      <c r="B22" s="178"/>
      <c r="C22" s="178" t="s">
        <v>37</v>
      </c>
      <c r="D22" s="17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77"/>
      <c r="B23" s="178"/>
      <c r="C23" s="184"/>
      <c r="D23" s="18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83"/>
      <c r="B24" s="184"/>
      <c r="C24" s="184"/>
      <c r="D24" s="18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83"/>
      <c r="B25" s="184"/>
      <c r="C25" s="184"/>
      <c r="D25" s="18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83"/>
      <c r="B26" s="184"/>
      <c r="C26" s="184"/>
      <c r="D26" s="18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83"/>
      <c r="B27" s="184"/>
      <c r="C27" s="184"/>
      <c r="D27" s="18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83"/>
      <c r="B28" s="184"/>
      <c r="C28" s="184"/>
      <c r="D28" s="18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83"/>
      <c r="B29" s="184"/>
      <c r="C29" s="184"/>
      <c r="D29" s="185"/>
      <c r="E29" s="20"/>
      <c r="F29" s="20"/>
      <c r="G29" s="20"/>
      <c r="H29" s="24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89"/>
      <c r="B30" s="190"/>
      <c r="C30" s="184"/>
      <c r="D30" s="185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86" t="s">
        <v>38</v>
      </c>
      <c r="B31" s="187"/>
      <c r="C31" s="187"/>
      <c r="D31" s="188"/>
      <c r="E31" s="20"/>
      <c r="F31" s="20"/>
      <c r="G31" s="20"/>
      <c r="H31" s="20"/>
      <c r="I31" s="1" t="s">
        <v>39</v>
      </c>
      <c r="J31" s="20"/>
      <c r="K31" s="20"/>
      <c r="L31" s="20"/>
      <c r="M31" s="20"/>
      <c r="N31" s="1" t="s">
        <v>39</v>
      </c>
      <c r="O31" s="193" t="s">
        <v>40</v>
      </c>
      <c r="P31" s="194"/>
      <c r="Q31" s="191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86" t="s">
        <v>41</v>
      </c>
      <c r="B32" s="187"/>
      <c r="C32" s="187"/>
      <c r="D32" s="188"/>
      <c r="E32" s="1" t="s">
        <v>39</v>
      </c>
      <c r="F32" s="20"/>
      <c r="G32" s="20"/>
      <c r="H32" s="20"/>
      <c r="I32" s="20"/>
      <c r="J32" s="1" t="s">
        <v>39</v>
      </c>
      <c r="K32" s="20"/>
      <c r="L32" s="20"/>
      <c r="M32" s="20"/>
      <c r="N32" s="20"/>
      <c r="O32" s="195"/>
      <c r="P32" s="196"/>
      <c r="Q32" s="192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6" t="s">
        <v>43</v>
      </c>
      <c r="B33" s="27" t="s">
        <v>44</v>
      </c>
      <c r="C33" s="28">
        <f>SUM(E33:X33)</f>
        <v>100</v>
      </c>
      <c r="D33" s="29" t="s">
        <v>45</v>
      </c>
      <c r="E33" s="1">
        <v>37</v>
      </c>
      <c r="F33" s="1">
        <v>6</v>
      </c>
      <c r="G33" s="1">
        <v>2</v>
      </c>
      <c r="H33" s="1">
        <v>3</v>
      </c>
      <c r="I33" s="1">
        <v>2</v>
      </c>
      <c r="J33" s="1">
        <v>35</v>
      </c>
      <c r="K33" s="1">
        <v>7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86" t="s">
        <v>46</v>
      </c>
      <c r="B34" s="187"/>
      <c r="C34" s="187"/>
      <c r="D34" s="18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86" t="s">
        <v>47</v>
      </c>
      <c r="B35" s="187"/>
      <c r="C35" s="187"/>
      <c r="D35" s="18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86" t="s">
        <v>48</v>
      </c>
      <c r="B36" s="187"/>
      <c r="C36" s="187"/>
      <c r="D36" s="188"/>
      <c r="E36" s="4" t="s">
        <v>49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49</v>
      </c>
      <c r="L36" s="4" t="s">
        <v>49</v>
      </c>
      <c r="M36" s="4" t="s">
        <v>49</v>
      </c>
      <c r="N36" s="4" t="s">
        <v>49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Q31:Q32"/>
    <mergeCell ref="A32:D32"/>
    <mergeCell ref="A34:D34"/>
    <mergeCell ref="A35:D35"/>
    <mergeCell ref="O31:P32"/>
    <mergeCell ref="A36:D36"/>
    <mergeCell ref="A29:B29"/>
    <mergeCell ref="C29:D29"/>
    <mergeCell ref="A30:B30"/>
    <mergeCell ref="C30:D30"/>
    <mergeCell ref="A31:D31"/>
    <mergeCell ref="A21:B21"/>
    <mergeCell ref="C21:D21"/>
    <mergeCell ref="A28:B28"/>
    <mergeCell ref="C28:D28"/>
    <mergeCell ref="A23:B23"/>
    <mergeCell ref="C23:D23"/>
    <mergeCell ref="A24:B24"/>
    <mergeCell ref="C24:D24"/>
    <mergeCell ref="A25:B25"/>
    <mergeCell ref="A22:B22"/>
    <mergeCell ref="C22:D22"/>
    <mergeCell ref="C25:D25"/>
    <mergeCell ref="A26:B26"/>
    <mergeCell ref="C26:D26"/>
    <mergeCell ref="A27:B27"/>
    <mergeCell ref="C27:D27"/>
    <mergeCell ref="A19:B19"/>
    <mergeCell ref="C19:D19"/>
    <mergeCell ref="A20:B20"/>
    <mergeCell ref="A13:B13"/>
    <mergeCell ref="C13:D13"/>
    <mergeCell ref="A15:D15"/>
    <mergeCell ref="A16:D16"/>
    <mergeCell ref="A17:B17"/>
    <mergeCell ref="C17:D17"/>
    <mergeCell ref="A18:B18"/>
    <mergeCell ref="C18:D18"/>
    <mergeCell ref="C20:D20"/>
    <mergeCell ref="A14:D14"/>
    <mergeCell ref="A12:B12"/>
    <mergeCell ref="C12:D12"/>
    <mergeCell ref="A5:B5"/>
    <mergeCell ref="C5:D5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N1:O1"/>
    <mergeCell ref="A3:B3"/>
    <mergeCell ref="C3:D3"/>
    <mergeCell ref="A4:B4"/>
    <mergeCell ref="C4:D4"/>
    <mergeCell ref="P1:S1"/>
    <mergeCell ref="A6:B6"/>
    <mergeCell ref="C6:D6"/>
    <mergeCell ref="V1:X1"/>
    <mergeCell ref="A2:E2"/>
    <mergeCell ref="F2:G2"/>
    <mergeCell ref="H2:K2"/>
    <mergeCell ref="L2:M2"/>
    <mergeCell ref="N2:O2"/>
    <mergeCell ref="P2:R2"/>
    <mergeCell ref="T2:U2"/>
    <mergeCell ref="V2:X2"/>
    <mergeCell ref="A1:E1"/>
    <mergeCell ref="T1:U1"/>
    <mergeCell ref="F1:G1"/>
    <mergeCell ref="H1:M1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4" orientation="portrait" useFirstPageNumber="1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30" customWidth="1"/>
    <col min="2" max="2" width="0.875" style="30" customWidth="1"/>
    <col min="3" max="3" width="4.625" style="30" customWidth="1"/>
    <col min="4" max="4" width="0.875" style="30" customWidth="1"/>
    <col min="5" max="24" width="4.125" style="2" customWidth="1"/>
    <col min="25" max="16384" width="9" style="2"/>
  </cols>
  <sheetData>
    <row r="1" spans="1:25" ht="20.100000000000001" customHeight="1" x14ac:dyDescent="0.15">
      <c r="A1" s="166" t="s">
        <v>0</v>
      </c>
      <c r="B1" s="166"/>
      <c r="C1" s="166"/>
      <c r="D1" s="166"/>
      <c r="E1" s="166"/>
      <c r="F1" s="167" t="s">
        <v>1</v>
      </c>
      <c r="G1" s="168"/>
      <c r="H1" s="169" t="s">
        <v>2</v>
      </c>
      <c r="I1" s="170"/>
      <c r="J1" s="170"/>
      <c r="K1" s="170"/>
      <c r="L1" s="170"/>
      <c r="M1" s="170"/>
      <c r="N1" s="171" t="s">
        <v>3</v>
      </c>
      <c r="O1" s="171"/>
      <c r="P1" s="166" t="s">
        <v>4</v>
      </c>
      <c r="Q1" s="166"/>
      <c r="R1" s="166"/>
      <c r="S1" s="166"/>
      <c r="T1" s="164" t="s">
        <v>5</v>
      </c>
      <c r="U1" s="164"/>
      <c r="V1" s="154" t="s">
        <v>6</v>
      </c>
      <c r="W1" s="154"/>
      <c r="X1" s="154"/>
    </row>
    <row r="2" spans="1:25" ht="20.100000000000001" customHeight="1" x14ac:dyDescent="0.15">
      <c r="A2" s="155" t="s">
        <v>7</v>
      </c>
      <c r="B2" s="155"/>
      <c r="C2" s="155"/>
      <c r="D2" s="155"/>
      <c r="E2" s="155"/>
      <c r="F2" s="156" t="s">
        <v>54</v>
      </c>
      <c r="G2" s="157"/>
      <c r="H2" s="158" t="s">
        <v>2</v>
      </c>
      <c r="I2" s="158"/>
      <c r="J2" s="158"/>
      <c r="K2" s="158"/>
      <c r="L2" s="159" t="s">
        <v>9</v>
      </c>
      <c r="M2" s="160"/>
      <c r="N2" s="155" t="s">
        <v>10</v>
      </c>
      <c r="O2" s="155"/>
      <c r="P2" s="161">
        <v>0.60277777777777775</v>
      </c>
      <c r="Q2" s="162"/>
      <c r="R2" s="163"/>
      <c r="S2" s="3" t="s">
        <v>11</v>
      </c>
      <c r="T2" s="164" t="s">
        <v>12</v>
      </c>
      <c r="U2" s="164"/>
      <c r="V2" s="165" t="s">
        <v>13</v>
      </c>
      <c r="W2" s="165"/>
      <c r="X2" s="165"/>
    </row>
    <row r="3" spans="1:25" ht="18" customHeight="1" x14ac:dyDescent="0.15">
      <c r="A3" s="172"/>
      <c r="B3" s="173"/>
      <c r="C3" s="173"/>
      <c r="D3" s="173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2"/>
      <c r="B4" s="153"/>
      <c r="C4" s="153"/>
      <c r="D4" s="153"/>
      <c r="X4" s="8"/>
    </row>
    <row r="5" spans="1:25" ht="18" customHeight="1" x14ac:dyDescent="0.15">
      <c r="A5" s="152"/>
      <c r="B5" s="153"/>
      <c r="C5" s="153"/>
      <c r="D5" s="153"/>
      <c r="X5" s="8"/>
    </row>
    <row r="6" spans="1:25" ht="18" customHeight="1" x14ac:dyDescent="0.15">
      <c r="A6" s="152"/>
      <c r="B6" s="153"/>
      <c r="C6" s="153"/>
      <c r="D6" s="153"/>
      <c r="X6" s="8"/>
    </row>
    <row r="7" spans="1:25" ht="18" customHeight="1" x14ac:dyDescent="0.15">
      <c r="A7" s="152"/>
      <c r="B7" s="153"/>
      <c r="C7" s="153"/>
      <c r="D7" s="153"/>
      <c r="X7" s="8"/>
    </row>
    <row r="8" spans="1:25" ht="147.75" customHeight="1" x14ac:dyDescent="0.15">
      <c r="A8" s="152"/>
      <c r="B8" s="153"/>
      <c r="C8" s="153"/>
      <c r="D8" s="153"/>
      <c r="X8" s="8"/>
    </row>
    <row r="9" spans="1:25" ht="18" customHeight="1" x14ac:dyDescent="0.15">
      <c r="A9" s="152"/>
      <c r="B9" s="153"/>
      <c r="C9" s="153"/>
      <c r="D9" s="153"/>
      <c r="X9" s="8"/>
    </row>
    <row r="10" spans="1:25" ht="18" customHeight="1" x14ac:dyDescent="0.15">
      <c r="A10" s="174"/>
      <c r="B10" s="175"/>
      <c r="C10" s="153"/>
      <c r="D10" s="153"/>
      <c r="X10" s="8"/>
    </row>
    <row r="11" spans="1:25" ht="18" customHeight="1" x14ac:dyDescent="0.15">
      <c r="A11" s="174"/>
      <c r="B11" s="175"/>
      <c r="C11" s="153"/>
      <c r="D11" s="153"/>
      <c r="X11" s="8"/>
    </row>
    <row r="12" spans="1:25" ht="18" customHeight="1" x14ac:dyDescent="0.15">
      <c r="A12" s="174"/>
      <c r="B12" s="175"/>
      <c r="C12" s="176"/>
      <c r="D12" s="176"/>
      <c r="E12" s="9"/>
      <c r="F12" s="10"/>
      <c r="G12" s="10"/>
      <c r="H12" s="10"/>
      <c r="X12" s="8"/>
    </row>
    <row r="13" spans="1:25" ht="18" customHeight="1" x14ac:dyDescent="0.15">
      <c r="A13" s="157"/>
      <c r="B13" s="180"/>
      <c r="C13" s="181"/>
      <c r="D13" s="18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3"/>
    </row>
    <row r="14" spans="1:25" s="14" customFormat="1" ht="18" customHeight="1" x14ac:dyDescent="0.15">
      <c r="A14" s="182" t="s">
        <v>14</v>
      </c>
      <c r="B14" s="182"/>
      <c r="C14" s="182"/>
      <c r="D14" s="18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0" customFormat="1" ht="18" customHeight="1" x14ac:dyDescent="0.15">
      <c r="A15" s="182" t="s">
        <v>15</v>
      </c>
      <c r="B15" s="182"/>
      <c r="C15" s="182"/>
      <c r="D15" s="182"/>
      <c r="E15" s="15" t="s">
        <v>16</v>
      </c>
      <c r="F15" s="15" t="s">
        <v>17</v>
      </c>
      <c r="G15" s="15" t="s">
        <v>18</v>
      </c>
      <c r="H15" s="15" t="s">
        <v>19</v>
      </c>
      <c r="I15" s="15" t="s">
        <v>20</v>
      </c>
      <c r="J15" s="15" t="s">
        <v>21</v>
      </c>
      <c r="K15" s="15" t="s">
        <v>22</v>
      </c>
      <c r="L15" s="15" t="s">
        <v>23</v>
      </c>
      <c r="M15" s="15" t="s">
        <v>24</v>
      </c>
      <c r="N15" s="15" t="s">
        <v>25</v>
      </c>
      <c r="O15" s="15" t="s">
        <v>51</v>
      </c>
      <c r="P15" s="15" t="s">
        <v>52</v>
      </c>
      <c r="Q15" s="15" t="s">
        <v>53</v>
      </c>
      <c r="R15" s="16"/>
      <c r="T15" s="15"/>
      <c r="U15" s="15"/>
      <c r="V15" s="15"/>
      <c r="W15" s="15"/>
      <c r="X15" s="15"/>
    </row>
    <row r="16" spans="1:25" s="10" customFormat="1" ht="125.1" customHeight="1" x14ac:dyDescent="0.15">
      <c r="A16" s="177"/>
      <c r="B16" s="178"/>
      <c r="C16" s="178"/>
      <c r="D16" s="179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7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77" t="s">
        <v>26</v>
      </c>
      <c r="B17" s="178"/>
      <c r="C17" s="178" t="s">
        <v>27</v>
      </c>
      <c r="D17" s="17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77" t="s">
        <v>28</v>
      </c>
      <c r="B18" s="178"/>
      <c r="C18" s="178" t="s">
        <v>29</v>
      </c>
      <c r="D18" s="17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77" t="s">
        <v>30</v>
      </c>
      <c r="B19" s="178"/>
      <c r="C19" s="178" t="s">
        <v>31</v>
      </c>
      <c r="D19" s="17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77" t="s">
        <v>32</v>
      </c>
      <c r="B20" s="178"/>
      <c r="C20" s="178" t="s">
        <v>33</v>
      </c>
      <c r="D20" s="179"/>
      <c r="E20" s="20"/>
      <c r="F20" s="20"/>
      <c r="G20" s="20"/>
      <c r="H20" s="21"/>
      <c r="I20" s="22"/>
      <c r="J20" s="22"/>
      <c r="K20" s="22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77" t="s">
        <v>34</v>
      </c>
      <c r="B21" s="178"/>
      <c r="C21" s="178" t="s">
        <v>35</v>
      </c>
      <c r="D21" s="17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77" t="s">
        <v>36</v>
      </c>
      <c r="B22" s="178"/>
      <c r="C22" s="178" t="s">
        <v>37</v>
      </c>
      <c r="D22" s="17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77"/>
      <c r="B23" s="178"/>
      <c r="C23" s="184"/>
      <c r="D23" s="18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83"/>
      <c r="B24" s="184"/>
      <c r="C24" s="184"/>
      <c r="D24" s="18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83"/>
      <c r="B25" s="184"/>
      <c r="C25" s="184"/>
      <c r="D25" s="18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83"/>
      <c r="B26" s="184"/>
      <c r="C26" s="184"/>
      <c r="D26" s="18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83"/>
      <c r="B27" s="184"/>
      <c r="C27" s="184"/>
      <c r="D27" s="18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83"/>
      <c r="B28" s="184"/>
      <c r="C28" s="184"/>
      <c r="D28" s="18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83"/>
      <c r="B29" s="184"/>
      <c r="C29" s="184"/>
      <c r="D29" s="185"/>
      <c r="E29" s="20"/>
      <c r="F29" s="20"/>
      <c r="G29" s="20"/>
      <c r="H29" s="24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89"/>
      <c r="B30" s="190"/>
      <c r="C30" s="184"/>
      <c r="D30" s="185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86" t="s">
        <v>38</v>
      </c>
      <c r="B31" s="187"/>
      <c r="C31" s="187"/>
      <c r="D31" s="188"/>
      <c r="E31" s="20"/>
      <c r="F31" s="20"/>
      <c r="G31" s="20"/>
      <c r="H31" s="20"/>
      <c r="I31" s="1" t="s">
        <v>39</v>
      </c>
      <c r="J31" s="20"/>
      <c r="K31" s="20"/>
      <c r="L31" s="20"/>
      <c r="M31" s="20"/>
      <c r="N31" s="1" t="s">
        <v>39</v>
      </c>
      <c r="O31" s="31"/>
      <c r="P31" s="31"/>
      <c r="Q31" s="1" t="s">
        <v>39</v>
      </c>
      <c r="R31" s="193" t="s">
        <v>40</v>
      </c>
      <c r="S31" s="194"/>
      <c r="T31" s="191">
        <v>3</v>
      </c>
      <c r="U31" s="20"/>
      <c r="V31" s="20"/>
      <c r="W31" s="20"/>
      <c r="X31" s="20"/>
    </row>
    <row r="32" spans="1:24" ht="18" customHeight="1" x14ac:dyDescent="0.15">
      <c r="A32" s="186" t="s">
        <v>41</v>
      </c>
      <c r="B32" s="187"/>
      <c r="C32" s="187"/>
      <c r="D32" s="188"/>
      <c r="E32" s="1" t="s">
        <v>42</v>
      </c>
      <c r="F32" s="20"/>
      <c r="G32" s="20"/>
      <c r="H32" s="20"/>
      <c r="I32" s="20"/>
      <c r="J32" s="1" t="s">
        <v>42</v>
      </c>
      <c r="K32" s="20"/>
      <c r="L32" s="20"/>
      <c r="M32" s="20"/>
      <c r="N32" s="20"/>
      <c r="O32" s="1" t="s">
        <v>42</v>
      </c>
      <c r="P32" s="31"/>
      <c r="Q32" s="31"/>
      <c r="R32" s="195"/>
      <c r="S32" s="196"/>
      <c r="T32" s="192"/>
      <c r="U32" s="20"/>
      <c r="V32" s="20"/>
      <c r="W32" s="20"/>
      <c r="X32" s="20"/>
    </row>
    <row r="33" spans="1:24" ht="18" customHeight="1" x14ac:dyDescent="0.15">
      <c r="A33" s="26" t="s">
        <v>43</v>
      </c>
      <c r="B33" s="27" t="s">
        <v>44</v>
      </c>
      <c r="C33" s="28">
        <f>SUM(E33:X33)</f>
        <v>100</v>
      </c>
      <c r="D33" s="29" t="s">
        <v>45</v>
      </c>
      <c r="E33" s="1">
        <v>24</v>
      </c>
      <c r="F33" s="1">
        <v>6</v>
      </c>
      <c r="G33" s="1">
        <v>2</v>
      </c>
      <c r="H33" s="1">
        <v>3</v>
      </c>
      <c r="I33" s="1">
        <v>2</v>
      </c>
      <c r="J33" s="1">
        <v>20</v>
      </c>
      <c r="K33" s="1">
        <v>7</v>
      </c>
      <c r="L33" s="1">
        <v>2</v>
      </c>
      <c r="M33" s="1">
        <v>3</v>
      </c>
      <c r="N33" s="1">
        <v>3</v>
      </c>
      <c r="O33" s="1">
        <v>23</v>
      </c>
      <c r="P33" s="1">
        <v>3</v>
      </c>
      <c r="Q33" s="1">
        <v>2</v>
      </c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86" t="s">
        <v>46</v>
      </c>
      <c r="B34" s="187"/>
      <c r="C34" s="187"/>
      <c r="D34" s="18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>
        <v>110</v>
      </c>
      <c r="P34" s="4">
        <v>10</v>
      </c>
      <c r="Q34" s="4">
        <v>10</v>
      </c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86" t="s">
        <v>47</v>
      </c>
      <c r="B35" s="187"/>
      <c r="C35" s="187"/>
      <c r="D35" s="18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>
        <v>0.95</v>
      </c>
      <c r="P35" s="4">
        <v>0.95</v>
      </c>
      <c r="Q35" s="4">
        <v>0.95</v>
      </c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86" t="s">
        <v>48</v>
      </c>
      <c r="B36" s="187"/>
      <c r="C36" s="187"/>
      <c r="D36" s="188"/>
      <c r="E36" s="4" t="s">
        <v>49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49</v>
      </c>
      <c r="L36" s="4" t="s">
        <v>49</v>
      </c>
      <c r="M36" s="4" t="s">
        <v>49</v>
      </c>
      <c r="N36" s="4" t="s">
        <v>49</v>
      </c>
      <c r="O36" s="4" t="s">
        <v>49</v>
      </c>
      <c r="P36" s="4" t="s">
        <v>49</v>
      </c>
      <c r="Q36" s="4" t="s">
        <v>49</v>
      </c>
      <c r="R36" s="4"/>
      <c r="S36" s="4"/>
      <c r="T36" s="4"/>
      <c r="U36" s="4"/>
      <c r="V36" s="4"/>
      <c r="W36" s="4"/>
      <c r="X36" s="4"/>
    </row>
  </sheetData>
  <mergeCells count="75">
    <mergeCell ref="H2:K2"/>
    <mergeCell ref="R31:S32"/>
    <mergeCell ref="T31:T32"/>
    <mergeCell ref="A32:D32"/>
    <mergeCell ref="C13:D13"/>
    <mergeCell ref="A30:B30"/>
    <mergeCell ref="C30:D30"/>
    <mergeCell ref="A29:B29"/>
    <mergeCell ref="C29:D29"/>
    <mergeCell ref="A21:B21"/>
    <mergeCell ref="C21:D21"/>
    <mergeCell ref="A14:D14"/>
    <mergeCell ref="A15:D15"/>
    <mergeCell ref="C23:D23"/>
    <mergeCell ref="A24:B24"/>
    <mergeCell ref="C24:D24"/>
    <mergeCell ref="A3:B3"/>
    <mergeCell ref="C3:D3"/>
    <mergeCell ref="V1:X1"/>
    <mergeCell ref="V2:X2"/>
    <mergeCell ref="N1:O1"/>
    <mergeCell ref="N2:O2"/>
    <mergeCell ref="P1:S1"/>
    <mergeCell ref="P2:R2"/>
    <mergeCell ref="T1:U1"/>
    <mergeCell ref="T2:U2"/>
    <mergeCell ref="H1:M1"/>
    <mergeCell ref="A1:E1"/>
    <mergeCell ref="A2:E2"/>
    <mergeCell ref="F2:G2"/>
    <mergeCell ref="F1:G1"/>
    <mergeCell ref="L2:M2"/>
    <mergeCell ref="A27:B27"/>
    <mergeCell ref="C27:D27"/>
    <mergeCell ref="A26:B26"/>
    <mergeCell ref="C26:D26"/>
    <mergeCell ref="C19:D19"/>
    <mergeCell ref="A20:B20"/>
    <mergeCell ref="C20:D20"/>
    <mergeCell ref="A25:B25"/>
    <mergeCell ref="C25:D25"/>
    <mergeCell ref="A23:B23"/>
    <mergeCell ref="A22:B22"/>
    <mergeCell ref="A36:D36"/>
    <mergeCell ref="A35:D35"/>
    <mergeCell ref="A31:D31"/>
    <mergeCell ref="A34:D34"/>
    <mergeCell ref="A28:B28"/>
    <mergeCell ref="C28:D28"/>
    <mergeCell ref="A4:B4"/>
    <mergeCell ref="C4:D4"/>
    <mergeCell ref="A9:B9"/>
    <mergeCell ref="C9:D9"/>
    <mergeCell ref="A6:B6"/>
    <mergeCell ref="C6:D6"/>
    <mergeCell ref="A8:B8"/>
    <mergeCell ref="C8:D8"/>
    <mergeCell ref="A7:B7"/>
    <mergeCell ref="A5:B5"/>
    <mergeCell ref="C5:D5"/>
    <mergeCell ref="A10:B10"/>
    <mergeCell ref="C10:D10"/>
    <mergeCell ref="C7:D7"/>
    <mergeCell ref="A12:B12"/>
    <mergeCell ref="C22:D22"/>
    <mergeCell ref="A19:B19"/>
    <mergeCell ref="C12:D12"/>
    <mergeCell ref="A11:B11"/>
    <mergeCell ref="C11:D11"/>
    <mergeCell ref="A17:B17"/>
    <mergeCell ref="C17:D17"/>
    <mergeCell ref="A18:B18"/>
    <mergeCell ref="A13:B13"/>
    <mergeCell ref="A16:D16"/>
    <mergeCell ref="C18:D18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4" orientation="portrait" useFirstPageNumber="1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6"/>
  <sheetViews>
    <sheetView zoomScaleNormal="100" workbookViewId="0">
      <selection activeCell="A3" sqref="A3:B3"/>
    </sheetView>
  </sheetViews>
  <sheetFormatPr defaultRowHeight="11.25" x14ac:dyDescent="0.15"/>
  <cols>
    <col min="1" max="1" width="5.125" style="30" customWidth="1"/>
    <col min="2" max="2" width="0.875" style="30" customWidth="1"/>
    <col min="3" max="3" width="4.625" style="30" customWidth="1"/>
    <col min="4" max="4" width="0.875" style="30" customWidth="1"/>
    <col min="5" max="24" width="4.125" style="2" customWidth="1"/>
    <col min="25" max="16384" width="9" style="2"/>
  </cols>
  <sheetData>
    <row r="1" spans="1:25" ht="20.100000000000001" customHeight="1" x14ac:dyDescent="0.15">
      <c r="A1" s="166" t="s">
        <v>0</v>
      </c>
      <c r="B1" s="166"/>
      <c r="C1" s="166"/>
      <c r="D1" s="166"/>
      <c r="E1" s="166"/>
      <c r="F1" s="167" t="s">
        <v>1</v>
      </c>
      <c r="G1" s="168"/>
      <c r="H1" s="169" t="s">
        <v>2</v>
      </c>
      <c r="I1" s="170"/>
      <c r="J1" s="170"/>
      <c r="K1" s="170"/>
      <c r="L1" s="170"/>
      <c r="M1" s="170"/>
      <c r="N1" s="171" t="s">
        <v>3</v>
      </c>
      <c r="O1" s="171"/>
      <c r="P1" s="166" t="s">
        <v>4</v>
      </c>
      <c r="Q1" s="166"/>
      <c r="R1" s="166"/>
      <c r="S1" s="166"/>
      <c r="T1" s="164" t="s">
        <v>5</v>
      </c>
      <c r="U1" s="164"/>
      <c r="V1" s="154" t="s">
        <v>6</v>
      </c>
      <c r="W1" s="154"/>
      <c r="X1" s="154"/>
    </row>
    <row r="2" spans="1:25" ht="20.100000000000001" customHeight="1" x14ac:dyDescent="0.15">
      <c r="A2" s="155" t="s">
        <v>7</v>
      </c>
      <c r="B2" s="155"/>
      <c r="C2" s="155"/>
      <c r="D2" s="155"/>
      <c r="E2" s="155"/>
      <c r="F2" s="156" t="s">
        <v>8</v>
      </c>
      <c r="G2" s="157"/>
      <c r="H2" s="158" t="s">
        <v>2</v>
      </c>
      <c r="I2" s="158"/>
      <c r="J2" s="158"/>
      <c r="K2" s="158"/>
      <c r="L2" s="159" t="s">
        <v>9</v>
      </c>
      <c r="M2" s="160"/>
      <c r="N2" s="155" t="s">
        <v>10</v>
      </c>
      <c r="O2" s="155"/>
      <c r="P2" s="161">
        <v>0.60277777777777775</v>
      </c>
      <c r="Q2" s="162"/>
      <c r="R2" s="163"/>
      <c r="S2" s="3" t="s">
        <v>11</v>
      </c>
      <c r="T2" s="164" t="s">
        <v>12</v>
      </c>
      <c r="U2" s="164"/>
      <c r="V2" s="165" t="s">
        <v>13</v>
      </c>
      <c r="W2" s="165"/>
      <c r="X2" s="165"/>
    </row>
    <row r="3" spans="1:25" ht="18" customHeight="1" x14ac:dyDescent="0.15">
      <c r="A3" s="172"/>
      <c r="B3" s="173"/>
      <c r="C3" s="173"/>
      <c r="D3" s="173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52"/>
      <c r="B4" s="153"/>
      <c r="C4" s="153"/>
      <c r="D4" s="153"/>
      <c r="X4" s="8"/>
    </row>
    <row r="5" spans="1:25" ht="18" customHeight="1" x14ac:dyDescent="0.15">
      <c r="A5" s="152"/>
      <c r="B5" s="153"/>
      <c r="C5" s="153"/>
      <c r="D5" s="153"/>
      <c r="X5" s="8"/>
    </row>
    <row r="6" spans="1:25" ht="18" customHeight="1" x14ac:dyDescent="0.15">
      <c r="A6" s="152"/>
      <c r="B6" s="153"/>
      <c r="C6" s="153"/>
      <c r="D6" s="153"/>
      <c r="X6" s="8"/>
    </row>
    <row r="7" spans="1:25" ht="18" customHeight="1" x14ac:dyDescent="0.15">
      <c r="A7" s="152"/>
      <c r="B7" s="153"/>
      <c r="C7" s="153"/>
      <c r="D7" s="153"/>
      <c r="X7" s="8"/>
    </row>
    <row r="8" spans="1:25" ht="147.75" customHeight="1" x14ac:dyDescent="0.15">
      <c r="A8" s="152"/>
      <c r="B8" s="153"/>
      <c r="C8" s="153"/>
      <c r="D8" s="153"/>
      <c r="X8" s="8"/>
    </row>
    <row r="9" spans="1:25" ht="18" customHeight="1" x14ac:dyDescent="0.15">
      <c r="A9" s="152"/>
      <c r="B9" s="153"/>
      <c r="C9" s="153"/>
      <c r="D9" s="153"/>
      <c r="X9" s="8"/>
    </row>
    <row r="10" spans="1:25" ht="18" customHeight="1" x14ac:dyDescent="0.15">
      <c r="A10" s="174"/>
      <c r="B10" s="175"/>
      <c r="C10" s="153"/>
      <c r="D10" s="153"/>
      <c r="X10" s="8"/>
    </row>
    <row r="11" spans="1:25" ht="18" customHeight="1" x14ac:dyDescent="0.15">
      <c r="A11" s="174"/>
      <c r="B11" s="175"/>
      <c r="C11" s="153"/>
      <c r="D11" s="153"/>
      <c r="X11" s="8"/>
    </row>
    <row r="12" spans="1:25" ht="18" customHeight="1" x14ac:dyDescent="0.15">
      <c r="A12" s="174"/>
      <c r="B12" s="175"/>
      <c r="C12" s="176"/>
      <c r="D12" s="176"/>
      <c r="E12" s="9"/>
      <c r="F12" s="10"/>
      <c r="G12" s="10"/>
      <c r="H12" s="10"/>
      <c r="X12" s="8"/>
    </row>
    <row r="13" spans="1:25" ht="18" customHeight="1" x14ac:dyDescent="0.15">
      <c r="A13" s="157"/>
      <c r="B13" s="180"/>
      <c r="C13" s="181"/>
      <c r="D13" s="18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3"/>
    </row>
    <row r="14" spans="1:25" s="14" customFormat="1" ht="18" customHeight="1" x14ac:dyDescent="0.15">
      <c r="A14" s="182" t="s">
        <v>14</v>
      </c>
      <c r="B14" s="182"/>
      <c r="C14" s="182"/>
      <c r="D14" s="18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0" customFormat="1" ht="18" customHeight="1" x14ac:dyDescent="0.15">
      <c r="A15" s="182" t="s">
        <v>15</v>
      </c>
      <c r="B15" s="182"/>
      <c r="C15" s="182"/>
      <c r="D15" s="182"/>
      <c r="E15" s="15" t="s">
        <v>16</v>
      </c>
      <c r="F15" s="15" t="s">
        <v>17</v>
      </c>
      <c r="G15" s="15" t="s">
        <v>18</v>
      </c>
      <c r="H15" s="15" t="s">
        <v>19</v>
      </c>
      <c r="I15" s="15" t="s">
        <v>20</v>
      </c>
      <c r="J15" s="15" t="s">
        <v>21</v>
      </c>
      <c r="K15" s="15" t="s">
        <v>22</v>
      </c>
      <c r="L15" s="15" t="s">
        <v>23</v>
      </c>
      <c r="M15" s="15" t="s">
        <v>24</v>
      </c>
      <c r="N15" s="15" t="s">
        <v>25</v>
      </c>
      <c r="O15" s="15"/>
      <c r="P15" s="15"/>
      <c r="Q15" s="15"/>
      <c r="R15" s="16"/>
      <c r="T15" s="15"/>
      <c r="U15" s="15"/>
      <c r="V15" s="15"/>
      <c r="W15" s="15"/>
      <c r="X15" s="15"/>
    </row>
    <row r="16" spans="1:25" s="10" customFormat="1" ht="125.1" customHeight="1" x14ac:dyDescent="0.15">
      <c r="A16" s="177"/>
      <c r="B16" s="178"/>
      <c r="C16" s="178"/>
      <c r="D16" s="179"/>
      <c r="E16" s="17"/>
      <c r="F16" s="18"/>
      <c r="G16" s="18"/>
      <c r="H16" s="18"/>
      <c r="I16" s="18"/>
      <c r="J16" s="17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18"/>
      <c r="X16" s="16"/>
      <c r="Y16" s="19"/>
    </row>
    <row r="17" spans="1:24" ht="18" customHeight="1" x14ac:dyDescent="0.15">
      <c r="A17" s="177" t="s">
        <v>26</v>
      </c>
      <c r="B17" s="178"/>
      <c r="C17" s="178" t="s">
        <v>27</v>
      </c>
      <c r="D17" s="17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8" customHeight="1" x14ac:dyDescent="0.15">
      <c r="A18" s="177" t="s">
        <v>28</v>
      </c>
      <c r="B18" s="178"/>
      <c r="C18" s="178" t="s">
        <v>29</v>
      </c>
      <c r="D18" s="17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8" customHeight="1" x14ac:dyDescent="0.15">
      <c r="A19" s="177" t="s">
        <v>30</v>
      </c>
      <c r="B19" s="178"/>
      <c r="C19" s="178" t="s">
        <v>31</v>
      </c>
      <c r="D19" s="17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8" customHeight="1" x14ac:dyDescent="0.15">
      <c r="A20" s="177" t="s">
        <v>32</v>
      </c>
      <c r="B20" s="178"/>
      <c r="C20" s="178" t="s">
        <v>33</v>
      </c>
      <c r="D20" s="179"/>
      <c r="E20" s="20"/>
      <c r="F20" s="20"/>
      <c r="G20" s="20"/>
      <c r="H20" s="21"/>
      <c r="I20" s="22"/>
      <c r="J20" s="22"/>
      <c r="K20" s="22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8" customHeight="1" x14ac:dyDescent="0.15">
      <c r="A21" s="177" t="s">
        <v>34</v>
      </c>
      <c r="B21" s="178"/>
      <c r="C21" s="178" t="s">
        <v>35</v>
      </c>
      <c r="D21" s="17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8" customHeight="1" x14ac:dyDescent="0.15">
      <c r="A22" s="177" t="s">
        <v>36</v>
      </c>
      <c r="B22" s="178"/>
      <c r="C22" s="178" t="s">
        <v>37</v>
      </c>
      <c r="D22" s="17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8" customHeight="1" x14ac:dyDescent="0.15">
      <c r="A23" s="177"/>
      <c r="B23" s="178"/>
      <c r="C23" s="184"/>
      <c r="D23" s="18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8" customHeight="1" x14ac:dyDescent="0.15">
      <c r="A24" s="183"/>
      <c r="B24" s="184"/>
      <c r="C24" s="184"/>
      <c r="D24" s="18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8" customHeight="1" x14ac:dyDescent="0.15">
      <c r="A25" s="183"/>
      <c r="B25" s="184"/>
      <c r="C25" s="184"/>
      <c r="D25" s="18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8" customHeight="1" x14ac:dyDescent="0.15">
      <c r="A26" s="183"/>
      <c r="B26" s="184"/>
      <c r="C26" s="184"/>
      <c r="D26" s="18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8" customHeight="1" x14ac:dyDescent="0.15">
      <c r="A27" s="183"/>
      <c r="B27" s="184"/>
      <c r="C27" s="184"/>
      <c r="D27" s="18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8" customHeight="1" x14ac:dyDescent="0.15">
      <c r="A28" s="183"/>
      <c r="B28" s="184"/>
      <c r="C28" s="184"/>
      <c r="D28" s="18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8" customHeight="1" x14ac:dyDescent="0.15">
      <c r="A29" s="183"/>
      <c r="B29" s="184"/>
      <c r="C29" s="184"/>
      <c r="D29" s="185"/>
      <c r="E29" s="20"/>
      <c r="F29" s="20"/>
      <c r="G29" s="20"/>
      <c r="H29" s="24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8" customHeight="1" x14ac:dyDescent="0.15">
      <c r="A30" s="189"/>
      <c r="B30" s="190"/>
      <c r="C30" s="184"/>
      <c r="D30" s="185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8" customHeight="1" x14ac:dyDescent="0.15">
      <c r="A31" s="186" t="s">
        <v>38</v>
      </c>
      <c r="B31" s="187"/>
      <c r="C31" s="187"/>
      <c r="D31" s="188"/>
      <c r="E31" s="20"/>
      <c r="F31" s="20"/>
      <c r="G31" s="20"/>
      <c r="H31" s="20"/>
      <c r="I31" s="1" t="s">
        <v>39</v>
      </c>
      <c r="J31" s="20"/>
      <c r="K31" s="20"/>
      <c r="L31" s="20"/>
      <c r="M31" s="20"/>
      <c r="N31" s="1" t="s">
        <v>39</v>
      </c>
      <c r="O31" s="193" t="s">
        <v>40</v>
      </c>
      <c r="P31" s="194"/>
      <c r="Q31" s="191">
        <v>2</v>
      </c>
      <c r="R31" s="20"/>
      <c r="S31" s="20"/>
      <c r="T31" s="20"/>
      <c r="U31" s="20"/>
      <c r="V31" s="20"/>
      <c r="W31" s="20"/>
      <c r="X31" s="20"/>
    </row>
    <row r="32" spans="1:24" ht="18" customHeight="1" x14ac:dyDescent="0.15">
      <c r="A32" s="186" t="s">
        <v>41</v>
      </c>
      <c r="B32" s="187"/>
      <c r="C32" s="187"/>
      <c r="D32" s="188"/>
      <c r="E32" s="1" t="s">
        <v>42</v>
      </c>
      <c r="F32" s="20"/>
      <c r="G32" s="20"/>
      <c r="H32" s="20"/>
      <c r="I32" s="20"/>
      <c r="J32" s="1" t="s">
        <v>42</v>
      </c>
      <c r="K32" s="20"/>
      <c r="L32" s="20"/>
      <c r="M32" s="20"/>
      <c r="N32" s="20"/>
      <c r="O32" s="195"/>
      <c r="P32" s="196"/>
      <c r="Q32" s="192"/>
      <c r="R32" s="20"/>
      <c r="S32" s="20"/>
      <c r="T32" s="20"/>
      <c r="U32" s="20"/>
      <c r="V32" s="20"/>
      <c r="W32" s="20"/>
      <c r="X32" s="20"/>
    </row>
    <row r="33" spans="1:24" ht="18" customHeight="1" x14ac:dyDescent="0.15">
      <c r="A33" s="26" t="s">
        <v>43</v>
      </c>
      <c r="B33" s="27" t="s">
        <v>44</v>
      </c>
      <c r="C33" s="28">
        <f>SUM(E33:X33)</f>
        <v>100</v>
      </c>
      <c r="D33" s="29" t="s">
        <v>45</v>
      </c>
      <c r="E33" s="1">
        <v>37</v>
      </c>
      <c r="F33" s="1">
        <v>6</v>
      </c>
      <c r="G33" s="1">
        <v>2</v>
      </c>
      <c r="H33" s="1">
        <v>3</v>
      </c>
      <c r="I33" s="1">
        <v>2</v>
      </c>
      <c r="J33" s="1">
        <v>35</v>
      </c>
      <c r="K33" s="1">
        <v>7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86" t="s">
        <v>46</v>
      </c>
      <c r="B34" s="187"/>
      <c r="C34" s="187"/>
      <c r="D34" s="18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86" t="s">
        <v>47</v>
      </c>
      <c r="B35" s="187"/>
      <c r="C35" s="187"/>
      <c r="D35" s="18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86" t="s">
        <v>48</v>
      </c>
      <c r="B36" s="187"/>
      <c r="C36" s="187"/>
      <c r="D36" s="188"/>
      <c r="E36" s="4" t="s">
        <v>49</v>
      </c>
      <c r="F36" s="4" t="s">
        <v>50</v>
      </c>
      <c r="G36" s="4" t="s">
        <v>50</v>
      </c>
      <c r="H36" s="4" t="s">
        <v>50</v>
      </c>
      <c r="I36" s="4" t="s">
        <v>50</v>
      </c>
      <c r="J36" s="4" t="s">
        <v>50</v>
      </c>
      <c r="K36" s="4" t="s">
        <v>49</v>
      </c>
      <c r="L36" s="4" t="s">
        <v>49</v>
      </c>
      <c r="M36" s="4" t="s">
        <v>49</v>
      </c>
      <c r="N36" s="4" t="s">
        <v>49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12:B12"/>
    <mergeCell ref="A4:B4"/>
    <mergeCell ref="C4:D4"/>
    <mergeCell ref="A9:B9"/>
    <mergeCell ref="C9:D9"/>
    <mergeCell ref="A6:B6"/>
    <mergeCell ref="C6:D6"/>
    <mergeCell ref="A8:B8"/>
    <mergeCell ref="C8:D8"/>
    <mergeCell ref="A7:B7"/>
    <mergeCell ref="A5:B5"/>
    <mergeCell ref="A11:B11"/>
    <mergeCell ref="C11:D11"/>
    <mergeCell ref="A10:B10"/>
    <mergeCell ref="C10:D10"/>
    <mergeCell ref="C7:D7"/>
    <mergeCell ref="C5:D5"/>
    <mergeCell ref="C12:D12"/>
    <mergeCell ref="A3:B3"/>
    <mergeCell ref="C3:D3"/>
    <mergeCell ref="A36:D36"/>
    <mergeCell ref="A35:D35"/>
    <mergeCell ref="A31:D31"/>
    <mergeCell ref="A19:B19"/>
    <mergeCell ref="C19:D19"/>
    <mergeCell ref="A20:B20"/>
    <mergeCell ref="C20:D20"/>
    <mergeCell ref="C23:D23"/>
    <mergeCell ref="A24:B24"/>
    <mergeCell ref="C24:D24"/>
    <mergeCell ref="A27:B27"/>
    <mergeCell ref="C27:D27"/>
    <mergeCell ref="A34:D34"/>
    <mergeCell ref="A28:B28"/>
    <mergeCell ref="C28:D28"/>
    <mergeCell ref="A17:B17"/>
    <mergeCell ref="C17:D17"/>
    <mergeCell ref="A18:B18"/>
    <mergeCell ref="C18:D18"/>
    <mergeCell ref="A26:B26"/>
    <mergeCell ref="C26:D26"/>
    <mergeCell ref="A25:B25"/>
    <mergeCell ref="C25:D25"/>
    <mergeCell ref="A23:B23"/>
    <mergeCell ref="A22:B22"/>
    <mergeCell ref="C22:D22"/>
    <mergeCell ref="V1:X1"/>
    <mergeCell ref="V2:X2"/>
    <mergeCell ref="N1:O1"/>
    <mergeCell ref="N2:O2"/>
    <mergeCell ref="P1:S1"/>
    <mergeCell ref="P2:R2"/>
    <mergeCell ref="T1:U1"/>
    <mergeCell ref="T2:U2"/>
    <mergeCell ref="H1:M1"/>
    <mergeCell ref="A1:E1"/>
    <mergeCell ref="A2:E2"/>
    <mergeCell ref="F2:G2"/>
    <mergeCell ref="F1:G1"/>
    <mergeCell ref="L2:M2"/>
    <mergeCell ref="H2:K2"/>
    <mergeCell ref="O31:P32"/>
    <mergeCell ref="Q31:Q32"/>
    <mergeCell ref="A32:D32"/>
    <mergeCell ref="C13:D13"/>
    <mergeCell ref="A30:B30"/>
    <mergeCell ref="C30:D30"/>
    <mergeCell ref="A29:B29"/>
    <mergeCell ref="C29:D29"/>
    <mergeCell ref="A21:B21"/>
    <mergeCell ref="C21:D21"/>
    <mergeCell ref="A14:D14"/>
    <mergeCell ref="A15:D15"/>
    <mergeCell ref="A13:B13"/>
    <mergeCell ref="A16:D16"/>
  </mergeCells>
  <phoneticPr fontId="1"/>
  <pageMargins left="0.98425196850393704" right="0.11811023622047245" top="0.43307086614173229" bottom="0.59055118110236227" header="0.23622047244094491" footer="0.31496062992125984"/>
  <pageSetup paperSize="9" scale="94" firstPageNumber="44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2026-02-19</vt:lpstr>
      <vt:lpstr>2023-11-07</vt:lpstr>
      <vt:lpstr>2023-10-11</vt:lpstr>
      <vt:lpstr>140719</vt:lpstr>
      <vt:lpstr>140119</vt:lpstr>
      <vt:lpstr>250060</vt:lpstr>
      <vt:lpstr>'2026-02-19'!Print_Area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2023-11-06T06:48:57Z</cp:lastPrinted>
  <dcterms:created xsi:type="dcterms:W3CDTF">2003-01-27T00:56:44Z</dcterms:created>
  <dcterms:modified xsi:type="dcterms:W3CDTF">2026-02-26T09:34:46Z</dcterms:modified>
</cp:coreProperties>
</file>