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11035012\Desktop\_2025工事\①端末対応装置Ⅰ型（TCCU増設）\現示階梯図\端末更新\2-25 福山（千田蓮池南ほか）\"/>
    </mc:Choice>
  </mc:AlternateContent>
  <xr:revisionPtr revIDLastSave="0" documentId="13_ncr:1_{B23122DA-5DBB-4F4B-8317-73DFC2A48768}" xr6:coauthVersionLast="47" xr6:coauthVersionMax="47" xr10:uidLastSave="{00000000-0000-0000-0000-000000000000}"/>
  <bookViews>
    <workbookView xWindow="1245" yWindow="795" windowWidth="27420" windowHeight="14595" xr2:uid="{00000000-000D-0000-FFFF-FFFF00000000}"/>
  </bookViews>
  <sheets>
    <sheet name="2026-02-07" sheetId="3" r:id="rId1"/>
    <sheet name="70042 (2009_3_31))" sheetId="2" r:id="rId2"/>
    <sheet name="70042" sheetId="1" r:id="rId3"/>
  </sheets>
  <definedNames>
    <definedName name="_xlnm.Print_Area" localSheetId="0">'2026-02-07'!$A$1:$X$38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3" i="3" l="1"/>
  <c r="AD13" i="3" s="1"/>
  <c r="AD15" i="3"/>
  <c r="AA15" i="3"/>
  <c r="AA14" i="3"/>
  <c r="AD14" i="3" s="1"/>
  <c r="C34" i="3"/>
  <c r="AA35" i="3"/>
  <c r="AA34" i="3"/>
  <c r="C35" i="3"/>
  <c r="C33" i="2"/>
  <c r="C33" i="1"/>
</calcChain>
</file>

<file path=xl/sharedStrings.xml><?xml version="1.0" encoding="utf-8"?>
<sst xmlns="http://schemas.openxmlformats.org/spreadsheetml/2006/main" count="197" uniqueCount="72">
  <si>
    <t>規制番号　名称</t>
    <rPh sb="0" eb="2">
      <t>キセイ</t>
    </rPh>
    <rPh sb="2" eb="4">
      <t>バンゴウ</t>
    </rPh>
    <rPh sb="5" eb="7">
      <t>メイショウ</t>
    </rPh>
    <phoneticPr fontId="2"/>
  </si>
  <si>
    <t>福山新橋西詰</t>
    <rPh sb="0" eb="2">
      <t>フクヤマ</t>
    </rPh>
    <rPh sb="2" eb="4">
      <t>シンバシ</t>
    </rPh>
    <rPh sb="4" eb="6">
      <t>ニシヅメ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</si>
  <si>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</si>
  <si>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</si>
  <si>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</si>
  <si>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</si>
  <si>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</si>
  <si>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</si>
  <si>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</si>
  <si>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</si>
  <si>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</si>
  <si>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</si>
  <si>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</si>
  <si>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A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</si>
  <si>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</si>
  <si>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</si>
  <si>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</si>
  <si>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</si>
  <si>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</si>
  <si>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A</t>
    <phoneticPr fontId="2"/>
  </si>
  <si>
    <t>2 R</t>
    <phoneticPr fontId="2"/>
  </si>
  <si>
    <t>　１Ｐ</t>
    <phoneticPr fontId="2"/>
  </si>
  <si>
    <t>[ 1P ]</t>
    <phoneticPr fontId="2"/>
  </si>
  <si>
    <t>１</t>
    <phoneticPr fontId="2"/>
  </si>
  <si>
    <t>[ 1V ]</t>
    <phoneticPr fontId="2"/>
  </si>
  <si>
    <t>　２Ｐ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</si>
  <si>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</si>
  <si>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</si>
  <si>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</si>
  <si>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</si>
  <si>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</si>
  <si>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</si>
  <si>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</si>
  <si>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</si>
  <si>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</si>
  <si>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</si>
  <si>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</si>
  <si>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7-0042 </t>
    <phoneticPr fontId="2"/>
  </si>
  <si>
    <t>070042</t>
    <phoneticPr fontId="2"/>
  </si>
  <si>
    <t>１Ａ</t>
    <phoneticPr fontId="2"/>
  </si>
  <si>
    <t>２Ａ</t>
    <phoneticPr fontId="2"/>
  </si>
  <si>
    <t>[ 2A ]</t>
    <phoneticPr fontId="2"/>
  </si>
  <si>
    <t>[ 1A ]</t>
    <phoneticPr fontId="2"/>
  </si>
  <si>
    <t>Ｕ－ＵＤ（ＴＣＵ）</t>
    <phoneticPr fontId="2"/>
  </si>
  <si>
    <t>3M1148</t>
    <phoneticPr fontId="2"/>
  </si>
  <si>
    <t>～</t>
    <phoneticPr fontId="2"/>
  </si>
  <si>
    <t>070042</t>
    <phoneticPr fontId="2"/>
  </si>
  <si>
    <t>Ｕ－ＵＤ（ＴＣＵ）</t>
    <phoneticPr fontId="2"/>
  </si>
  <si>
    <t>～</t>
    <phoneticPr fontId="2"/>
  </si>
  <si>
    <t>１Ａ</t>
    <phoneticPr fontId="2"/>
  </si>
  <si>
    <t>[ 1A ]</t>
    <phoneticPr fontId="2"/>
  </si>
  <si>
    <t>２Ａ</t>
    <phoneticPr fontId="2"/>
  </si>
  <si>
    <t>[ 2A ]</t>
    <phoneticPr fontId="2"/>
  </si>
  <si>
    <t>置換秒数</t>
    <rPh sb="0" eb="1">
      <t>オ</t>
    </rPh>
    <rPh sb="1" eb="2">
      <t>カ</t>
    </rPh>
    <rPh sb="2" eb="3">
      <t>ビョウ</t>
    </rPh>
    <rPh sb="3" eb="4">
      <t>スウ</t>
    </rPh>
    <phoneticPr fontId="2"/>
  </si>
  <si>
    <t>高齢者感応</t>
    <rPh sb="0" eb="3">
      <t>コウレイシャ</t>
    </rPh>
    <rPh sb="3" eb="5">
      <t>カンノウ</t>
    </rPh>
    <phoneticPr fontId="2"/>
  </si>
  <si>
    <t>補正</t>
    <rPh sb="0" eb="2">
      <t>ホセイ</t>
    </rPh>
    <phoneticPr fontId="2"/>
  </si>
  <si>
    <t>感応</t>
    <rPh sb="0" eb="2">
      <t>カンノウ</t>
    </rPh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</si>
  <si>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</si>
  <si>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</si>
  <si>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メーカー</t>
    <phoneticPr fontId="2"/>
  </si>
  <si>
    <t>Int№：</t>
    <phoneticPr fontId="2"/>
  </si>
  <si>
    <t>ＰＵ</t>
    <phoneticPr fontId="2"/>
  </si>
  <si>
    <t>ＰＬ</t>
    <phoneticPr fontId="2"/>
  </si>
  <si>
    <t>福山新橋西詰</t>
    <phoneticPr fontId="2"/>
  </si>
  <si>
    <t>07-0042</t>
    <phoneticPr fontId="2"/>
  </si>
  <si>
    <t>70042</t>
    <phoneticPr fontId="2"/>
  </si>
  <si>
    <t>(S9-TCU)</t>
    <phoneticPr fontId="2"/>
  </si>
  <si>
    <t>１Ｐ</t>
    <phoneticPr fontId="2"/>
  </si>
  <si>
    <t>１右矢</t>
    <rPh sb="1" eb="2">
      <t>ミギ</t>
    </rPh>
    <rPh sb="2" eb="3">
      <t>ヤ</t>
    </rPh>
    <phoneticPr fontId="2"/>
  </si>
  <si>
    <t>２Ｐ</t>
    <phoneticPr fontId="2"/>
  </si>
  <si>
    <t>２右矢</t>
    <rPh sb="1" eb="2">
      <t>ミギ</t>
    </rPh>
    <rPh sb="2" eb="3">
      <t>ヤ</t>
    </rPh>
    <phoneticPr fontId="2"/>
  </si>
  <si>
    <t>住友電工</t>
    <rPh sb="0" eb="4">
      <t>スミトモデンコウ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</si>
</sst>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\(#,##0\)"/>
    <numFmt numFmtId="177" formatCode="###&quot;秒&quot;"/>
    <numFmt numFmtId="178" formatCode="[$-F800]dddd\,\ mmmm\ dd\,\ yyyy"/>
    <numFmt numFmtId="179" formatCode="h&quot;時&quot;mm&quot;分&quot;;@"/>
    <numFmt numFmtId="180" formatCode="yyyy&quot;年&quot;m&quot;月&quot;;@"/>
    <numFmt numFmtId="181" formatCode="yyyy&quot;年&quot;m&quot;月&quot;d&quot;日&quot;;@"/>
    <numFmt numFmtId="182" formatCode="0.0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right" vertical="center"/>
    </xf>
    <xf numFmtId="177" fontId="3" fillId="0" borderId="10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49" fontId="11" fillId="0" borderId="1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49" fontId="11" fillId="0" borderId="7" xfId="0" applyNumberFormat="1" applyFont="1" applyBorder="1" applyAlignment="1">
      <alignment horizontal="left" vertical="center"/>
    </xf>
    <xf numFmtId="176" fontId="11" fillId="0" borderId="7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right" vertical="center"/>
    </xf>
    <xf numFmtId="0" fontId="10" fillId="0" borderId="0" xfId="0" applyFont="1" applyFill="1" applyAlignment="1">
      <alignment vertical="center"/>
    </xf>
    <xf numFmtId="182" fontId="10" fillId="0" borderId="0" xfId="0" applyNumberFormat="1" applyFont="1" applyFill="1" applyAlignment="1">
      <alignment vertical="center"/>
    </xf>
    <xf numFmtId="0" fontId="10" fillId="0" borderId="2" xfId="0" applyFont="1" applyBorder="1" applyAlignment="1">
      <alignment horizontal="right" vertical="center"/>
    </xf>
    <xf numFmtId="180" fontId="10" fillId="0" borderId="14" xfId="0" applyNumberFormat="1" applyFont="1" applyBorder="1" applyAlignment="1">
      <alignment horizontal="center" vertical="center"/>
    </xf>
    <xf numFmtId="180" fontId="10" fillId="0" borderId="3" xfId="0" applyNumberFormat="1" applyFont="1" applyBorder="1" applyAlignment="1">
      <alignment horizontal="center" vertical="center"/>
    </xf>
    <xf numFmtId="180" fontId="10" fillId="0" borderId="4" xfId="0" applyNumberFormat="1" applyFont="1" applyBorder="1" applyAlignment="1">
      <alignment horizontal="center" vertical="center"/>
    </xf>
    <xf numFmtId="180" fontId="10" fillId="0" borderId="13" xfId="0" applyNumberFormat="1" applyFont="1" applyBorder="1" applyAlignment="1">
      <alignment horizontal="center" vertical="center"/>
    </xf>
    <xf numFmtId="180" fontId="10" fillId="0" borderId="6" xfId="0" applyNumberFormat="1" applyFont="1" applyBorder="1" applyAlignment="1">
      <alignment horizontal="center" vertical="center"/>
    </xf>
    <xf numFmtId="180" fontId="10" fillId="0" borderId="2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5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179" fontId="10" fillId="0" borderId="24" xfId="0" applyNumberFormat="1" applyFont="1" applyBorder="1" applyAlignment="1">
      <alignment horizontal="center" vertical="center"/>
    </xf>
    <xf numFmtId="179" fontId="10" fillId="0" borderId="25" xfId="0" applyNumberFormat="1" applyFont="1" applyBorder="1" applyAlignment="1">
      <alignment horizontal="center" vertical="center"/>
    </xf>
    <xf numFmtId="179" fontId="10" fillId="0" borderId="13" xfId="0" applyNumberFormat="1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shrinkToFit="1"/>
    </xf>
    <xf numFmtId="0" fontId="10" fillId="0" borderId="22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181" fontId="10" fillId="0" borderId="14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181" fontId="10" fillId="0" borderId="4" xfId="0" applyNumberFormat="1" applyFont="1" applyBorder="1" applyAlignment="1">
      <alignment horizontal="center" vertical="center"/>
    </xf>
    <xf numFmtId="181" fontId="10" fillId="0" borderId="21" xfId="0" applyNumberFormat="1" applyFont="1" applyBorder="1" applyAlignment="1">
      <alignment horizontal="center" vertical="center"/>
    </xf>
    <xf numFmtId="181" fontId="10" fillId="0" borderId="22" xfId="0" applyNumberFormat="1" applyFont="1" applyBorder="1" applyAlignment="1">
      <alignment horizontal="center" vertical="center"/>
    </xf>
    <xf numFmtId="181" fontId="10" fillId="0" borderId="23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49" fontId="10" fillId="0" borderId="14" xfId="0" quotePrefix="1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10" fillId="0" borderId="22" xfId="0" applyFont="1" applyBorder="1" applyAlignment="1">
      <alignment horizontal="right" vertical="center"/>
    </xf>
    <xf numFmtId="49" fontId="11" fillId="0" borderId="9" xfId="0" applyNumberFormat="1" applyFont="1" applyBorder="1" applyAlignment="1">
      <alignment horizontal="center" vertical="center" shrinkToFit="1"/>
    </xf>
    <xf numFmtId="49" fontId="11" fillId="0" borderId="10" xfId="0" applyNumberFormat="1" applyFont="1" applyBorder="1" applyAlignment="1">
      <alignment horizontal="center" vertical="center" shrinkToFit="1"/>
    </xf>
    <xf numFmtId="49" fontId="11" fillId="0" borderId="7" xfId="0" applyNumberFormat="1" applyFont="1" applyBorder="1" applyAlignment="1">
      <alignment horizontal="center" vertical="center" shrinkToFit="1"/>
    </xf>
    <xf numFmtId="49" fontId="11" fillId="0" borderId="9" xfId="0" applyNumberFormat="1" applyFont="1" applyBorder="1" applyAlignment="1">
      <alignment vertical="center"/>
    </xf>
    <xf numFmtId="49" fontId="11" fillId="0" borderId="10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vertical="center"/>
    </xf>
    <xf numFmtId="49" fontId="11" fillId="0" borderId="13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 shrinkToFit="1"/>
    </xf>
    <xf numFmtId="49" fontId="3" fillId="0" borderId="10" xfId="0" applyNumberFormat="1" applyFont="1" applyBorder="1" applyAlignment="1">
      <alignment horizontal="center" vertical="center" shrinkToFit="1"/>
    </xf>
    <xf numFmtId="49" fontId="3" fillId="0" borderId="7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8" fontId="9" fillId="0" borderId="16" xfId="0" applyNumberFormat="1" applyFont="1" applyBorder="1" applyAlignment="1">
      <alignment horizontal="center" vertical="center"/>
    </xf>
    <xf numFmtId="179" fontId="9" fillId="0" borderId="11" xfId="0" applyNumberFormat="1" applyFont="1" applyBorder="1" applyAlignment="1">
      <alignment horizontal="right" vertical="center"/>
    </xf>
    <xf numFmtId="179" fontId="9" fillId="0" borderId="13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4</xdr:row>
      <xdr:rowOff>133351</xdr:rowOff>
    </xdr:from>
    <xdr:to>
      <xdr:col>22</xdr:col>
      <xdr:colOff>228600</xdr:colOff>
      <xdr:row>14</xdr:row>
      <xdr:rowOff>90744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5E04FF10-99F0-4FBE-9F76-FA490672E123}"/>
            </a:ext>
          </a:extLst>
        </xdr:cNvPr>
        <xdr:cNvGrpSpPr>
          <a:grpSpLocks noChangeAspect="1"/>
        </xdr:cNvGrpSpPr>
      </xdr:nvGrpSpPr>
      <xdr:grpSpPr>
        <a:xfrm>
          <a:off x="771525" y="704851"/>
          <a:ext cx="6429375" cy="3891218"/>
          <a:chOff x="8972550" y="4962525"/>
          <a:chExt cx="13123809" cy="7942857"/>
        </a:xfrm>
      </xdr:grpSpPr>
      <xdr:pic>
        <xdr:nvPicPr>
          <xdr:cNvPr id="136" name="図 135">
            <a:extLst>
              <a:ext uri="{FF2B5EF4-FFF2-40B4-BE49-F238E27FC236}">
                <a16:creationId xmlns:a16="http://schemas.microsoft.com/office/drawing/2014/main" id="{2B4AA65C-7D43-450A-AA53-1679B3BAFD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72550" y="4962525"/>
            <a:ext cx="13123809" cy="7942857"/>
          </a:xfrm>
          <a:prstGeom prst="rect">
            <a:avLst/>
          </a:prstGeom>
        </xdr:spPr>
      </xdr:pic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4B301713-9F2C-4A25-A4A4-45B66CCDCDC6}"/>
              </a:ext>
            </a:extLst>
          </xdr:cNvPr>
          <xdr:cNvSpPr/>
        </xdr:nvSpPr>
        <xdr:spPr bwMode="auto">
          <a:xfrm>
            <a:off x="16925925" y="4962525"/>
            <a:ext cx="4686300" cy="16954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304800</xdr:colOff>
      <xdr:row>17</xdr:row>
      <xdr:rowOff>1550098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F5B518A-683B-4063-B71F-D069283ABB43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819150" cy="15119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9831495-CFF3-4948-9144-CD17F0C8855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FF6B6325-581B-4DC8-8D8D-CFD42E870FBB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18</xdr:row>
      <xdr:rowOff>38100</xdr:rowOff>
    </xdr:from>
    <xdr:to>
      <xdr:col>5</xdr:col>
      <xdr:colOff>276225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96C6206-FF43-4BE9-9B8C-D3D085AE7F59}"/>
            </a:ext>
          </a:extLst>
        </xdr:cNvPr>
        <xdr:cNvGrpSpPr>
          <a:grpSpLocks/>
        </xdr:cNvGrpSpPr>
      </xdr:nvGrpSpPr>
      <xdr:grpSpPr bwMode="auto">
        <a:xfrm>
          <a:off x="1685925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88663EBB-ACC1-43B4-9EF7-DA87C2AC62E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2695F532-8E36-497E-ACD3-E499BED5C67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66AF55DC-A009-4084-BE2D-9DB9E80C99E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EAEF1539-D64C-4D4F-80B9-EB583DBD369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18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7305825-69BF-4EEA-92FA-74FC2D804852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77190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B5165C4A-16A0-48BF-908B-945A75FB5EE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2F906855-6F6B-498A-B801-7195FB6EC36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A4333BA8-5790-40E0-92AE-987B16D8D24B}"/>
            </a:ext>
          </a:extLst>
        </xdr:cNvPr>
        <xdr:cNvSpPr>
          <a:spLocks noChangeShapeType="1"/>
        </xdr:cNvSpPr>
      </xdr:nvSpPr>
      <xdr:spPr bwMode="auto">
        <a:xfrm>
          <a:off x="895350" y="7038975"/>
          <a:ext cx="9239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C8ACA13-F581-446F-981B-03239D16365E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2514600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3721B094-A0ED-4A0D-A653-E1A2A23F6E9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328ECE21-A11C-4DCD-A90D-0B28A40CB0E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47625</xdr:rowOff>
    </xdr:from>
    <xdr:to>
      <xdr:col>10</xdr:col>
      <xdr:colOff>0</xdr:colOff>
      <xdr:row>19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17755D50-926F-4120-9A79-80275DCFC9AA}"/>
            </a:ext>
          </a:extLst>
        </xdr:cNvPr>
        <xdr:cNvSpPr>
          <a:spLocks/>
        </xdr:cNvSpPr>
      </xdr:nvSpPr>
      <xdr:spPr bwMode="auto">
        <a:xfrm>
          <a:off x="2457450" y="69723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1619C15-DF91-4765-BD30-AA666E99C890}"/>
            </a:ext>
          </a:extLst>
        </xdr:cNvPr>
        <xdr:cNvGrpSpPr>
          <a:grpSpLocks/>
        </xdr:cNvGrpSpPr>
      </xdr:nvGrpSpPr>
      <xdr:grpSpPr bwMode="auto">
        <a:xfrm>
          <a:off x="2571750" y="7096125"/>
          <a:ext cx="314325" cy="47625"/>
          <a:chOff x="158" y="715"/>
          <a:chExt cx="33" cy="5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67E7E516-BAE3-4983-92F9-CE21C83FBE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D471348F-D1AF-452B-8569-D24409D9954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457200</xdr:rowOff>
    </xdr:from>
    <xdr:to>
      <xdr:col>7</xdr:col>
      <xdr:colOff>209550</xdr:colOff>
      <xdr:row>17</xdr:row>
      <xdr:rowOff>762000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7159BB12-2C73-41D4-9557-B060AB94B33D}"/>
            </a:ext>
          </a:extLst>
        </xdr:cNvPr>
        <xdr:cNvGrpSpPr>
          <a:grpSpLocks/>
        </xdr:cNvGrpSpPr>
      </xdr:nvGrpSpPr>
      <xdr:grpSpPr bwMode="auto">
        <a:xfrm>
          <a:off x="1466850" y="5648325"/>
          <a:ext cx="1000125" cy="304800"/>
          <a:chOff x="123" y="585"/>
          <a:chExt cx="105" cy="32"/>
        </a:xfrm>
      </xdr:grpSpPr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CCF3E70D-C9BF-495E-843F-8ABC69486B2E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E144F499-EE5D-4BBB-AE3F-8B8A42D56382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7E1C360-31E6-41B2-AE83-85D41E35B41C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29" name="Freeform 24">
              <a:extLst>
                <a:ext uri="{FF2B5EF4-FFF2-40B4-BE49-F238E27FC236}">
                  <a16:creationId xmlns:a16="http://schemas.microsoft.com/office/drawing/2014/main" id="{E9FBAF82-2FB6-48CC-BB2B-AB0B980656C2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" name="Line 25">
              <a:extLst>
                <a:ext uri="{FF2B5EF4-FFF2-40B4-BE49-F238E27FC236}">
                  <a16:creationId xmlns:a16="http://schemas.microsoft.com/office/drawing/2014/main" id="{EDA7231B-E88E-4DBF-B04F-1C5D2697816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Freeform 26">
              <a:extLst>
                <a:ext uri="{FF2B5EF4-FFF2-40B4-BE49-F238E27FC236}">
                  <a16:creationId xmlns:a16="http://schemas.microsoft.com/office/drawing/2014/main" id="{EFC8E13B-99D8-44B3-8ACD-59A34887881F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5" name="Group 27">
            <a:extLst>
              <a:ext uri="{FF2B5EF4-FFF2-40B4-BE49-F238E27FC236}">
                <a16:creationId xmlns:a16="http://schemas.microsoft.com/office/drawing/2014/main" id="{DB9ECBA8-76B0-4769-814D-8554A48E28B4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26" name="Freeform 28">
              <a:extLst>
                <a:ext uri="{FF2B5EF4-FFF2-40B4-BE49-F238E27FC236}">
                  <a16:creationId xmlns:a16="http://schemas.microsoft.com/office/drawing/2014/main" id="{9A566E81-EFA3-43CE-9CE3-0E0D68847606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" name="Line 29">
              <a:extLst>
                <a:ext uri="{FF2B5EF4-FFF2-40B4-BE49-F238E27FC236}">
                  <a16:creationId xmlns:a16="http://schemas.microsoft.com/office/drawing/2014/main" id="{847DB386-9890-4E7E-B3DC-BC3AE9D071E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Freeform 30">
              <a:extLst>
                <a:ext uri="{FF2B5EF4-FFF2-40B4-BE49-F238E27FC236}">
                  <a16:creationId xmlns:a16="http://schemas.microsoft.com/office/drawing/2014/main" id="{E9AA4858-46DD-4A18-BD81-08EA89053FC3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238125</xdr:colOff>
      <xdr:row>17</xdr:row>
      <xdr:rowOff>276225</xdr:rowOff>
    </xdr:from>
    <xdr:to>
      <xdr:col>7</xdr:col>
      <xdr:colOff>28575</xdr:colOff>
      <xdr:row>17</xdr:row>
      <xdr:rowOff>333375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E001B4A-7CCA-4E75-8F4D-5449220564F9}"/>
            </a:ext>
          </a:extLst>
        </xdr:cNvPr>
        <xdr:cNvGrpSpPr>
          <a:grpSpLocks/>
        </xdr:cNvGrpSpPr>
      </xdr:nvGrpSpPr>
      <xdr:grpSpPr bwMode="auto">
        <a:xfrm>
          <a:off x="1552575" y="5467350"/>
          <a:ext cx="733425" cy="57150"/>
          <a:chOff x="123" y="549"/>
          <a:chExt cx="77" cy="6"/>
        </a:xfrm>
      </xdr:grpSpPr>
      <xdr:sp macro="" textlink="">
        <xdr:nvSpPr>
          <xdr:cNvPr id="33" name="Line 32">
            <a:extLst>
              <a:ext uri="{FF2B5EF4-FFF2-40B4-BE49-F238E27FC236}">
                <a16:creationId xmlns:a16="http://schemas.microsoft.com/office/drawing/2014/main" id="{1877659F-B8E7-4087-88EF-A01FC51E0D0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F522CCA8-2446-4DD2-AEAE-E98160D0988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7EE193FC-F0DB-418C-B3DD-CF8D977BF85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828675</xdr:rowOff>
    </xdr:from>
    <xdr:to>
      <xdr:col>7</xdr:col>
      <xdr:colOff>209550</xdr:colOff>
      <xdr:row>17</xdr:row>
      <xdr:rowOff>1123950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42CDF8A-EE17-406C-AB01-BDBD64970C05}"/>
            </a:ext>
          </a:extLst>
        </xdr:cNvPr>
        <xdr:cNvGrpSpPr>
          <a:grpSpLocks/>
        </xdr:cNvGrpSpPr>
      </xdr:nvGrpSpPr>
      <xdr:grpSpPr bwMode="auto">
        <a:xfrm>
          <a:off x="1466850" y="6019800"/>
          <a:ext cx="1000125" cy="295275"/>
          <a:chOff x="122" y="624"/>
          <a:chExt cx="105" cy="31"/>
        </a:xfrm>
      </xdr:grpSpPr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E085B6A3-E651-4A8D-8EA4-5F9E0711765D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54E53EB5-2967-4CE8-AA69-7BC84F39A1FD}"/>
              </a:ext>
            </a:extLst>
          </xdr:cNvPr>
          <xdr:cNvSpPr>
            <a:spLocks/>
          </xdr:cNvSpPr>
        </xdr:nvSpPr>
        <xdr:spPr bwMode="auto">
          <a:xfrm rot="-10800000">
            <a:off x="122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69D3BBE6-454B-49D0-92FB-5EA799FE732F}"/>
              </a:ext>
            </a:extLst>
          </xdr:cNvPr>
          <xdr:cNvSpPr>
            <a:spLocks/>
          </xdr:cNvSpPr>
        </xdr:nvSpPr>
        <xdr:spPr bwMode="auto">
          <a:xfrm rot="-10800000">
            <a:off x="202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BBCAEDED-781E-4C01-9071-39CA72F630F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FC48B8BA-9CA1-421B-BC28-33937E9C7102}"/>
              </a:ext>
            </a:extLst>
          </xdr:cNvPr>
          <xdr:cNvSpPr>
            <a:spLocks/>
          </xdr:cNvSpPr>
        </xdr:nvSpPr>
        <xdr:spPr bwMode="auto">
          <a:xfrm rot="-10800000">
            <a:off x="198" y="648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EE7C0E12-01F8-4F13-970F-6A0FE8BBC917}"/>
              </a:ext>
            </a:extLst>
          </xdr:cNvPr>
          <xdr:cNvSpPr>
            <a:spLocks/>
          </xdr:cNvSpPr>
        </xdr:nvSpPr>
        <xdr:spPr bwMode="auto">
          <a:xfrm rot="-10800000">
            <a:off x="186" y="63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Line 42">
            <a:extLst>
              <a:ext uri="{FF2B5EF4-FFF2-40B4-BE49-F238E27FC236}">
                <a16:creationId xmlns:a16="http://schemas.microsoft.com/office/drawing/2014/main" id="{B75255A5-0A04-4048-A32F-8EDE1A0A776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B2110E96-B446-497F-80AE-A0D2E37744E0}"/>
              </a:ext>
            </a:extLst>
          </xdr:cNvPr>
          <xdr:cNvSpPr>
            <a:spLocks/>
          </xdr:cNvSpPr>
        </xdr:nvSpPr>
        <xdr:spPr bwMode="auto">
          <a:xfrm rot="-10800000">
            <a:off x="182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247650</xdr:colOff>
      <xdr:row>17</xdr:row>
      <xdr:rowOff>1209675</xdr:rowOff>
    </xdr:from>
    <xdr:to>
      <xdr:col>7</xdr:col>
      <xdr:colOff>38100</xdr:colOff>
      <xdr:row>17</xdr:row>
      <xdr:rowOff>1266825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71613EFB-803B-4FBA-B2C6-94CAD0271F79}"/>
            </a:ext>
          </a:extLst>
        </xdr:cNvPr>
        <xdr:cNvGrpSpPr>
          <a:grpSpLocks/>
        </xdr:cNvGrpSpPr>
      </xdr:nvGrpSpPr>
      <xdr:grpSpPr bwMode="auto">
        <a:xfrm>
          <a:off x="1562100" y="6400800"/>
          <a:ext cx="733425" cy="57150"/>
          <a:chOff x="123" y="549"/>
          <a:chExt cx="77" cy="6"/>
        </a:xfrm>
      </xdr:grpSpPr>
      <xdr:sp macro="" textlink="">
        <xdr:nvSpPr>
          <xdr:cNvPr id="46" name="Line 45">
            <a:extLst>
              <a:ext uri="{FF2B5EF4-FFF2-40B4-BE49-F238E27FC236}">
                <a16:creationId xmlns:a16="http://schemas.microsoft.com/office/drawing/2014/main" id="{C9499E22-03D7-48BC-9924-63C65181F6D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95DACC08-11D4-4785-932B-57820F6D938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82D7052F-3407-4A94-A7D0-6120878B9ACC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17</xdr:row>
      <xdr:rowOff>266700</xdr:rowOff>
    </xdr:from>
    <xdr:to>
      <xdr:col>14</xdr:col>
      <xdr:colOff>180975</xdr:colOff>
      <xdr:row>17</xdr:row>
      <xdr:rowOff>1276350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1CC5F2E5-BD4C-47B7-BEDF-24D813EF212D}"/>
            </a:ext>
          </a:extLst>
        </xdr:cNvPr>
        <xdr:cNvGrpSpPr>
          <a:grpSpLocks/>
        </xdr:cNvGrpSpPr>
      </xdr:nvGrpSpPr>
      <xdr:grpSpPr bwMode="auto">
        <a:xfrm>
          <a:off x="3638550" y="5457825"/>
          <a:ext cx="1000125" cy="1009650"/>
          <a:chOff x="336" y="565"/>
          <a:chExt cx="105" cy="106"/>
        </a:xfrm>
      </xdr:grpSpPr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DE293826-1D02-454D-9843-C0FE2FCAA0A5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73" name="Line 50">
              <a:extLst>
                <a:ext uri="{FF2B5EF4-FFF2-40B4-BE49-F238E27FC236}">
                  <a16:creationId xmlns:a16="http://schemas.microsoft.com/office/drawing/2014/main" id="{73E071DC-6D36-485E-9138-B13F180B3A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4" name="Freeform 51">
              <a:extLst>
                <a:ext uri="{FF2B5EF4-FFF2-40B4-BE49-F238E27FC236}">
                  <a16:creationId xmlns:a16="http://schemas.microsoft.com/office/drawing/2014/main" id="{788BE0C0-E9F1-4ED1-BE51-191E5521E2B7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5" name="Freeform 52">
              <a:extLst>
                <a:ext uri="{FF2B5EF4-FFF2-40B4-BE49-F238E27FC236}">
                  <a16:creationId xmlns:a16="http://schemas.microsoft.com/office/drawing/2014/main" id="{E24B4C85-C83A-421A-9093-FE11A894AFB0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1" name="Group 53">
            <a:extLst>
              <a:ext uri="{FF2B5EF4-FFF2-40B4-BE49-F238E27FC236}">
                <a16:creationId xmlns:a16="http://schemas.microsoft.com/office/drawing/2014/main" id="{787017C9-230B-4878-9455-51EE8B5BCCA6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65" name="Line 54">
              <a:extLst>
                <a:ext uri="{FF2B5EF4-FFF2-40B4-BE49-F238E27FC236}">
                  <a16:creationId xmlns:a16="http://schemas.microsoft.com/office/drawing/2014/main" id="{223F8239-58B8-4464-9627-B75E0B5571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Freeform 55">
              <a:extLst>
                <a:ext uri="{FF2B5EF4-FFF2-40B4-BE49-F238E27FC236}">
                  <a16:creationId xmlns:a16="http://schemas.microsoft.com/office/drawing/2014/main" id="{CFD94981-A38B-445E-903C-964238014508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7" name="Freeform 56">
              <a:extLst>
                <a:ext uri="{FF2B5EF4-FFF2-40B4-BE49-F238E27FC236}">
                  <a16:creationId xmlns:a16="http://schemas.microsoft.com/office/drawing/2014/main" id="{9F9E4993-DC1D-4A1B-9FEB-28AB5DADB8AE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8" name="Line 57">
              <a:extLst>
                <a:ext uri="{FF2B5EF4-FFF2-40B4-BE49-F238E27FC236}">
                  <a16:creationId xmlns:a16="http://schemas.microsoft.com/office/drawing/2014/main" id="{D22ED6AD-1FDE-4AB3-9D86-356C6880726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9" name="Freeform 58">
              <a:extLst>
                <a:ext uri="{FF2B5EF4-FFF2-40B4-BE49-F238E27FC236}">
                  <a16:creationId xmlns:a16="http://schemas.microsoft.com/office/drawing/2014/main" id="{5055856D-FCF5-4F0B-A54B-FAD1075DBD7A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0" name="Freeform 59">
              <a:extLst>
                <a:ext uri="{FF2B5EF4-FFF2-40B4-BE49-F238E27FC236}">
                  <a16:creationId xmlns:a16="http://schemas.microsoft.com/office/drawing/2014/main" id="{561E2E76-1C35-4721-BEB0-34C3A15FBF0F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1" name="Line 60">
              <a:extLst>
                <a:ext uri="{FF2B5EF4-FFF2-40B4-BE49-F238E27FC236}">
                  <a16:creationId xmlns:a16="http://schemas.microsoft.com/office/drawing/2014/main" id="{97C60305-6C35-4600-918F-BA811DABF1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2" name="Freeform 61">
              <a:extLst>
                <a:ext uri="{FF2B5EF4-FFF2-40B4-BE49-F238E27FC236}">
                  <a16:creationId xmlns:a16="http://schemas.microsoft.com/office/drawing/2014/main" id="{17F05AEB-5C2F-4060-8D1D-40024D6CB98A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" name="Group 62">
            <a:extLst>
              <a:ext uri="{FF2B5EF4-FFF2-40B4-BE49-F238E27FC236}">
                <a16:creationId xmlns:a16="http://schemas.microsoft.com/office/drawing/2014/main" id="{0C93C6E0-C2E9-4378-848B-A2AC1A4A5B15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62" name="Line 63">
              <a:extLst>
                <a:ext uri="{FF2B5EF4-FFF2-40B4-BE49-F238E27FC236}">
                  <a16:creationId xmlns:a16="http://schemas.microsoft.com/office/drawing/2014/main" id="{60574C24-4DFE-447E-B91C-7BA7C417FFF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3" name="Freeform 64">
              <a:extLst>
                <a:ext uri="{FF2B5EF4-FFF2-40B4-BE49-F238E27FC236}">
                  <a16:creationId xmlns:a16="http://schemas.microsoft.com/office/drawing/2014/main" id="{7535165A-577C-4983-8B39-EC50733E7750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4" name="Freeform 65">
              <a:extLst>
                <a:ext uri="{FF2B5EF4-FFF2-40B4-BE49-F238E27FC236}">
                  <a16:creationId xmlns:a16="http://schemas.microsoft.com/office/drawing/2014/main" id="{B318E82F-524F-4CF8-A9FC-35B5F472EB8C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" name="Group 66">
            <a:extLst>
              <a:ext uri="{FF2B5EF4-FFF2-40B4-BE49-F238E27FC236}">
                <a16:creationId xmlns:a16="http://schemas.microsoft.com/office/drawing/2014/main" id="{26DC44BE-FFE2-41C9-ABB9-EAF11C438EC7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54" name="Line 67">
              <a:extLst>
                <a:ext uri="{FF2B5EF4-FFF2-40B4-BE49-F238E27FC236}">
                  <a16:creationId xmlns:a16="http://schemas.microsoft.com/office/drawing/2014/main" id="{75E6984E-9360-4EB4-AA51-FFCB8DFB53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" name="Freeform 68">
              <a:extLst>
                <a:ext uri="{FF2B5EF4-FFF2-40B4-BE49-F238E27FC236}">
                  <a16:creationId xmlns:a16="http://schemas.microsoft.com/office/drawing/2014/main" id="{A410160C-68C3-4BE9-AE9F-50948BD277D6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" name="Freeform 69">
              <a:extLst>
                <a:ext uri="{FF2B5EF4-FFF2-40B4-BE49-F238E27FC236}">
                  <a16:creationId xmlns:a16="http://schemas.microsoft.com/office/drawing/2014/main" id="{DAED9121-EFC3-4EDF-9C71-C71AC4ED7121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" name="Line 70">
              <a:extLst>
                <a:ext uri="{FF2B5EF4-FFF2-40B4-BE49-F238E27FC236}">
                  <a16:creationId xmlns:a16="http://schemas.microsoft.com/office/drawing/2014/main" id="{B12855CA-9093-4683-B512-409D9CDBB9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" name="Freeform 71">
              <a:extLst>
                <a:ext uri="{FF2B5EF4-FFF2-40B4-BE49-F238E27FC236}">
                  <a16:creationId xmlns:a16="http://schemas.microsoft.com/office/drawing/2014/main" id="{6C48D4AB-0B92-4C05-990B-BE4A59BE6551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" name="Freeform 72">
              <a:extLst>
                <a:ext uri="{FF2B5EF4-FFF2-40B4-BE49-F238E27FC236}">
                  <a16:creationId xmlns:a16="http://schemas.microsoft.com/office/drawing/2014/main" id="{18930C11-9264-496B-871E-BD1ED8F863A5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" name="Line 73">
              <a:extLst>
                <a:ext uri="{FF2B5EF4-FFF2-40B4-BE49-F238E27FC236}">
                  <a16:creationId xmlns:a16="http://schemas.microsoft.com/office/drawing/2014/main" id="{A32CCEF6-3DCA-4811-8CFD-2E64CA0B1F8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" name="Freeform 74">
              <a:extLst>
                <a:ext uri="{FF2B5EF4-FFF2-40B4-BE49-F238E27FC236}">
                  <a16:creationId xmlns:a16="http://schemas.microsoft.com/office/drawing/2014/main" id="{9F793BD2-03EB-4669-A2BB-1662D21611B2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17</xdr:row>
      <xdr:rowOff>457200</xdr:rowOff>
    </xdr:from>
    <xdr:to>
      <xdr:col>17</xdr:col>
      <xdr:colOff>66675</xdr:colOff>
      <xdr:row>17</xdr:row>
      <xdr:rowOff>1095375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71708DB8-E0F5-404A-B053-90F882E5A345}"/>
            </a:ext>
          </a:extLst>
        </xdr:cNvPr>
        <xdr:cNvGrpSpPr>
          <a:grpSpLocks/>
        </xdr:cNvGrpSpPr>
      </xdr:nvGrpSpPr>
      <xdr:grpSpPr bwMode="auto">
        <a:xfrm>
          <a:off x="5019675" y="5648325"/>
          <a:ext cx="447675" cy="638175"/>
          <a:chOff x="481" y="585"/>
          <a:chExt cx="47" cy="67"/>
        </a:xfrm>
      </xdr:grpSpPr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6BE878B6-3804-4F4F-A5F7-42299EDF0C31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83" name="Freeform 77">
              <a:extLst>
                <a:ext uri="{FF2B5EF4-FFF2-40B4-BE49-F238E27FC236}">
                  <a16:creationId xmlns:a16="http://schemas.microsoft.com/office/drawing/2014/main" id="{9258F966-6488-46E4-BFAF-5F88D3513470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4" name="Line 78">
              <a:extLst>
                <a:ext uri="{FF2B5EF4-FFF2-40B4-BE49-F238E27FC236}">
                  <a16:creationId xmlns:a16="http://schemas.microsoft.com/office/drawing/2014/main" id="{1B44388C-FB76-44A6-8DB3-E28D64316B37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5" name="Freeform 79">
              <a:extLst>
                <a:ext uri="{FF2B5EF4-FFF2-40B4-BE49-F238E27FC236}">
                  <a16:creationId xmlns:a16="http://schemas.microsoft.com/office/drawing/2014/main" id="{C0BECAB7-68A5-4CBB-A0AD-0797AC5FF3C4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6" name="Line 80">
              <a:extLst>
                <a:ext uri="{FF2B5EF4-FFF2-40B4-BE49-F238E27FC236}">
                  <a16:creationId xmlns:a16="http://schemas.microsoft.com/office/drawing/2014/main" id="{A54B5D79-57CB-4421-BE25-101AA76BB6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8" name="Group 81">
            <a:extLst>
              <a:ext uri="{FF2B5EF4-FFF2-40B4-BE49-F238E27FC236}">
                <a16:creationId xmlns:a16="http://schemas.microsoft.com/office/drawing/2014/main" id="{158A0ED7-72D1-4E7D-B736-3B03DD146BA4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79" name="Freeform 82">
              <a:extLst>
                <a:ext uri="{FF2B5EF4-FFF2-40B4-BE49-F238E27FC236}">
                  <a16:creationId xmlns:a16="http://schemas.microsoft.com/office/drawing/2014/main" id="{90FA1467-2741-4592-A232-194DF6FC6722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71" y="620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0" name="Line 83">
              <a:extLst>
                <a:ext uri="{FF2B5EF4-FFF2-40B4-BE49-F238E27FC236}">
                  <a16:creationId xmlns:a16="http://schemas.microsoft.com/office/drawing/2014/main" id="{30EA5AD7-8563-4DAC-BC41-009358842031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Freeform 84">
              <a:extLst>
                <a:ext uri="{FF2B5EF4-FFF2-40B4-BE49-F238E27FC236}">
                  <a16:creationId xmlns:a16="http://schemas.microsoft.com/office/drawing/2014/main" id="{F3B6C839-4D3E-4FD2-920E-DF2D481FE3D4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81" y="617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2" name="Line 85">
              <a:extLst>
                <a:ext uri="{FF2B5EF4-FFF2-40B4-BE49-F238E27FC236}">
                  <a16:creationId xmlns:a16="http://schemas.microsoft.com/office/drawing/2014/main" id="{E6BBAB37-2FDE-45A7-AE25-BBA4C0E4E656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22</xdr:row>
      <xdr:rowOff>47625</xdr:rowOff>
    </xdr:from>
    <xdr:to>
      <xdr:col>14</xdr:col>
      <xdr:colOff>304800</xdr:colOff>
      <xdr:row>22</xdr:row>
      <xdr:rowOff>190500</xdr:rowOff>
    </xdr:to>
    <xdr:sp macro="" textlink="">
      <xdr:nvSpPr>
        <xdr:cNvPr id="87" name="Freeform 86">
          <a:extLst>
            <a:ext uri="{FF2B5EF4-FFF2-40B4-BE49-F238E27FC236}">
              <a16:creationId xmlns:a16="http://schemas.microsoft.com/office/drawing/2014/main" id="{23CF93D3-7830-41CD-B564-A9BB0264FA6A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21</xdr:row>
      <xdr:rowOff>38100</xdr:rowOff>
    </xdr:from>
    <xdr:to>
      <xdr:col>12</xdr:col>
      <xdr:colOff>266700</xdr:colOff>
      <xdr:row>21</xdr:row>
      <xdr:rowOff>190500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384F734D-2D6C-4FB4-9F88-91ED9733C4CB}"/>
            </a:ext>
          </a:extLst>
        </xdr:cNvPr>
        <xdr:cNvGrpSpPr>
          <a:grpSpLocks/>
        </xdr:cNvGrpSpPr>
      </xdr:nvGrpSpPr>
      <xdr:grpSpPr bwMode="auto">
        <a:xfrm>
          <a:off x="3876675" y="7496175"/>
          <a:ext cx="219075" cy="152400"/>
          <a:chOff x="132" y="708"/>
          <a:chExt cx="20" cy="14"/>
        </a:xfrm>
      </xdr:grpSpPr>
      <xdr:sp macro="" textlink="">
        <xdr:nvSpPr>
          <xdr:cNvPr id="89" name="Line 88">
            <a:extLst>
              <a:ext uri="{FF2B5EF4-FFF2-40B4-BE49-F238E27FC236}">
                <a16:creationId xmlns:a16="http://schemas.microsoft.com/office/drawing/2014/main" id="{FEBDF6AD-06D6-4F4E-9FB9-840CBD64F6D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89">
            <a:extLst>
              <a:ext uri="{FF2B5EF4-FFF2-40B4-BE49-F238E27FC236}">
                <a16:creationId xmlns:a16="http://schemas.microsoft.com/office/drawing/2014/main" id="{DCF456C3-4F0E-4AF3-98BD-AA518FD46D7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90">
            <a:extLst>
              <a:ext uri="{FF2B5EF4-FFF2-40B4-BE49-F238E27FC236}">
                <a16:creationId xmlns:a16="http://schemas.microsoft.com/office/drawing/2014/main" id="{D9298D94-A522-44C5-A346-680E8724436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91">
            <a:extLst>
              <a:ext uri="{FF2B5EF4-FFF2-40B4-BE49-F238E27FC236}">
                <a16:creationId xmlns:a16="http://schemas.microsoft.com/office/drawing/2014/main" id="{DB7B4AD9-5EA9-4866-B6A7-8D330288A4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7D02FFAF-3CE5-4F1F-B5C2-CC9721DFFC7A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1571625" cy="47625"/>
          <a:chOff x="158" y="715"/>
          <a:chExt cx="33" cy="5"/>
        </a:xfrm>
      </xdr:grpSpPr>
      <xdr:sp macro="" textlink="">
        <xdr:nvSpPr>
          <xdr:cNvPr id="94" name="Line 93">
            <a:extLst>
              <a:ext uri="{FF2B5EF4-FFF2-40B4-BE49-F238E27FC236}">
                <a16:creationId xmlns:a16="http://schemas.microsoft.com/office/drawing/2014/main" id="{1DE91595-BB59-4DFA-81E9-BE4A8F8D6ED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94">
            <a:extLst>
              <a:ext uri="{FF2B5EF4-FFF2-40B4-BE49-F238E27FC236}">
                <a16:creationId xmlns:a16="http://schemas.microsoft.com/office/drawing/2014/main" id="{6309A4DE-9770-44C9-8C08-09B95453DB4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22</xdr:row>
      <xdr:rowOff>104775</xdr:rowOff>
    </xdr:from>
    <xdr:to>
      <xdr:col>18</xdr:col>
      <xdr:colOff>0</xdr:colOff>
      <xdr:row>22</xdr:row>
      <xdr:rowOff>152400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223C29F-5E20-4C30-BA5C-F2FD03A6AF00}"/>
            </a:ext>
          </a:extLst>
        </xdr:cNvPr>
        <xdr:cNvGrpSpPr>
          <a:grpSpLocks/>
        </xdr:cNvGrpSpPr>
      </xdr:nvGrpSpPr>
      <xdr:grpSpPr bwMode="auto">
        <a:xfrm>
          <a:off x="5400675" y="7791450"/>
          <a:ext cx="314325" cy="47625"/>
          <a:chOff x="158" y="715"/>
          <a:chExt cx="33" cy="5"/>
        </a:xfrm>
      </xdr:grpSpPr>
      <xdr:sp macro="" textlink="">
        <xdr:nvSpPr>
          <xdr:cNvPr id="97" name="Line 96">
            <a:extLst>
              <a:ext uri="{FF2B5EF4-FFF2-40B4-BE49-F238E27FC236}">
                <a16:creationId xmlns:a16="http://schemas.microsoft.com/office/drawing/2014/main" id="{438909EA-878C-4F2E-989F-5DA139392B4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97">
            <a:extLst>
              <a:ext uri="{FF2B5EF4-FFF2-40B4-BE49-F238E27FC236}">
                <a16:creationId xmlns:a16="http://schemas.microsoft.com/office/drawing/2014/main" id="{849CD5F5-57B8-4BF1-9946-39E6113342B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22</xdr:row>
      <xdr:rowOff>47625</xdr:rowOff>
    </xdr:from>
    <xdr:to>
      <xdr:col>17</xdr:col>
      <xdr:colOff>0</xdr:colOff>
      <xdr:row>22</xdr:row>
      <xdr:rowOff>190500</xdr:rowOff>
    </xdr:to>
    <xdr:sp macro="" textlink="">
      <xdr:nvSpPr>
        <xdr:cNvPr id="99" name="Freeform 98">
          <a:extLst>
            <a:ext uri="{FF2B5EF4-FFF2-40B4-BE49-F238E27FC236}">
              <a16:creationId xmlns:a16="http://schemas.microsoft.com/office/drawing/2014/main" id="{C7129723-8C84-4C2A-A9C1-7D8986830C77}"/>
            </a:ext>
          </a:extLst>
        </xdr:cNvPr>
        <xdr:cNvSpPr>
          <a:spLocks/>
        </xdr:cNvSpPr>
      </xdr:nvSpPr>
      <xdr:spPr bwMode="auto">
        <a:xfrm>
          <a:off x="4657725" y="76581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22</xdr:row>
      <xdr:rowOff>104775</xdr:rowOff>
    </xdr:from>
    <xdr:to>
      <xdr:col>16</xdr:col>
      <xdr:colOff>0</xdr:colOff>
      <xdr:row>22</xdr:row>
      <xdr:rowOff>152400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44D1A9F6-3F4E-47DD-8142-3AE6847EE9EF}"/>
            </a:ext>
          </a:extLst>
        </xdr:cNvPr>
        <xdr:cNvGrpSpPr>
          <a:grpSpLocks/>
        </xdr:cNvGrpSpPr>
      </xdr:nvGrpSpPr>
      <xdr:grpSpPr bwMode="auto">
        <a:xfrm>
          <a:off x="4772025" y="7791450"/>
          <a:ext cx="314325" cy="47625"/>
          <a:chOff x="158" y="715"/>
          <a:chExt cx="33" cy="5"/>
        </a:xfrm>
      </xdr:grpSpPr>
      <xdr:sp macro="" textlink="">
        <xdr:nvSpPr>
          <xdr:cNvPr id="101" name="Line 100">
            <a:extLst>
              <a:ext uri="{FF2B5EF4-FFF2-40B4-BE49-F238E27FC236}">
                <a16:creationId xmlns:a16="http://schemas.microsoft.com/office/drawing/2014/main" id="{3119BFA7-BAAD-4B28-A44A-2654C885AC7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01">
            <a:extLst>
              <a:ext uri="{FF2B5EF4-FFF2-40B4-BE49-F238E27FC236}">
                <a16:creationId xmlns:a16="http://schemas.microsoft.com/office/drawing/2014/main" id="{785C478D-06E0-4A90-832A-243D4B469DA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21</xdr:row>
      <xdr:rowOff>95250</xdr:rowOff>
    </xdr:from>
    <xdr:to>
      <xdr:col>11</xdr:col>
      <xdr:colOff>0</xdr:colOff>
      <xdr:row>21</xdr:row>
      <xdr:rowOff>142875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E51DCEC4-E3BF-4E63-A764-1F46F86998A8}"/>
            </a:ext>
          </a:extLst>
        </xdr:cNvPr>
        <xdr:cNvGrpSpPr>
          <a:grpSpLocks/>
        </xdr:cNvGrpSpPr>
      </xdr:nvGrpSpPr>
      <xdr:grpSpPr bwMode="auto">
        <a:xfrm>
          <a:off x="1343025" y="7553325"/>
          <a:ext cx="2171700" cy="47625"/>
          <a:chOff x="158" y="715"/>
          <a:chExt cx="33" cy="5"/>
        </a:xfrm>
      </xdr:grpSpPr>
      <xdr:sp macro="" textlink="">
        <xdr:nvSpPr>
          <xdr:cNvPr id="104" name="Line 103">
            <a:extLst>
              <a:ext uri="{FF2B5EF4-FFF2-40B4-BE49-F238E27FC236}">
                <a16:creationId xmlns:a16="http://schemas.microsoft.com/office/drawing/2014/main" id="{9EA8FB00-7364-4CCE-9BC4-8205118A4D3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04">
            <a:extLst>
              <a:ext uri="{FF2B5EF4-FFF2-40B4-BE49-F238E27FC236}">
                <a16:creationId xmlns:a16="http://schemas.microsoft.com/office/drawing/2014/main" id="{394E0D11-7F59-4FB3-8C01-83DE539EB8E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106" name="Line 105">
          <a:extLst>
            <a:ext uri="{FF2B5EF4-FFF2-40B4-BE49-F238E27FC236}">
              <a16:creationId xmlns:a16="http://schemas.microsoft.com/office/drawing/2014/main" id="{FB1122E5-832F-4780-A95B-5404C5863A29}"/>
            </a:ext>
          </a:extLst>
        </xdr:cNvPr>
        <xdr:cNvSpPr>
          <a:spLocks noChangeShapeType="1"/>
        </xdr:cNvSpPr>
      </xdr:nvSpPr>
      <xdr:spPr bwMode="auto">
        <a:xfrm>
          <a:off x="307657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22</xdr:row>
      <xdr:rowOff>114300</xdr:rowOff>
    </xdr:from>
    <xdr:to>
      <xdr:col>14</xdr:col>
      <xdr:colOff>0</xdr:colOff>
      <xdr:row>22</xdr:row>
      <xdr:rowOff>114300</xdr:rowOff>
    </xdr:to>
    <xdr:sp macro="" textlink="">
      <xdr:nvSpPr>
        <xdr:cNvPr id="107" name="Line 106">
          <a:extLst>
            <a:ext uri="{FF2B5EF4-FFF2-40B4-BE49-F238E27FC236}">
              <a16:creationId xmlns:a16="http://schemas.microsoft.com/office/drawing/2014/main" id="{F8332806-462F-4AB1-AD4C-641E707B17F9}"/>
            </a:ext>
          </a:extLst>
        </xdr:cNvPr>
        <xdr:cNvSpPr>
          <a:spLocks noChangeShapeType="1"/>
        </xdr:cNvSpPr>
      </xdr:nvSpPr>
      <xdr:spPr bwMode="auto">
        <a:xfrm>
          <a:off x="30765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22</xdr:row>
      <xdr:rowOff>95250</xdr:rowOff>
    </xdr:from>
    <xdr:to>
      <xdr:col>11</xdr:col>
      <xdr:colOff>0</xdr:colOff>
      <xdr:row>22</xdr:row>
      <xdr:rowOff>142875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C9B12E4-E917-48A5-A304-DD6FA3DE9779}"/>
            </a:ext>
          </a:extLst>
        </xdr:cNvPr>
        <xdr:cNvGrpSpPr>
          <a:grpSpLocks/>
        </xdr:cNvGrpSpPr>
      </xdr:nvGrpSpPr>
      <xdr:grpSpPr bwMode="auto">
        <a:xfrm>
          <a:off x="1333500" y="7781925"/>
          <a:ext cx="2181225" cy="47625"/>
          <a:chOff x="158" y="715"/>
          <a:chExt cx="33" cy="5"/>
        </a:xfrm>
      </xdr:grpSpPr>
      <xdr:sp macro="" textlink="">
        <xdr:nvSpPr>
          <xdr:cNvPr id="109" name="Line 108">
            <a:extLst>
              <a:ext uri="{FF2B5EF4-FFF2-40B4-BE49-F238E27FC236}">
                <a16:creationId xmlns:a16="http://schemas.microsoft.com/office/drawing/2014/main" id="{C6C077F4-82EF-45A8-90C3-C29E9D200CA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09">
            <a:extLst>
              <a:ext uri="{FF2B5EF4-FFF2-40B4-BE49-F238E27FC236}">
                <a16:creationId xmlns:a16="http://schemas.microsoft.com/office/drawing/2014/main" id="{765157E5-71D3-432B-9D4A-709755AB409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209550</xdr:colOff>
      <xdr:row>17</xdr:row>
      <xdr:rowOff>609600</xdr:rowOff>
    </xdr:from>
    <xdr:to>
      <xdr:col>9</xdr:col>
      <xdr:colOff>161925</xdr:colOff>
      <xdr:row>17</xdr:row>
      <xdr:rowOff>762000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468ACB2D-773B-4299-82A6-B40F072A8999}"/>
            </a:ext>
          </a:extLst>
        </xdr:cNvPr>
        <xdr:cNvGrpSpPr>
          <a:grpSpLocks/>
        </xdr:cNvGrpSpPr>
      </xdr:nvGrpSpPr>
      <xdr:grpSpPr bwMode="auto">
        <a:xfrm>
          <a:off x="2781300" y="5800725"/>
          <a:ext cx="266700" cy="152400"/>
          <a:chOff x="248" y="601"/>
          <a:chExt cx="28" cy="16"/>
        </a:xfrm>
      </xdr:grpSpPr>
      <xdr:sp macro="" textlink="">
        <xdr:nvSpPr>
          <xdr:cNvPr id="114" name="Line 113">
            <a:extLst>
              <a:ext uri="{FF2B5EF4-FFF2-40B4-BE49-F238E27FC236}">
                <a16:creationId xmlns:a16="http://schemas.microsoft.com/office/drawing/2014/main" id="{311ED921-FFA3-4426-AB63-6A126AFD744A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114">
            <a:extLst>
              <a:ext uri="{FF2B5EF4-FFF2-40B4-BE49-F238E27FC236}">
                <a16:creationId xmlns:a16="http://schemas.microsoft.com/office/drawing/2014/main" id="{386219CF-582A-40B7-AF86-6A98D0583ED2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115">
            <a:extLst>
              <a:ext uri="{FF2B5EF4-FFF2-40B4-BE49-F238E27FC236}">
                <a16:creationId xmlns:a16="http://schemas.microsoft.com/office/drawing/2014/main" id="{54640AFE-D1A2-4038-8253-8F52DECC6CBE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116">
            <a:extLst>
              <a:ext uri="{FF2B5EF4-FFF2-40B4-BE49-F238E27FC236}">
                <a16:creationId xmlns:a16="http://schemas.microsoft.com/office/drawing/2014/main" id="{B3AB041F-9511-475F-88D4-2F1408171B10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17</xdr:row>
      <xdr:rowOff>885825</xdr:rowOff>
    </xdr:from>
    <xdr:to>
      <xdr:col>10</xdr:col>
      <xdr:colOff>180975</xdr:colOff>
      <xdr:row>17</xdr:row>
      <xdr:rowOff>1038225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4C39F504-4A43-4616-9D36-1724FDDF6503}"/>
            </a:ext>
          </a:extLst>
        </xdr:cNvPr>
        <xdr:cNvGrpSpPr>
          <a:grpSpLocks/>
        </xdr:cNvGrpSpPr>
      </xdr:nvGrpSpPr>
      <xdr:grpSpPr bwMode="auto">
        <a:xfrm rot="-10800000">
          <a:off x="3114675" y="6076950"/>
          <a:ext cx="266700" cy="152400"/>
          <a:chOff x="248" y="601"/>
          <a:chExt cx="28" cy="16"/>
        </a:xfrm>
      </xdr:grpSpPr>
      <xdr:sp macro="" textlink="">
        <xdr:nvSpPr>
          <xdr:cNvPr id="119" name="Line 118">
            <a:extLst>
              <a:ext uri="{FF2B5EF4-FFF2-40B4-BE49-F238E27FC236}">
                <a16:creationId xmlns:a16="http://schemas.microsoft.com/office/drawing/2014/main" id="{0D834584-4579-4A31-9151-196BE347E0D6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119">
            <a:extLst>
              <a:ext uri="{FF2B5EF4-FFF2-40B4-BE49-F238E27FC236}">
                <a16:creationId xmlns:a16="http://schemas.microsoft.com/office/drawing/2014/main" id="{0A2C2A5C-7E8A-43FE-91B9-A5BDE9AB8D7F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120">
            <a:extLst>
              <a:ext uri="{FF2B5EF4-FFF2-40B4-BE49-F238E27FC236}">
                <a16:creationId xmlns:a16="http://schemas.microsoft.com/office/drawing/2014/main" id="{E54988F5-F9D1-4D64-A889-14378CEC3FF6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Freeform 121">
            <a:extLst>
              <a:ext uri="{FF2B5EF4-FFF2-40B4-BE49-F238E27FC236}">
                <a16:creationId xmlns:a16="http://schemas.microsoft.com/office/drawing/2014/main" id="{04E08A88-92E1-4D15-93A4-7159E94BADBC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20</xdr:row>
      <xdr:rowOff>38100</xdr:rowOff>
    </xdr:from>
    <xdr:to>
      <xdr:col>8</xdr:col>
      <xdr:colOff>295275</xdr:colOff>
      <xdr:row>20</xdr:row>
      <xdr:rowOff>209550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23A9BCCA-96CC-4F30-A3FF-8D5822200B1B}"/>
            </a:ext>
          </a:extLst>
        </xdr:cNvPr>
        <xdr:cNvGrpSpPr>
          <a:grpSpLocks/>
        </xdr:cNvGrpSpPr>
      </xdr:nvGrpSpPr>
      <xdr:grpSpPr bwMode="auto">
        <a:xfrm>
          <a:off x="2590800" y="7267575"/>
          <a:ext cx="276225" cy="171450"/>
          <a:chOff x="226" y="755"/>
          <a:chExt cx="29" cy="18"/>
        </a:xfrm>
      </xdr:grpSpPr>
      <xdr:sp macro="" textlink="">
        <xdr:nvSpPr>
          <xdr:cNvPr id="124" name="Oval 123">
            <a:extLst>
              <a:ext uri="{FF2B5EF4-FFF2-40B4-BE49-F238E27FC236}">
                <a16:creationId xmlns:a16="http://schemas.microsoft.com/office/drawing/2014/main" id="{14933DE6-0A45-4B4F-87DC-42A7A48C3154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124">
            <a:extLst>
              <a:ext uri="{FF2B5EF4-FFF2-40B4-BE49-F238E27FC236}">
                <a16:creationId xmlns:a16="http://schemas.microsoft.com/office/drawing/2014/main" id="{74C01EE8-9D93-4FD8-B340-E457B62BCF6C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125">
            <a:extLst>
              <a:ext uri="{FF2B5EF4-FFF2-40B4-BE49-F238E27FC236}">
                <a16:creationId xmlns:a16="http://schemas.microsoft.com/office/drawing/2014/main" id="{21639306-31DE-46B4-93AE-3BD9AE1FFEF3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23</xdr:row>
      <xdr:rowOff>38100</xdr:rowOff>
    </xdr:from>
    <xdr:to>
      <xdr:col>15</xdr:col>
      <xdr:colOff>295275</xdr:colOff>
      <xdr:row>23</xdr:row>
      <xdr:rowOff>209550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26709237-F840-4F11-8926-C1A2F210F7F8}"/>
            </a:ext>
          </a:extLst>
        </xdr:cNvPr>
        <xdr:cNvGrpSpPr>
          <a:grpSpLocks/>
        </xdr:cNvGrpSpPr>
      </xdr:nvGrpSpPr>
      <xdr:grpSpPr bwMode="auto">
        <a:xfrm>
          <a:off x="4791075" y="7953375"/>
          <a:ext cx="276225" cy="171450"/>
          <a:chOff x="226" y="755"/>
          <a:chExt cx="29" cy="18"/>
        </a:xfrm>
      </xdr:grpSpPr>
      <xdr:sp macro="" textlink="">
        <xdr:nvSpPr>
          <xdr:cNvPr id="128" name="Oval 127">
            <a:extLst>
              <a:ext uri="{FF2B5EF4-FFF2-40B4-BE49-F238E27FC236}">
                <a16:creationId xmlns:a16="http://schemas.microsoft.com/office/drawing/2014/main" id="{902CA725-4133-4DD7-9A5D-3FC70F0A81D9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9" name="Line 128">
            <a:extLst>
              <a:ext uri="{FF2B5EF4-FFF2-40B4-BE49-F238E27FC236}">
                <a16:creationId xmlns:a16="http://schemas.microsoft.com/office/drawing/2014/main" id="{8EA812B2-F31E-4491-A334-6FD8A124B15C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Freeform 129">
            <a:extLst>
              <a:ext uri="{FF2B5EF4-FFF2-40B4-BE49-F238E27FC236}">
                <a16:creationId xmlns:a16="http://schemas.microsoft.com/office/drawing/2014/main" id="{1E5A5C4A-76BB-4ACA-9257-10240BDFAF42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47625</xdr:colOff>
      <xdr:row>11</xdr:row>
      <xdr:rowOff>104775</xdr:rowOff>
    </xdr:from>
    <xdr:ext cx="844265" cy="786557"/>
    <xdr:sp macro="" textlink="">
      <xdr:nvSpPr>
        <xdr:cNvPr id="132" name="Text Box 131">
          <a:extLst>
            <a:ext uri="{FF2B5EF4-FFF2-40B4-BE49-F238E27FC236}">
              <a16:creationId xmlns:a16="http://schemas.microsoft.com/office/drawing/2014/main" id="{EA842CCD-7343-468A-8B5B-2F49D96E9FCB}"/>
            </a:ext>
          </a:extLst>
        </xdr:cNvPr>
        <xdr:cNvSpPr txBox="1">
          <a:spLocks noChangeArrowheads="1"/>
        </xdr:cNvSpPr>
      </xdr:nvSpPr>
      <xdr:spPr bwMode="auto">
        <a:xfrm>
          <a:off x="47625" y="3924300"/>
          <a:ext cx="844265" cy="7865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高齢者感応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5</xdr:col>
      <xdr:colOff>152400</xdr:colOff>
      <xdr:row>17</xdr:row>
      <xdr:rowOff>142875</xdr:rowOff>
    </xdr:from>
    <xdr:ext cx="361244" cy="150041"/>
    <xdr:sp macro="" textlink="">
      <xdr:nvSpPr>
        <xdr:cNvPr id="133" name="Text Box 132">
          <a:extLst>
            <a:ext uri="{FF2B5EF4-FFF2-40B4-BE49-F238E27FC236}">
              <a16:creationId xmlns:a16="http://schemas.microsoft.com/office/drawing/2014/main" id="{D939067A-0DDA-46C1-BD2E-0DCE3B1C10AA}"/>
            </a:ext>
          </a:extLst>
        </xdr:cNvPr>
        <xdr:cNvSpPr txBox="1">
          <a:spLocks noChangeArrowheads="1"/>
        </xdr:cNvSpPr>
      </xdr:nvSpPr>
      <xdr:spPr bwMode="auto">
        <a:xfrm>
          <a:off x="1781175" y="53340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13</xdr:col>
      <xdr:colOff>209550</xdr:colOff>
      <xdr:row>17</xdr:row>
      <xdr:rowOff>1304925</xdr:rowOff>
    </xdr:from>
    <xdr:ext cx="361244" cy="150041"/>
    <xdr:sp macro="" textlink="">
      <xdr:nvSpPr>
        <xdr:cNvPr id="134" name="Text Box 133">
          <a:extLst>
            <a:ext uri="{FF2B5EF4-FFF2-40B4-BE49-F238E27FC236}">
              <a16:creationId xmlns:a16="http://schemas.microsoft.com/office/drawing/2014/main" id="{45CEB1FB-9C72-4CA9-8962-591BCAAB562D}"/>
            </a:ext>
          </a:extLst>
        </xdr:cNvPr>
        <xdr:cNvSpPr txBox="1">
          <a:spLocks noChangeArrowheads="1"/>
        </xdr:cNvSpPr>
      </xdr:nvSpPr>
      <xdr:spPr bwMode="auto">
        <a:xfrm>
          <a:off x="4352925" y="64960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11</xdr:col>
      <xdr:colOff>9525</xdr:colOff>
      <xdr:row>17</xdr:row>
      <xdr:rowOff>190500</xdr:rowOff>
    </xdr:from>
    <xdr:ext cx="361244" cy="150041"/>
    <xdr:sp macro="" textlink="">
      <xdr:nvSpPr>
        <xdr:cNvPr id="137" name="Text Box 136">
          <a:extLst>
            <a:ext uri="{FF2B5EF4-FFF2-40B4-BE49-F238E27FC236}">
              <a16:creationId xmlns:a16="http://schemas.microsoft.com/office/drawing/2014/main" id="{218C8077-ECB2-4C11-9B64-3AA735CADA3A}"/>
            </a:ext>
          </a:extLst>
        </xdr:cNvPr>
        <xdr:cNvSpPr txBox="1">
          <a:spLocks noChangeArrowheads="1"/>
        </xdr:cNvSpPr>
      </xdr:nvSpPr>
      <xdr:spPr bwMode="auto">
        <a:xfrm>
          <a:off x="3524250" y="53816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266700</xdr:colOff>
      <xdr:row>17</xdr:row>
      <xdr:rowOff>38100</xdr:rowOff>
    </xdr:from>
    <xdr:ext cx="361244" cy="150041"/>
    <xdr:sp macro="" textlink="">
      <xdr:nvSpPr>
        <xdr:cNvPr id="138" name="Text Box 137">
          <a:extLst>
            <a:ext uri="{FF2B5EF4-FFF2-40B4-BE49-F238E27FC236}">
              <a16:creationId xmlns:a16="http://schemas.microsoft.com/office/drawing/2014/main" id="{A2336587-C906-42FA-AC09-C1DDE48A6FB7}"/>
            </a:ext>
          </a:extLst>
        </xdr:cNvPr>
        <xdr:cNvSpPr txBox="1">
          <a:spLocks noChangeArrowheads="1"/>
        </xdr:cNvSpPr>
      </xdr:nvSpPr>
      <xdr:spPr bwMode="auto">
        <a:xfrm>
          <a:off x="2209800" y="52292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266700</xdr:colOff>
      <xdr:row>17</xdr:row>
      <xdr:rowOff>1400175</xdr:rowOff>
    </xdr:from>
    <xdr:ext cx="361244" cy="150041"/>
    <xdr:sp macro="" textlink="">
      <xdr:nvSpPr>
        <xdr:cNvPr id="139" name="Text Box 138">
          <a:extLst>
            <a:ext uri="{FF2B5EF4-FFF2-40B4-BE49-F238E27FC236}">
              <a16:creationId xmlns:a16="http://schemas.microsoft.com/office/drawing/2014/main" id="{9FBBD3B1-1EE1-46EC-AE73-A36CC74774F4}"/>
            </a:ext>
          </a:extLst>
        </xdr:cNvPr>
        <xdr:cNvSpPr txBox="1">
          <a:spLocks noChangeArrowheads="1"/>
        </xdr:cNvSpPr>
      </xdr:nvSpPr>
      <xdr:spPr bwMode="auto">
        <a:xfrm>
          <a:off x="2209800" y="65913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13</xdr:col>
      <xdr:colOff>266700</xdr:colOff>
      <xdr:row>17</xdr:row>
      <xdr:rowOff>190500</xdr:rowOff>
    </xdr:from>
    <xdr:ext cx="361244" cy="150041"/>
    <xdr:sp macro="" textlink="">
      <xdr:nvSpPr>
        <xdr:cNvPr id="140" name="Text Box 139">
          <a:extLst>
            <a:ext uri="{FF2B5EF4-FFF2-40B4-BE49-F238E27FC236}">
              <a16:creationId xmlns:a16="http://schemas.microsoft.com/office/drawing/2014/main" id="{A5F84C9B-CF6C-4206-9D89-D7F50EDCBDDB}"/>
            </a:ext>
          </a:extLst>
        </xdr:cNvPr>
        <xdr:cNvSpPr txBox="1">
          <a:spLocks noChangeArrowheads="1"/>
        </xdr:cNvSpPr>
      </xdr:nvSpPr>
      <xdr:spPr bwMode="auto">
        <a:xfrm>
          <a:off x="4410075" y="53816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4</xdr:col>
      <xdr:colOff>142876</xdr:colOff>
      <xdr:row>9</xdr:row>
      <xdr:rowOff>1409701</xdr:rowOff>
    </xdr:from>
    <xdr:to>
      <xdr:col>13</xdr:col>
      <xdr:colOff>171450</xdr:colOff>
      <xdr:row>9</xdr:row>
      <xdr:rowOff>1428750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1ACA510E-9D1E-4C5E-9322-AD9A5EBC3181}"/>
            </a:ext>
          </a:extLst>
        </xdr:cNvPr>
        <xdr:cNvCxnSpPr/>
      </xdr:nvCxnSpPr>
      <xdr:spPr>
        <a:xfrm flipH="1" flipV="1">
          <a:off x="1457326" y="3124201"/>
          <a:ext cx="2857499" cy="19049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314324</xdr:colOff>
      <xdr:row>9</xdr:row>
      <xdr:rowOff>1133475</xdr:rowOff>
    </xdr:from>
    <xdr:ext cx="436521" cy="250453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7CA2E09C-529C-49B6-BDAB-94D12AE147D6}"/>
            </a:ext>
          </a:extLst>
        </xdr:cNvPr>
        <xdr:cNvSpPr txBox="1"/>
      </xdr:nvSpPr>
      <xdr:spPr>
        <a:xfrm>
          <a:off x="3514724" y="284797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66.4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7</xdr:col>
      <xdr:colOff>123825</xdr:colOff>
      <xdr:row>8</xdr:row>
      <xdr:rowOff>171450</xdr:rowOff>
    </xdr:from>
    <xdr:to>
      <xdr:col>11</xdr:col>
      <xdr:colOff>95250</xdr:colOff>
      <xdr:row>10</xdr:row>
      <xdr:rowOff>28575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38DC917F-1BB9-4096-9FF9-00D86261A6A1}"/>
            </a:ext>
          </a:extLst>
        </xdr:cNvPr>
        <xdr:cNvCxnSpPr/>
      </xdr:nvCxnSpPr>
      <xdr:spPr>
        <a:xfrm flipH="1">
          <a:off x="2381250" y="1657350"/>
          <a:ext cx="1228725" cy="19621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114299</xdr:colOff>
      <xdr:row>9</xdr:row>
      <xdr:rowOff>657225</xdr:rowOff>
    </xdr:from>
    <xdr:ext cx="436521" cy="250453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270F8EFE-823C-4837-ABB5-3AA5CA54600A}"/>
            </a:ext>
          </a:extLst>
        </xdr:cNvPr>
        <xdr:cNvSpPr txBox="1"/>
      </xdr:nvSpPr>
      <xdr:spPr>
        <a:xfrm>
          <a:off x="3314699" y="237172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53.1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18</xdr:col>
      <xdr:colOff>114300</xdr:colOff>
      <xdr:row>9</xdr:row>
      <xdr:rowOff>1238250</xdr:rowOff>
    </xdr:from>
    <xdr:to>
      <xdr:col>19</xdr:col>
      <xdr:colOff>87227</xdr:colOff>
      <xdr:row>9</xdr:row>
      <xdr:rowOff>1526250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0230E51C-A2A3-4530-A332-7C2934910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29527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914400</xdr:rowOff>
    </xdr:from>
    <xdr:to>
      <xdr:col>2</xdr:col>
      <xdr:colOff>153902</xdr:colOff>
      <xdr:row>9</xdr:row>
      <xdr:rowOff>1202400</xdr:rowOff>
    </xdr:to>
    <xdr:pic>
      <xdr:nvPicPr>
        <xdr:cNvPr id="156" name="図 155">
          <a:extLst>
            <a:ext uri="{FF2B5EF4-FFF2-40B4-BE49-F238E27FC236}">
              <a16:creationId xmlns:a16="http://schemas.microsoft.com/office/drawing/2014/main" id="{18BB4C3F-CC2E-4540-BF8D-6B35C60E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6289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5</xdr:row>
      <xdr:rowOff>66675</xdr:rowOff>
    </xdr:from>
    <xdr:to>
      <xdr:col>10</xdr:col>
      <xdr:colOff>182477</xdr:colOff>
      <xdr:row>6</xdr:row>
      <xdr:rowOff>126075</xdr:rowOff>
    </xdr:to>
    <xdr:pic>
      <xdr:nvPicPr>
        <xdr:cNvPr id="157" name="図 156">
          <a:extLst>
            <a:ext uri="{FF2B5EF4-FFF2-40B4-BE49-F238E27FC236}">
              <a16:creationId xmlns:a16="http://schemas.microsoft.com/office/drawing/2014/main" id="{BB2C10E0-A374-4BDE-8D4D-097F9539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5625" y="866775"/>
          <a:ext cx="287252" cy="288000"/>
        </a:xfrm>
        <a:prstGeom prst="rect">
          <a:avLst/>
        </a:prstGeom>
      </xdr:spPr>
    </xdr:pic>
    <xdr:clientData/>
  </xdr:twoCellAnchor>
  <xdr:twoCellAnchor>
    <xdr:from>
      <xdr:col>6</xdr:col>
      <xdr:colOff>190500</xdr:colOff>
      <xdr:row>10</xdr:row>
      <xdr:rowOff>200025</xdr:rowOff>
    </xdr:from>
    <xdr:to>
      <xdr:col>7</xdr:col>
      <xdr:colOff>136759</xdr:colOff>
      <xdr:row>12</xdr:row>
      <xdr:rowOff>153716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B5140482-8D13-48CC-87F7-770BEF9EC78C}"/>
            </a:ext>
          </a:extLst>
        </xdr:cNvPr>
        <xdr:cNvGrpSpPr/>
      </xdr:nvGrpSpPr>
      <xdr:grpSpPr>
        <a:xfrm>
          <a:off x="2133600" y="3790950"/>
          <a:ext cx="260584" cy="410891"/>
          <a:chOff x="3465739" y="1581151"/>
          <a:chExt cx="260584" cy="410891"/>
        </a:xfrm>
      </xdr:grpSpPr>
      <xdr:pic>
        <xdr:nvPicPr>
          <xdr:cNvPr id="159" name="図 158">
            <a:extLst>
              <a:ext uri="{FF2B5EF4-FFF2-40B4-BE49-F238E27FC236}">
                <a16:creationId xmlns:a16="http://schemas.microsoft.com/office/drawing/2014/main" id="{0A155E20-65B3-40D0-A6B5-5308499D2F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479346" y="1758042"/>
            <a:ext cx="233392" cy="234000"/>
          </a:xfrm>
          <a:prstGeom prst="rect">
            <a:avLst/>
          </a:prstGeom>
        </xdr:spPr>
      </xdr:pic>
      <xdr:sp macro="" textlink="">
        <xdr:nvSpPr>
          <xdr:cNvPr id="160" name="Text Box 216">
            <a:extLst>
              <a:ext uri="{FF2B5EF4-FFF2-40B4-BE49-F238E27FC236}">
                <a16:creationId xmlns:a16="http://schemas.microsoft.com/office/drawing/2014/main" id="{A6BAF0E9-C98C-49E4-B0C4-ACE8F66F0F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65739" y="1581151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</xdr:grpSp>
    <xdr:clientData/>
  </xdr:twoCellAnchor>
  <xdr:twoCellAnchor>
    <xdr:from>
      <xdr:col>6</xdr:col>
      <xdr:colOff>123826</xdr:colOff>
      <xdr:row>9</xdr:row>
      <xdr:rowOff>104775</xdr:rowOff>
    </xdr:from>
    <xdr:to>
      <xdr:col>8</xdr:col>
      <xdr:colOff>304800</xdr:colOff>
      <xdr:row>11</xdr:row>
      <xdr:rowOff>104775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4D3FA497-245D-4AE8-8296-376A8A14AC89}"/>
            </a:ext>
          </a:extLst>
        </xdr:cNvPr>
        <xdr:cNvCxnSpPr/>
      </xdr:nvCxnSpPr>
      <xdr:spPr>
        <a:xfrm flipH="1">
          <a:off x="2066926" y="1819275"/>
          <a:ext cx="809624" cy="21050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57149</xdr:colOff>
      <xdr:row>9</xdr:row>
      <xdr:rowOff>828675</xdr:rowOff>
    </xdr:from>
    <xdr:ext cx="436521" cy="250453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5265A1E6-425F-4F3C-803B-41C66A1AC78C}"/>
            </a:ext>
          </a:extLst>
        </xdr:cNvPr>
        <xdr:cNvSpPr txBox="1"/>
      </xdr:nvSpPr>
      <xdr:spPr>
        <a:xfrm>
          <a:off x="2000249" y="254317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50.6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142875</xdr:colOff>
      <xdr:row>17</xdr:row>
      <xdr:rowOff>1257300</xdr:rowOff>
    </xdr:from>
    <xdr:ext cx="361244" cy="150041"/>
    <xdr:sp macro="" textlink="">
      <xdr:nvSpPr>
        <xdr:cNvPr id="163" name="Text Box 132">
          <a:extLst>
            <a:ext uri="{FF2B5EF4-FFF2-40B4-BE49-F238E27FC236}">
              <a16:creationId xmlns:a16="http://schemas.microsoft.com/office/drawing/2014/main" id="{CC432CCC-3A91-427D-8C0F-8285D6B4BF08}"/>
            </a:ext>
          </a:extLst>
        </xdr:cNvPr>
        <xdr:cNvSpPr txBox="1">
          <a:spLocks noChangeArrowheads="1"/>
        </xdr:cNvSpPr>
      </xdr:nvSpPr>
      <xdr:spPr bwMode="auto">
        <a:xfrm>
          <a:off x="1771650" y="64484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11</xdr:col>
      <xdr:colOff>57150</xdr:colOff>
      <xdr:row>17</xdr:row>
      <xdr:rowOff>1304925</xdr:rowOff>
    </xdr:from>
    <xdr:ext cx="361244" cy="150041"/>
    <xdr:sp macro="" textlink="">
      <xdr:nvSpPr>
        <xdr:cNvPr id="164" name="Text Box 133">
          <a:extLst>
            <a:ext uri="{FF2B5EF4-FFF2-40B4-BE49-F238E27FC236}">
              <a16:creationId xmlns:a16="http://schemas.microsoft.com/office/drawing/2014/main" id="{889442B5-0919-4F8A-A4A8-2556997A95D6}"/>
            </a:ext>
          </a:extLst>
        </xdr:cNvPr>
        <xdr:cNvSpPr txBox="1">
          <a:spLocks noChangeArrowheads="1"/>
        </xdr:cNvSpPr>
      </xdr:nvSpPr>
      <xdr:spPr bwMode="auto">
        <a:xfrm>
          <a:off x="3571875" y="64960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15</xdr:col>
      <xdr:colOff>104775</xdr:colOff>
      <xdr:row>14</xdr:row>
      <xdr:rowOff>0</xdr:rowOff>
    </xdr:from>
    <xdr:ext cx="2669568" cy="222744"/>
    <xdr:sp macro="" textlink="">
      <xdr:nvSpPr>
        <xdr:cNvPr id="167" name="Text Box 131">
          <a:extLst>
            <a:ext uri="{FF2B5EF4-FFF2-40B4-BE49-F238E27FC236}">
              <a16:creationId xmlns:a16="http://schemas.microsoft.com/office/drawing/2014/main" id="{C63D2A23-EF5C-426C-A4C5-439AE0DEFC47}"/>
            </a:ext>
          </a:extLst>
        </xdr:cNvPr>
        <xdr:cNvSpPr txBox="1">
          <a:spLocks noChangeArrowheads="1"/>
        </xdr:cNvSpPr>
      </xdr:nvSpPr>
      <xdr:spPr bwMode="auto">
        <a:xfrm>
          <a:off x="4876800" y="4505325"/>
          <a:ext cx="2669568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1,2Step 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8,9Step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で保障（終日）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FB88328C-6456-4715-8B47-4DD2BBB2549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332D1E14-89E1-4169-80F9-3B914393716B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051" name="Freeform 3">
          <a:extLst>
            <a:ext uri="{FF2B5EF4-FFF2-40B4-BE49-F238E27FC236}">
              <a16:creationId xmlns:a16="http://schemas.microsoft.com/office/drawing/2014/main" id="{9D95396B-FE41-43B4-BBB0-B782734547FB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16</xdr:row>
      <xdr:rowOff>38100</xdr:rowOff>
    </xdr:from>
    <xdr:to>
      <xdr:col>5</xdr:col>
      <xdr:colOff>276225</xdr:colOff>
      <xdr:row>16</xdr:row>
      <xdr:rowOff>190500</xdr:rowOff>
    </xdr:to>
    <xdr:grpSp>
      <xdr:nvGrpSpPr>
        <xdr:cNvPr id="2052" name="Group 4">
          <a:extLst>
            <a:ext uri="{FF2B5EF4-FFF2-40B4-BE49-F238E27FC236}">
              <a16:creationId xmlns:a16="http://schemas.microsoft.com/office/drawing/2014/main" id="{EB02982B-CE5E-4CFC-B916-0FF6CDEC7F02}"/>
            </a:ext>
          </a:extLst>
        </xdr:cNvPr>
        <xdr:cNvGrpSpPr>
          <a:grpSpLocks/>
        </xdr:cNvGrpSpPr>
      </xdr:nvGrpSpPr>
      <xdr:grpSpPr bwMode="auto">
        <a:xfrm>
          <a:off x="1247775" y="6734175"/>
          <a:ext cx="219075" cy="152400"/>
          <a:chOff x="132" y="708"/>
          <a:chExt cx="20" cy="14"/>
        </a:xfrm>
      </xdr:grpSpPr>
      <xdr:sp macro="" textlink="">
        <xdr:nvSpPr>
          <xdr:cNvPr id="2053" name="Line 5">
            <a:extLst>
              <a:ext uri="{FF2B5EF4-FFF2-40B4-BE49-F238E27FC236}">
                <a16:creationId xmlns:a16="http://schemas.microsoft.com/office/drawing/2014/main" id="{A307F89D-09AB-486F-A649-5BC5B2143BA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48E52472-E734-4B87-ABFF-B79B27D0EA0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DCF41BDA-0424-445F-B163-32752155AB6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6" name="Line 8">
            <a:extLst>
              <a:ext uri="{FF2B5EF4-FFF2-40B4-BE49-F238E27FC236}">
                <a16:creationId xmlns:a16="http://schemas.microsoft.com/office/drawing/2014/main" id="{73163B1F-E7DE-4B34-BAE8-07092AD6BF7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0</xdr:colOff>
      <xdr:row>16</xdr:row>
      <xdr:rowOff>142875</xdr:rowOff>
    </xdr:to>
    <xdr:grpSp>
      <xdr:nvGrpSpPr>
        <xdr:cNvPr id="2057" name="Group 9">
          <a:extLst>
            <a:ext uri="{FF2B5EF4-FFF2-40B4-BE49-F238E27FC236}">
              <a16:creationId xmlns:a16="http://schemas.microsoft.com/office/drawing/2014/main" id="{D42BEF5C-19DF-4DD0-A34D-2447F1CBF2B2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771900" cy="47625"/>
          <a:chOff x="158" y="715"/>
          <a:chExt cx="33" cy="5"/>
        </a:xfrm>
      </xdr:grpSpPr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F7EDBD22-5556-4850-B256-67FAF07F73D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C8EFDF65-6C22-4BBE-9C4A-9A3E0F08916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B35AF719-1CCE-4313-99EC-17C74FA10226}"/>
            </a:ext>
          </a:extLst>
        </xdr:cNvPr>
        <xdr:cNvSpPr>
          <a:spLocks noChangeShapeType="1"/>
        </xdr:cNvSpPr>
      </xdr:nvSpPr>
      <xdr:spPr bwMode="auto">
        <a:xfrm>
          <a:off x="895350" y="7038975"/>
          <a:ext cx="9239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2061" name="Group 13">
          <a:extLst>
            <a:ext uri="{FF2B5EF4-FFF2-40B4-BE49-F238E27FC236}">
              <a16:creationId xmlns:a16="http://schemas.microsoft.com/office/drawing/2014/main" id="{CE4974A7-2048-434B-9AC9-364E74382B80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2514600" cy="47625"/>
          <a:chOff x="158" y="715"/>
          <a:chExt cx="33" cy="5"/>
        </a:xfrm>
      </xdr:grpSpPr>
      <xdr:sp macro="" textlink="">
        <xdr:nvSpPr>
          <xdr:cNvPr id="2062" name="Line 14">
            <a:extLst>
              <a:ext uri="{FF2B5EF4-FFF2-40B4-BE49-F238E27FC236}">
                <a16:creationId xmlns:a16="http://schemas.microsoft.com/office/drawing/2014/main" id="{1A7E5544-ECA9-4654-85C9-78D76DFBCD1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6A875417-4FA5-46DD-897F-363C3D64181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10</xdr:col>
      <xdr:colOff>0</xdr:colOff>
      <xdr:row>17</xdr:row>
      <xdr:rowOff>190500</xdr:rowOff>
    </xdr:to>
    <xdr:sp macro="" textlink="">
      <xdr:nvSpPr>
        <xdr:cNvPr id="2064" name="Freeform 16">
          <a:extLst>
            <a:ext uri="{FF2B5EF4-FFF2-40B4-BE49-F238E27FC236}">
              <a16:creationId xmlns:a16="http://schemas.microsoft.com/office/drawing/2014/main" id="{959B6855-04FB-4528-95FC-90E76719C7EA}"/>
            </a:ext>
          </a:extLst>
        </xdr:cNvPr>
        <xdr:cNvSpPr>
          <a:spLocks/>
        </xdr:cNvSpPr>
      </xdr:nvSpPr>
      <xdr:spPr bwMode="auto">
        <a:xfrm>
          <a:off x="2457450" y="69723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2065" name="Group 17">
          <a:extLst>
            <a:ext uri="{FF2B5EF4-FFF2-40B4-BE49-F238E27FC236}">
              <a16:creationId xmlns:a16="http://schemas.microsoft.com/office/drawing/2014/main" id="{6C747285-6032-4664-99F2-1C82ADB76A99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5322972F-1930-4E84-8240-C00128FE3D8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17995FFA-1B81-4CEB-823D-28783A9A9B2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457200</xdr:rowOff>
    </xdr:from>
    <xdr:to>
      <xdr:col>7</xdr:col>
      <xdr:colOff>209550</xdr:colOff>
      <xdr:row>15</xdr:row>
      <xdr:rowOff>762000</xdr:rowOff>
    </xdr:to>
    <xdr:grpSp>
      <xdr:nvGrpSpPr>
        <xdr:cNvPr id="2068" name="Group 20">
          <a:extLst>
            <a:ext uri="{FF2B5EF4-FFF2-40B4-BE49-F238E27FC236}">
              <a16:creationId xmlns:a16="http://schemas.microsoft.com/office/drawing/2014/main" id="{932A27C4-7FD2-4015-B56F-0DD6D80BB8A3}"/>
            </a:ext>
          </a:extLst>
        </xdr:cNvPr>
        <xdr:cNvGrpSpPr>
          <a:grpSpLocks/>
        </xdr:cNvGrpSpPr>
      </xdr:nvGrpSpPr>
      <xdr:grpSpPr bwMode="auto">
        <a:xfrm>
          <a:off x="1028700" y="5572125"/>
          <a:ext cx="1000125" cy="304800"/>
          <a:chOff x="123" y="585"/>
          <a:chExt cx="105" cy="32"/>
        </a:xfrm>
      </xdr:grpSpPr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3B7BBC05-D22C-48D5-8A4E-791D84EFDFB0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Freeform 22">
            <a:extLst>
              <a:ext uri="{FF2B5EF4-FFF2-40B4-BE49-F238E27FC236}">
                <a16:creationId xmlns:a16="http://schemas.microsoft.com/office/drawing/2014/main" id="{AB2091A7-52B7-4DE2-9577-5B61C0EBFBCB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2071" name="Group 23">
            <a:extLst>
              <a:ext uri="{FF2B5EF4-FFF2-40B4-BE49-F238E27FC236}">
                <a16:creationId xmlns:a16="http://schemas.microsoft.com/office/drawing/2014/main" id="{1D3D4C5B-D9AA-4522-8245-7E30B7C5B489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2072" name="Freeform 24">
              <a:extLst>
                <a:ext uri="{FF2B5EF4-FFF2-40B4-BE49-F238E27FC236}">
                  <a16:creationId xmlns:a16="http://schemas.microsoft.com/office/drawing/2014/main" id="{825C4C7C-3508-4B74-9BAF-37A54A0582FB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073" name="Line 25">
              <a:extLst>
                <a:ext uri="{FF2B5EF4-FFF2-40B4-BE49-F238E27FC236}">
                  <a16:creationId xmlns:a16="http://schemas.microsoft.com/office/drawing/2014/main" id="{D459C14A-7C94-41B9-A7AC-CDA683CFAA6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74" name="Freeform 26">
              <a:extLst>
                <a:ext uri="{FF2B5EF4-FFF2-40B4-BE49-F238E27FC236}">
                  <a16:creationId xmlns:a16="http://schemas.microsoft.com/office/drawing/2014/main" id="{89A624B3-EB2A-417D-B796-F854F8B1D4FF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075" name="Group 27">
            <a:extLst>
              <a:ext uri="{FF2B5EF4-FFF2-40B4-BE49-F238E27FC236}">
                <a16:creationId xmlns:a16="http://schemas.microsoft.com/office/drawing/2014/main" id="{4CAEC157-DD0E-42CF-AE96-C215895985D2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2076" name="Freeform 28">
              <a:extLst>
                <a:ext uri="{FF2B5EF4-FFF2-40B4-BE49-F238E27FC236}">
                  <a16:creationId xmlns:a16="http://schemas.microsoft.com/office/drawing/2014/main" id="{67692E69-A95A-45E7-923C-1DB9132CBF53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077" name="Line 29">
              <a:extLst>
                <a:ext uri="{FF2B5EF4-FFF2-40B4-BE49-F238E27FC236}">
                  <a16:creationId xmlns:a16="http://schemas.microsoft.com/office/drawing/2014/main" id="{742FD81C-C0CE-411E-B8D5-1F12AFCAC6B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78" name="Freeform 30">
              <a:extLst>
                <a:ext uri="{FF2B5EF4-FFF2-40B4-BE49-F238E27FC236}">
                  <a16:creationId xmlns:a16="http://schemas.microsoft.com/office/drawing/2014/main" id="{9E4D8898-D07C-4C49-BD8E-36DF0C88E434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238125</xdr:colOff>
      <xdr:row>15</xdr:row>
      <xdr:rowOff>276225</xdr:rowOff>
    </xdr:from>
    <xdr:to>
      <xdr:col>7</xdr:col>
      <xdr:colOff>28575</xdr:colOff>
      <xdr:row>15</xdr:row>
      <xdr:rowOff>333375</xdr:rowOff>
    </xdr:to>
    <xdr:grpSp>
      <xdr:nvGrpSpPr>
        <xdr:cNvPr id="2079" name="Group 31">
          <a:extLst>
            <a:ext uri="{FF2B5EF4-FFF2-40B4-BE49-F238E27FC236}">
              <a16:creationId xmlns:a16="http://schemas.microsoft.com/office/drawing/2014/main" id="{BC6E09D6-9292-4F36-831D-E5CEE5E25279}"/>
            </a:ext>
          </a:extLst>
        </xdr:cNvPr>
        <xdr:cNvGrpSpPr>
          <a:grpSpLocks/>
        </xdr:cNvGrpSpPr>
      </xdr:nvGrpSpPr>
      <xdr:grpSpPr bwMode="auto">
        <a:xfrm>
          <a:off x="1114425" y="5391150"/>
          <a:ext cx="733425" cy="57150"/>
          <a:chOff x="123" y="549"/>
          <a:chExt cx="77" cy="6"/>
        </a:xfrm>
      </xdr:grpSpPr>
      <xdr:sp macro="" textlink="">
        <xdr:nvSpPr>
          <xdr:cNvPr id="2080" name="Line 32">
            <a:extLst>
              <a:ext uri="{FF2B5EF4-FFF2-40B4-BE49-F238E27FC236}">
                <a16:creationId xmlns:a16="http://schemas.microsoft.com/office/drawing/2014/main" id="{2BAED7FF-75FC-41B7-B837-CB46A9AEA7C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1" name="Freeform 33">
            <a:extLst>
              <a:ext uri="{FF2B5EF4-FFF2-40B4-BE49-F238E27FC236}">
                <a16:creationId xmlns:a16="http://schemas.microsoft.com/office/drawing/2014/main" id="{ABD8BF08-DF56-406B-81FB-D9FA0CF36D9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2" name="Freeform 34">
            <a:extLst>
              <a:ext uri="{FF2B5EF4-FFF2-40B4-BE49-F238E27FC236}">
                <a16:creationId xmlns:a16="http://schemas.microsoft.com/office/drawing/2014/main" id="{D71F55EF-AAA8-41FD-A409-7EBDE8DCED6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828675</xdr:rowOff>
    </xdr:from>
    <xdr:to>
      <xdr:col>7</xdr:col>
      <xdr:colOff>209550</xdr:colOff>
      <xdr:row>15</xdr:row>
      <xdr:rowOff>1123950</xdr:rowOff>
    </xdr:to>
    <xdr:grpSp>
      <xdr:nvGrpSpPr>
        <xdr:cNvPr id="2083" name="Group 35">
          <a:extLst>
            <a:ext uri="{FF2B5EF4-FFF2-40B4-BE49-F238E27FC236}">
              <a16:creationId xmlns:a16="http://schemas.microsoft.com/office/drawing/2014/main" id="{24034ED2-32A5-40D3-91AD-F7F15E5D54DE}"/>
            </a:ext>
          </a:extLst>
        </xdr:cNvPr>
        <xdr:cNvGrpSpPr>
          <a:grpSpLocks/>
        </xdr:cNvGrpSpPr>
      </xdr:nvGrpSpPr>
      <xdr:grpSpPr bwMode="auto">
        <a:xfrm>
          <a:off x="1028700" y="5943600"/>
          <a:ext cx="1000125" cy="295275"/>
          <a:chOff x="122" y="624"/>
          <a:chExt cx="105" cy="31"/>
        </a:xfrm>
      </xdr:grpSpPr>
      <xdr:sp macro="" textlink="">
        <xdr:nvSpPr>
          <xdr:cNvPr id="2084" name="Line 36">
            <a:extLst>
              <a:ext uri="{FF2B5EF4-FFF2-40B4-BE49-F238E27FC236}">
                <a16:creationId xmlns:a16="http://schemas.microsoft.com/office/drawing/2014/main" id="{3FE340F2-D9D1-4C88-AA32-33050EFEEF6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5" name="Freeform 37">
            <a:extLst>
              <a:ext uri="{FF2B5EF4-FFF2-40B4-BE49-F238E27FC236}">
                <a16:creationId xmlns:a16="http://schemas.microsoft.com/office/drawing/2014/main" id="{242444F0-ECBC-428A-A535-877B24D2A912}"/>
              </a:ext>
            </a:extLst>
          </xdr:cNvPr>
          <xdr:cNvSpPr>
            <a:spLocks/>
          </xdr:cNvSpPr>
        </xdr:nvSpPr>
        <xdr:spPr bwMode="auto">
          <a:xfrm rot="-10800000">
            <a:off x="122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6" name="Freeform 38">
            <a:extLst>
              <a:ext uri="{FF2B5EF4-FFF2-40B4-BE49-F238E27FC236}">
                <a16:creationId xmlns:a16="http://schemas.microsoft.com/office/drawing/2014/main" id="{F89ED638-34E2-46A5-8336-B709FEAE0954}"/>
              </a:ext>
            </a:extLst>
          </xdr:cNvPr>
          <xdr:cNvSpPr>
            <a:spLocks/>
          </xdr:cNvSpPr>
        </xdr:nvSpPr>
        <xdr:spPr bwMode="auto">
          <a:xfrm rot="-10800000">
            <a:off x="202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D3CA6409-2143-4F8A-8C79-E3807217D593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82BBAB74-8F20-4DCE-AD11-B4E62CEB5D09}"/>
              </a:ext>
            </a:extLst>
          </xdr:cNvPr>
          <xdr:cNvSpPr>
            <a:spLocks/>
          </xdr:cNvSpPr>
        </xdr:nvSpPr>
        <xdr:spPr bwMode="auto">
          <a:xfrm rot="-10800000">
            <a:off x="198" y="648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89926333-2037-4350-8E91-58A93FB9495F}"/>
              </a:ext>
            </a:extLst>
          </xdr:cNvPr>
          <xdr:cNvSpPr>
            <a:spLocks/>
          </xdr:cNvSpPr>
        </xdr:nvSpPr>
        <xdr:spPr bwMode="auto">
          <a:xfrm rot="-10800000">
            <a:off x="186" y="63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0" name="Line 42">
            <a:extLst>
              <a:ext uri="{FF2B5EF4-FFF2-40B4-BE49-F238E27FC236}">
                <a16:creationId xmlns:a16="http://schemas.microsoft.com/office/drawing/2014/main" id="{95F9C563-A1A8-4A45-9614-3C1A62EF78B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1" name="Freeform 43">
            <a:extLst>
              <a:ext uri="{FF2B5EF4-FFF2-40B4-BE49-F238E27FC236}">
                <a16:creationId xmlns:a16="http://schemas.microsoft.com/office/drawing/2014/main" id="{4F4E62B7-08D6-43BB-8A75-89128F323094}"/>
              </a:ext>
            </a:extLst>
          </xdr:cNvPr>
          <xdr:cNvSpPr>
            <a:spLocks/>
          </xdr:cNvSpPr>
        </xdr:nvSpPr>
        <xdr:spPr bwMode="auto">
          <a:xfrm rot="-10800000">
            <a:off x="182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247650</xdr:colOff>
      <xdr:row>15</xdr:row>
      <xdr:rowOff>1209675</xdr:rowOff>
    </xdr:from>
    <xdr:to>
      <xdr:col>7</xdr:col>
      <xdr:colOff>38100</xdr:colOff>
      <xdr:row>15</xdr:row>
      <xdr:rowOff>1266825</xdr:rowOff>
    </xdr:to>
    <xdr:grpSp>
      <xdr:nvGrpSpPr>
        <xdr:cNvPr id="2092" name="Group 44">
          <a:extLst>
            <a:ext uri="{FF2B5EF4-FFF2-40B4-BE49-F238E27FC236}">
              <a16:creationId xmlns:a16="http://schemas.microsoft.com/office/drawing/2014/main" id="{9F2A29ED-F2FD-4BC5-B01C-A23DA355E204}"/>
            </a:ext>
          </a:extLst>
        </xdr:cNvPr>
        <xdr:cNvGrpSpPr>
          <a:grpSpLocks/>
        </xdr:cNvGrpSpPr>
      </xdr:nvGrpSpPr>
      <xdr:grpSpPr bwMode="auto">
        <a:xfrm>
          <a:off x="1123950" y="6324600"/>
          <a:ext cx="733425" cy="57150"/>
          <a:chOff x="123" y="549"/>
          <a:chExt cx="77" cy="6"/>
        </a:xfrm>
      </xdr:grpSpPr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341FD62B-2A0A-4A82-AB06-14152DA6BEE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Freeform 46">
            <a:extLst>
              <a:ext uri="{FF2B5EF4-FFF2-40B4-BE49-F238E27FC236}">
                <a16:creationId xmlns:a16="http://schemas.microsoft.com/office/drawing/2014/main" id="{5CB457BC-DD07-4D8B-AD32-2B51097A0DD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5" name="Freeform 47">
            <a:extLst>
              <a:ext uri="{FF2B5EF4-FFF2-40B4-BE49-F238E27FC236}">
                <a16:creationId xmlns:a16="http://schemas.microsoft.com/office/drawing/2014/main" id="{E8AB029D-A5CF-41E3-A534-1AD7D4D3210C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15</xdr:row>
      <xdr:rowOff>266700</xdr:rowOff>
    </xdr:from>
    <xdr:to>
      <xdr:col>14</xdr:col>
      <xdr:colOff>180975</xdr:colOff>
      <xdr:row>15</xdr:row>
      <xdr:rowOff>1276350</xdr:rowOff>
    </xdr:to>
    <xdr:grpSp>
      <xdr:nvGrpSpPr>
        <xdr:cNvPr id="2096" name="Group 48">
          <a:extLst>
            <a:ext uri="{FF2B5EF4-FFF2-40B4-BE49-F238E27FC236}">
              <a16:creationId xmlns:a16="http://schemas.microsoft.com/office/drawing/2014/main" id="{82D61CD0-D2FC-4E61-BBB0-879A486FE0D6}"/>
            </a:ext>
          </a:extLst>
        </xdr:cNvPr>
        <xdr:cNvGrpSpPr>
          <a:grpSpLocks/>
        </xdr:cNvGrpSpPr>
      </xdr:nvGrpSpPr>
      <xdr:grpSpPr bwMode="auto">
        <a:xfrm>
          <a:off x="3200400" y="5381625"/>
          <a:ext cx="1000125" cy="1009650"/>
          <a:chOff x="336" y="565"/>
          <a:chExt cx="105" cy="106"/>
        </a:xfrm>
      </xdr:grpSpPr>
      <xdr:grpSp>
        <xdr:nvGrpSpPr>
          <xdr:cNvPr id="2097" name="Group 49">
            <a:extLst>
              <a:ext uri="{FF2B5EF4-FFF2-40B4-BE49-F238E27FC236}">
                <a16:creationId xmlns:a16="http://schemas.microsoft.com/office/drawing/2014/main" id="{9883A0C2-1C75-456B-A1BF-04FAB9EEC117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2098" name="Line 50">
              <a:extLst>
                <a:ext uri="{FF2B5EF4-FFF2-40B4-BE49-F238E27FC236}">
                  <a16:creationId xmlns:a16="http://schemas.microsoft.com/office/drawing/2014/main" id="{7F1B9B6F-3A67-4FFB-B9CB-18A37E345C5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99" name="Freeform 51">
              <a:extLst>
                <a:ext uri="{FF2B5EF4-FFF2-40B4-BE49-F238E27FC236}">
                  <a16:creationId xmlns:a16="http://schemas.microsoft.com/office/drawing/2014/main" id="{4D33BA7A-BEA0-4DAF-86CC-41956005E486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0" name="Freeform 52">
              <a:extLst>
                <a:ext uri="{FF2B5EF4-FFF2-40B4-BE49-F238E27FC236}">
                  <a16:creationId xmlns:a16="http://schemas.microsoft.com/office/drawing/2014/main" id="{2DC6E1E8-E599-40DB-ACF2-A9FEC16F53F8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101" name="Group 53">
            <a:extLst>
              <a:ext uri="{FF2B5EF4-FFF2-40B4-BE49-F238E27FC236}">
                <a16:creationId xmlns:a16="http://schemas.microsoft.com/office/drawing/2014/main" id="{081DD12A-2A61-4EBE-BD31-AE54AA0BDF4B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2102" name="Line 54">
              <a:extLst>
                <a:ext uri="{FF2B5EF4-FFF2-40B4-BE49-F238E27FC236}">
                  <a16:creationId xmlns:a16="http://schemas.microsoft.com/office/drawing/2014/main" id="{C3006DEF-6C88-49CE-92E5-80DE3F2C71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03" name="Freeform 55">
              <a:extLst>
                <a:ext uri="{FF2B5EF4-FFF2-40B4-BE49-F238E27FC236}">
                  <a16:creationId xmlns:a16="http://schemas.microsoft.com/office/drawing/2014/main" id="{5C69E5FD-CC56-4401-9B40-1B376C369229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4" name="Freeform 56">
              <a:extLst>
                <a:ext uri="{FF2B5EF4-FFF2-40B4-BE49-F238E27FC236}">
                  <a16:creationId xmlns:a16="http://schemas.microsoft.com/office/drawing/2014/main" id="{4E888D57-288F-4C61-9984-7FEBD8B92E56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5" name="Line 57">
              <a:extLst>
                <a:ext uri="{FF2B5EF4-FFF2-40B4-BE49-F238E27FC236}">
                  <a16:creationId xmlns:a16="http://schemas.microsoft.com/office/drawing/2014/main" id="{1221A7A6-1B37-4652-82FD-262B19D7F5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06" name="Freeform 58">
              <a:extLst>
                <a:ext uri="{FF2B5EF4-FFF2-40B4-BE49-F238E27FC236}">
                  <a16:creationId xmlns:a16="http://schemas.microsoft.com/office/drawing/2014/main" id="{B49DEDBF-1DEF-44D5-A7D4-005C618B6574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7" name="Freeform 59">
              <a:extLst>
                <a:ext uri="{FF2B5EF4-FFF2-40B4-BE49-F238E27FC236}">
                  <a16:creationId xmlns:a16="http://schemas.microsoft.com/office/drawing/2014/main" id="{2301C8E3-2913-482C-8349-CBEA1EE7369E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8" name="Line 60">
              <a:extLst>
                <a:ext uri="{FF2B5EF4-FFF2-40B4-BE49-F238E27FC236}">
                  <a16:creationId xmlns:a16="http://schemas.microsoft.com/office/drawing/2014/main" id="{965DEC92-979C-4825-B577-5B7DC3166C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09" name="Freeform 61">
              <a:extLst>
                <a:ext uri="{FF2B5EF4-FFF2-40B4-BE49-F238E27FC236}">
                  <a16:creationId xmlns:a16="http://schemas.microsoft.com/office/drawing/2014/main" id="{1D6356FC-13F7-40AC-AA34-81A1A47CB37A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110" name="Group 62">
            <a:extLst>
              <a:ext uri="{FF2B5EF4-FFF2-40B4-BE49-F238E27FC236}">
                <a16:creationId xmlns:a16="http://schemas.microsoft.com/office/drawing/2014/main" id="{98B8AC2A-A1E1-4DFD-96B4-91FFE3F71E77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2111" name="Line 63">
              <a:extLst>
                <a:ext uri="{FF2B5EF4-FFF2-40B4-BE49-F238E27FC236}">
                  <a16:creationId xmlns:a16="http://schemas.microsoft.com/office/drawing/2014/main" id="{B70B45B6-CAB9-49F7-854C-420C5E245EF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12" name="Freeform 64">
              <a:extLst>
                <a:ext uri="{FF2B5EF4-FFF2-40B4-BE49-F238E27FC236}">
                  <a16:creationId xmlns:a16="http://schemas.microsoft.com/office/drawing/2014/main" id="{8DD84ECE-7FF1-4159-8D35-0DFDD0FBDB7E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13" name="Freeform 65">
              <a:extLst>
                <a:ext uri="{FF2B5EF4-FFF2-40B4-BE49-F238E27FC236}">
                  <a16:creationId xmlns:a16="http://schemas.microsoft.com/office/drawing/2014/main" id="{6C65AF62-172F-4251-A6A4-E51C5E04B7D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114" name="Group 66">
            <a:extLst>
              <a:ext uri="{FF2B5EF4-FFF2-40B4-BE49-F238E27FC236}">
                <a16:creationId xmlns:a16="http://schemas.microsoft.com/office/drawing/2014/main" id="{3806D133-2938-4FD4-9A75-32690E80A7C5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2115" name="Line 67">
              <a:extLst>
                <a:ext uri="{FF2B5EF4-FFF2-40B4-BE49-F238E27FC236}">
                  <a16:creationId xmlns:a16="http://schemas.microsoft.com/office/drawing/2014/main" id="{2441A672-CD52-4CC8-A795-D58738280D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16" name="Freeform 68">
              <a:extLst>
                <a:ext uri="{FF2B5EF4-FFF2-40B4-BE49-F238E27FC236}">
                  <a16:creationId xmlns:a16="http://schemas.microsoft.com/office/drawing/2014/main" id="{F9B1DA59-D7FB-4FB5-AF5B-171C044AD04C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17" name="Freeform 69">
              <a:extLst>
                <a:ext uri="{FF2B5EF4-FFF2-40B4-BE49-F238E27FC236}">
                  <a16:creationId xmlns:a16="http://schemas.microsoft.com/office/drawing/2014/main" id="{E74C412B-A59B-452F-9C1B-EFFC37BE05B2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18" name="Line 70">
              <a:extLst>
                <a:ext uri="{FF2B5EF4-FFF2-40B4-BE49-F238E27FC236}">
                  <a16:creationId xmlns:a16="http://schemas.microsoft.com/office/drawing/2014/main" id="{8FC06087-BD17-418C-989A-0FC2B743C1F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19" name="Freeform 71">
              <a:extLst>
                <a:ext uri="{FF2B5EF4-FFF2-40B4-BE49-F238E27FC236}">
                  <a16:creationId xmlns:a16="http://schemas.microsoft.com/office/drawing/2014/main" id="{3048E928-D187-4455-9704-BA5191B39265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20" name="Freeform 72">
              <a:extLst>
                <a:ext uri="{FF2B5EF4-FFF2-40B4-BE49-F238E27FC236}">
                  <a16:creationId xmlns:a16="http://schemas.microsoft.com/office/drawing/2014/main" id="{A9BD29B4-70B9-43B9-A4F2-BB5B1464EDC2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21" name="Line 73">
              <a:extLst>
                <a:ext uri="{FF2B5EF4-FFF2-40B4-BE49-F238E27FC236}">
                  <a16:creationId xmlns:a16="http://schemas.microsoft.com/office/drawing/2014/main" id="{C72CCA12-00B9-4DF9-B6F4-2226CA21A6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22" name="Freeform 74">
              <a:extLst>
                <a:ext uri="{FF2B5EF4-FFF2-40B4-BE49-F238E27FC236}">
                  <a16:creationId xmlns:a16="http://schemas.microsoft.com/office/drawing/2014/main" id="{3B418551-1890-40FA-B2DE-2AEF331D104E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15</xdr:row>
      <xdr:rowOff>457200</xdr:rowOff>
    </xdr:from>
    <xdr:to>
      <xdr:col>17</xdr:col>
      <xdr:colOff>66675</xdr:colOff>
      <xdr:row>15</xdr:row>
      <xdr:rowOff>1095375</xdr:rowOff>
    </xdr:to>
    <xdr:grpSp>
      <xdr:nvGrpSpPr>
        <xdr:cNvPr id="2123" name="Group 75">
          <a:extLst>
            <a:ext uri="{FF2B5EF4-FFF2-40B4-BE49-F238E27FC236}">
              <a16:creationId xmlns:a16="http://schemas.microsoft.com/office/drawing/2014/main" id="{98731913-DFE3-4063-8CD9-073F941CCED6}"/>
            </a:ext>
          </a:extLst>
        </xdr:cNvPr>
        <xdr:cNvGrpSpPr>
          <a:grpSpLocks/>
        </xdr:cNvGrpSpPr>
      </xdr:nvGrpSpPr>
      <xdr:grpSpPr bwMode="auto">
        <a:xfrm>
          <a:off x="4581525" y="5572125"/>
          <a:ext cx="447675" cy="638175"/>
          <a:chOff x="481" y="585"/>
          <a:chExt cx="47" cy="67"/>
        </a:xfrm>
      </xdr:grpSpPr>
      <xdr:grpSp>
        <xdr:nvGrpSpPr>
          <xdr:cNvPr id="2124" name="Group 76">
            <a:extLst>
              <a:ext uri="{FF2B5EF4-FFF2-40B4-BE49-F238E27FC236}">
                <a16:creationId xmlns:a16="http://schemas.microsoft.com/office/drawing/2014/main" id="{DD3615DA-6A1C-439D-8285-CA2BC2C9C3A7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2125" name="Freeform 77">
              <a:extLst>
                <a:ext uri="{FF2B5EF4-FFF2-40B4-BE49-F238E27FC236}">
                  <a16:creationId xmlns:a16="http://schemas.microsoft.com/office/drawing/2014/main" id="{CF949890-E560-483A-9027-89E1719B5899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26" name="Line 78">
              <a:extLst>
                <a:ext uri="{FF2B5EF4-FFF2-40B4-BE49-F238E27FC236}">
                  <a16:creationId xmlns:a16="http://schemas.microsoft.com/office/drawing/2014/main" id="{EC3649CA-DD72-4BF7-A161-BDFB51E43230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27" name="Freeform 79">
              <a:extLst>
                <a:ext uri="{FF2B5EF4-FFF2-40B4-BE49-F238E27FC236}">
                  <a16:creationId xmlns:a16="http://schemas.microsoft.com/office/drawing/2014/main" id="{B62B1ED2-5420-46A0-A09E-1CFE530799CB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28" name="Line 80">
              <a:extLst>
                <a:ext uri="{FF2B5EF4-FFF2-40B4-BE49-F238E27FC236}">
                  <a16:creationId xmlns:a16="http://schemas.microsoft.com/office/drawing/2014/main" id="{2E16DF36-F5AE-4207-80DF-D2BA2617EB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129" name="Group 81">
            <a:extLst>
              <a:ext uri="{FF2B5EF4-FFF2-40B4-BE49-F238E27FC236}">
                <a16:creationId xmlns:a16="http://schemas.microsoft.com/office/drawing/2014/main" id="{D6995DA4-01F1-4455-BEE2-247DD3BB291C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2130" name="Freeform 82">
              <a:extLst>
                <a:ext uri="{FF2B5EF4-FFF2-40B4-BE49-F238E27FC236}">
                  <a16:creationId xmlns:a16="http://schemas.microsoft.com/office/drawing/2014/main" id="{8DD1D97D-CC37-4695-A1FC-9E7FE9613C18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71" y="620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31" name="Line 83">
              <a:extLst>
                <a:ext uri="{FF2B5EF4-FFF2-40B4-BE49-F238E27FC236}">
                  <a16:creationId xmlns:a16="http://schemas.microsoft.com/office/drawing/2014/main" id="{91AD7BCA-717A-48D4-B6F0-99B4A31BE07D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32" name="Freeform 84">
              <a:extLst>
                <a:ext uri="{FF2B5EF4-FFF2-40B4-BE49-F238E27FC236}">
                  <a16:creationId xmlns:a16="http://schemas.microsoft.com/office/drawing/2014/main" id="{5BC04E9F-8C80-4372-B486-CDE4EDC7F5D9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81" y="617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33" name="Line 85">
              <a:extLst>
                <a:ext uri="{FF2B5EF4-FFF2-40B4-BE49-F238E27FC236}">
                  <a16:creationId xmlns:a16="http://schemas.microsoft.com/office/drawing/2014/main" id="{8C65FB71-2115-4953-A8BC-32B914B0331E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304800</xdr:colOff>
      <xdr:row>20</xdr:row>
      <xdr:rowOff>190500</xdr:rowOff>
    </xdr:to>
    <xdr:sp macro="" textlink="">
      <xdr:nvSpPr>
        <xdr:cNvPr id="2134" name="Freeform 86">
          <a:extLst>
            <a:ext uri="{FF2B5EF4-FFF2-40B4-BE49-F238E27FC236}">
              <a16:creationId xmlns:a16="http://schemas.microsoft.com/office/drawing/2014/main" id="{35A60CB8-2DDB-4FAD-860B-E56D34FC90D2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38100</xdr:rowOff>
    </xdr:from>
    <xdr:to>
      <xdr:col>12</xdr:col>
      <xdr:colOff>266700</xdr:colOff>
      <xdr:row>19</xdr:row>
      <xdr:rowOff>190500</xdr:rowOff>
    </xdr:to>
    <xdr:grpSp>
      <xdr:nvGrpSpPr>
        <xdr:cNvPr id="2135" name="Group 87">
          <a:extLst>
            <a:ext uri="{FF2B5EF4-FFF2-40B4-BE49-F238E27FC236}">
              <a16:creationId xmlns:a16="http://schemas.microsoft.com/office/drawing/2014/main" id="{826F320E-B58D-4537-BCB4-200E0853BD0C}"/>
            </a:ext>
          </a:extLst>
        </xdr:cNvPr>
        <xdr:cNvGrpSpPr>
          <a:grpSpLocks/>
        </xdr:cNvGrpSpPr>
      </xdr:nvGrpSpPr>
      <xdr:grpSpPr bwMode="auto">
        <a:xfrm>
          <a:off x="3438525" y="7419975"/>
          <a:ext cx="219075" cy="152400"/>
          <a:chOff x="132" y="708"/>
          <a:chExt cx="20" cy="14"/>
        </a:xfrm>
      </xdr:grpSpPr>
      <xdr:sp macro="" textlink="">
        <xdr:nvSpPr>
          <xdr:cNvPr id="2136" name="Line 88">
            <a:extLst>
              <a:ext uri="{FF2B5EF4-FFF2-40B4-BE49-F238E27FC236}">
                <a16:creationId xmlns:a16="http://schemas.microsoft.com/office/drawing/2014/main" id="{E0E39B82-E8BC-42A4-A9AA-2046E06E76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7" name="Line 89">
            <a:extLst>
              <a:ext uri="{FF2B5EF4-FFF2-40B4-BE49-F238E27FC236}">
                <a16:creationId xmlns:a16="http://schemas.microsoft.com/office/drawing/2014/main" id="{3247A155-0279-4CB7-BD86-F750F1A0EF9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8" name="Line 90">
            <a:extLst>
              <a:ext uri="{FF2B5EF4-FFF2-40B4-BE49-F238E27FC236}">
                <a16:creationId xmlns:a16="http://schemas.microsoft.com/office/drawing/2014/main" id="{D2125DE5-0337-4945-B48C-A7EC59D6877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9" name="Line 91">
            <a:extLst>
              <a:ext uri="{FF2B5EF4-FFF2-40B4-BE49-F238E27FC236}">
                <a16:creationId xmlns:a16="http://schemas.microsoft.com/office/drawing/2014/main" id="{CECD63BE-585F-4FAF-A09F-B1F4EAE161F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2140" name="Group 92">
          <a:extLst>
            <a:ext uri="{FF2B5EF4-FFF2-40B4-BE49-F238E27FC236}">
              <a16:creationId xmlns:a16="http://schemas.microsoft.com/office/drawing/2014/main" id="{A5EAC27B-793B-45E2-B5A9-4D86407F053D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1571625" cy="47625"/>
          <a:chOff x="158" y="715"/>
          <a:chExt cx="33" cy="5"/>
        </a:xfrm>
      </xdr:grpSpPr>
      <xdr:sp macro="" textlink="">
        <xdr:nvSpPr>
          <xdr:cNvPr id="2141" name="Line 93">
            <a:extLst>
              <a:ext uri="{FF2B5EF4-FFF2-40B4-BE49-F238E27FC236}">
                <a16:creationId xmlns:a16="http://schemas.microsoft.com/office/drawing/2014/main" id="{53282BB0-21D3-4967-A458-B8E43F695F8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2" name="Line 94">
            <a:extLst>
              <a:ext uri="{FF2B5EF4-FFF2-40B4-BE49-F238E27FC236}">
                <a16:creationId xmlns:a16="http://schemas.microsoft.com/office/drawing/2014/main" id="{F710B6CB-078E-4F65-A613-4EB3502C6AA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104775</xdr:rowOff>
    </xdr:from>
    <xdr:to>
      <xdr:col>18</xdr:col>
      <xdr:colOff>0</xdr:colOff>
      <xdr:row>20</xdr:row>
      <xdr:rowOff>152400</xdr:rowOff>
    </xdr:to>
    <xdr:grpSp>
      <xdr:nvGrpSpPr>
        <xdr:cNvPr id="2143" name="Group 95">
          <a:extLst>
            <a:ext uri="{FF2B5EF4-FFF2-40B4-BE49-F238E27FC236}">
              <a16:creationId xmlns:a16="http://schemas.microsoft.com/office/drawing/2014/main" id="{0E19163B-D39F-422E-BEF4-B242BB3BD540}"/>
            </a:ext>
          </a:extLst>
        </xdr:cNvPr>
        <xdr:cNvGrpSpPr>
          <a:grpSpLocks/>
        </xdr:cNvGrpSpPr>
      </xdr:nvGrpSpPr>
      <xdr:grpSpPr bwMode="auto">
        <a:xfrm>
          <a:off x="4962525" y="7715250"/>
          <a:ext cx="314325" cy="47625"/>
          <a:chOff x="158" y="715"/>
          <a:chExt cx="33" cy="5"/>
        </a:xfrm>
      </xdr:grpSpPr>
      <xdr:sp macro="" textlink="">
        <xdr:nvSpPr>
          <xdr:cNvPr id="2144" name="Line 96">
            <a:extLst>
              <a:ext uri="{FF2B5EF4-FFF2-40B4-BE49-F238E27FC236}">
                <a16:creationId xmlns:a16="http://schemas.microsoft.com/office/drawing/2014/main" id="{81E96337-24CB-486E-9CBF-8540FB3A022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5" name="Line 97">
            <a:extLst>
              <a:ext uri="{FF2B5EF4-FFF2-40B4-BE49-F238E27FC236}">
                <a16:creationId xmlns:a16="http://schemas.microsoft.com/office/drawing/2014/main" id="{A52AF501-1E61-47DF-8FF3-A94016A3A87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20</xdr:row>
      <xdr:rowOff>47625</xdr:rowOff>
    </xdr:from>
    <xdr:to>
      <xdr:col>17</xdr:col>
      <xdr:colOff>0</xdr:colOff>
      <xdr:row>20</xdr:row>
      <xdr:rowOff>190500</xdr:rowOff>
    </xdr:to>
    <xdr:sp macro="" textlink="">
      <xdr:nvSpPr>
        <xdr:cNvPr id="2146" name="Freeform 98">
          <a:extLst>
            <a:ext uri="{FF2B5EF4-FFF2-40B4-BE49-F238E27FC236}">
              <a16:creationId xmlns:a16="http://schemas.microsoft.com/office/drawing/2014/main" id="{4A057498-2881-4948-92EB-B0B868B3F79F}"/>
            </a:ext>
          </a:extLst>
        </xdr:cNvPr>
        <xdr:cNvSpPr>
          <a:spLocks/>
        </xdr:cNvSpPr>
      </xdr:nvSpPr>
      <xdr:spPr bwMode="auto">
        <a:xfrm>
          <a:off x="4657725" y="76581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2147" name="Group 99">
          <a:extLst>
            <a:ext uri="{FF2B5EF4-FFF2-40B4-BE49-F238E27FC236}">
              <a16:creationId xmlns:a16="http://schemas.microsoft.com/office/drawing/2014/main" id="{8D0FBBE7-22D9-4032-886E-3C9467E3FD1C}"/>
            </a:ext>
          </a:extLst>
        </xdr:cNvPr>
        <xdr:cNvGrpSpPr>
          <a:grpSpLocks/>
        </xdr:cNvGrpSpPr>
      </xdr:nvGrpSpPr>
      <xdr:grpSpPr bwMode="auto">
        <a:xfrm>
          <a:off x="4333875" y="7715250"/>
          <a:ext cx="314325" cy="47625"/>
          <a:chOff x="158" y="715"/>
          <a:chExt cx="33" cy="5"/>
        </a:xfrm>
      </xdr:grpSpPr>
      <xdr:sp macro="" textlink="">
        <xdr:nvSpPr>
          <xdr:cNvPr id="2148" name="Line 100">
            <a:extLst>
              <a:ext uri="{FF2B5EF4-FFF2-40B4-BE49-F238E27FC236}">
                <a16:creationId xmlns:a16="http://schemas.microsoft.com/office/drawing/2014/main" id="{89EE384C-EDB6-46D0-92CD-786CB0C0F1E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9" name="Line 101">
            <a:extLst>
              <a:ext uri="{FF2B5EF4-FFF2-40B4-BE49-F238E27FC236}">
                <a16:creationId xmlns:a16="http://schemas.microsoft.com/office/drawing/2014/main" id="{104BEC1D-FC66-4A80-8069-BFFA643C9FA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19</xdr:row>
      <xdr:rowOff>95250</xdr:rowOff>
    </xdr:from>
    <xdr:to>
      <xdr:col>11</xdr:col>
      <xdr:colOff>0</xdr:colOff>
      <xdr:row>19</xdr:row>
      <xdr:rowOff>142875</xdr:rowOff>
    </xdr:to>
    <xdr:grpSp>
      <xdr:nvGrpSpPr>
        <xdr:cNvPr id="2150" name="Group 102">
          <a:extLst>
            <a:ext uri="{FF2B5EF4-FFF2-40B4-BE49-F238E27FC236}">
              <a16:creationId xmlns:a16="http://schemas.microsoft.com/office/drawing/2014/main" id="{75724ADD-8CCE-44BD-8F0C-442AB2A18ACC}"/>
            </a:ext>
          </a:extLst>
        </xdr:cNvPr>
        <xdr:cNvGrpSpPr>
          <a:grpSpLocks/>
        </xdr:cNvGrpSpPr>
      </xdr:nvGrpSpPr>
      <xdr:grpSpPr bwMode="auto">
        <a:xfrm>
          <a:off x="904875" y="7477125"/>
          <a:ext cx="2171700" cy="47625"/>
          <a:chOff x="158" y="715"/>
          <a:chExt cx="33" cy="5"/>
        </a:xfrm>
      </xdr:grpSpPr>
      <xdr:sp macro="" textlink="">
        <xdr:nvSpPr>
          <xdr:cNvPr id="2151" name="Line 103">
            <a:extLst>
              <a:ext uri="{FF2B5EF4-FFF2-40B4-BE49-F238E27FC236}">
                <a16:creationId xmlns:a16="http://schemas.microsoft.com/office/drawing/2014/main" id="{4108934A-924C-4DC7-98AC-567984B3ABD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2" name="Line 104">
            <a:extLst>
              <a:ext uri="{FF2B5EF4-FFF2-40B4-BE49-F238E27FC236}">
                <a16:creationId xmlns:a16="http://schemas.microsoft.com/office/drawing/2014/main" id="{10D6AC84-BAF8-4CB4-BB4A-ACEDD4D616C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2153" name="Line 105">
          <a:extLst>
            <a:ext uri="{FF2B5EF4-FFF2-40B4-BE49-F238E27FC236}">
              <a16:creationId xmlns:a16="http://schemas.microsoft.com/office/drawing/2014/main" id="{139E6953-27EB-4A3D-9FF7-2D8F6FB33DFF}"/>
            </a:ext>
          </a:extLst>
        </xdr:cNvPr>
        <xdr:cNvSpPr>
          <a:spLocks noChangeShapeType="1"/>
        </xdr:cNvSpPr>
      </xdr:nvSpPr>
      <xdr:spPr bwMode="auto">
        <a:xfrm>
          <a:off x="307657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114300</xdr:rowOff>
    </xdr:from>
    <xdr:to>
      <xdr:col>14</xdr:col>
      <xdr:colOff>0</xdr:colOff>
      <xdr:row>20</xdr:row>
      <xdr:rowOff>114300</xdr:rowOff>
    </xdr:to>
    <xdr:sp macro="" textlink="">
      <xdr:nvSpPr>
        <xdr:cNvPr id="2154" name="Line 106">
          <a:extLst>
            <a:ext uri="{FF2B5EF4-FFF2-40B4-BE49-F238E27FC236}">
              <a16:creationId xmlns:a16="http://schemas.microsoft.com/office/drawing/2014/main" id="{16156F52-6805-49B1-97A5-72C40F056335}"/>
            </a:ext>
          </a:extLst>
        </xdr:cNvPr>
        <xdr:cNvSpPr>
          <a:spLocks noChangeShapeType="1"/>
        </xdr:cNvSpPr>
      </xdr:nvSpPr>
      <xdr:spPr bwMode="auto">
        <a:xfrm>
          <a:off x="30765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2155" name="Group 107">
          <a:extLst>
            <a:ext uri="{FF2B5EF4-FFF2-40B4-BE49-F238E27FC236}">
              <a16:creationId xmlns:a16="http://schemas.microsoft.com/office/drawing/2014/main" id="{7045CF22-5B1B-4C34-A92D-5FE925E64BFD}"/>
            </a:ext>
          </a:extLst>
        </xdr:cNvPr>
        <xdr:cNvGrpSpPr>
          <a:grpSpLocks/>
        </xdr:cNvGrpSpPr>
      </xdr:nvGrpSpPr>
      <xdr:grpSpPr bwMode="auto">
        <a:xfrm>
          <a:off x="895350" y="7705725"/>
          <a:ext cx="2181225" cy="47625"/>
          <a:chOff x="158" y="715"/>
          <a:chExt cx="33" cy="5"/>
        </a:xfrm>
      </xdr:grpSpPr>
      <xdr:sp macro="" textlink="">
        <xdr:nvSpPr>
          <xdr:cNvPr id="2156" name="Line 108">
            <a:extLst>
              <a:ext uri="{FF2B5EF4-FFF2-40B4-BE49-F238E27FC236}">
                <a16:creationId xmlns:a16="http://schemas.microsoft.com/office/drawing/2014/main" id="{ACF6B9D2-44F6-4818-B25D-AF17B28A8D8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7" name="Line 109">
            <a:extLst>
              <a:ext uri="{FF2B5EF4-FFF2-40B4-BE49-F238E27FC236}">
                <a16:creationId xmlns:a16="http://schemas.microsoft.com/office/drawing/2014/main" id="{AB4B661A-04B1-4BCE-B7F7-E9CE6BB8EBE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76200</xdr:colOff>
      <xdr:row>7</xdr:row>
      <xdr:rowOff>161925</xdr:rowOff>
    </xdr:from>
    <xdr:to>
      <xdr:col>5</xdr:col>
      <xdr:colOff>38100</xdr:colOff>
      <xdr:row>7</xdr:row>
      <xdr:rowOff>1323975</xdr:rowOff>
    </xdr:to>
    <xdr:sp macro="" textlink="">
      <xdr:nvSpPr>
        <xdr:cNvPr id="2158" name="Text Box 110">
          <a:extLst>
            <a:ext uri="{FF2B5EF4-FFF2-40B4-BE49-F238E27FC236}">
              <a16:creationId xmlns:a16="http://schemas.microsoft.com/office/drawing/2014/main" id="{76F990CC-3AF3-4749-927C-6C0519210E2A}"/>
            </a:ext>
          </a:extLst>
        </xdr:cNvPr>
        <xdr:cNvSpPr txBox="1">
          <a:spLocks noChangeArrowheads="1"/>
        </xdr:cNvSpPr>
      </xdr:nvSpPr>
      <xdr:spPr bwMode="auto">
        <a:xfrm>
          <a:off x="952500" y="1800225"/>
          <a:ext cx="2762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18</xdr:col>
      <xdr:colOff>123825</xdr:colOff>
      <xdr:row>7</xdr:row>
      <xdr:rowOff>238125</xdr:rowOff>
    </xdr:from>
    <xdr:to>
      <xdr:col>19</xdr:col>
      <xdr:colOff>38100</xdr:colOff>
      <xdr:row>7</xdr:row>
      <xdr:rowOff>1304925</xdr:rowOff>
    </xdr:to>
    <xdr:sp macro="" textlink="">
      <xdr:nvSpPr>
        <xdr:cNvPr id="2159" name="Text Box 111">
          <a:extLst>
            <a:ext uri="{FF2B5EF4-FFF2-40B4-BE49-F238E27FC236}">
              <a16:creationId xmlns:a16="http://schemas.microsoft.com/office/drawing/2014/main" id="{701FC669-A572-4022-992F-CB39F5DBCC19}"/>
            </a:ext>
          </a:extLst>
        </xdr:cNvPr>
        <xdr:cNvSpPr txBox="1">
          <a:spLocks noChangeArrowheads="1"/>
        </xdr:cNvSpPr>
      </xdr:nvSpPr>
      <xdr:spPr bwMode="auto">
        <a:xfrm>
          <a:off x="5400675" y="1876425"/>
          <a:ext cx="228600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　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8</xdr:col>
      <xdr:colOff>209550</xdr:colOff>
      <xdr:row>15</xdr:row>
      <xdr:rowOff>609600</xdr:rowOff>
    </xdr:from>
    <xdr:to>
      <xdr:col>9</xdr:col>
      <xdr:colOff>161925</xdr:colOff>
      <xdr:row>15</xdr:row>
      <xdr:rowOff>762000</xdr:rowOff>
    </xdr:to>
    <xdr:grpSp>
      <xdr:nvGrpSpPr>
        <xdr:cNvPr id="2160" name="Group 112">
          <a:extLst>
            <a:ext uri="{FF2B5EF4-FFF2-40B4-BE49-F238E27FC236}">
              <a16:creationId xmlns:a16="http://schemas.microsoft.com/office/drawing/2014/main" id="{92D48C25-DD46-4D37-A9D8-30497D06EC77}"/>
            </a:ext>
          </a:extLst>
        </xdr:cNvPr>
        <xdr:cNvGrpSpPr>
          <a:grpSpLocks/>
        </xdr:cNvGrpSpPr>
      </xdr:nvGrpSpPr>
      <xdr:grpSpPr bwMode="auto">
        <a:xfrm>
          <a:off x="2343150" y="5724525"/>
          <a:ext cx="266700" cy="152400"/>
          <a:chOff x="248" y="601"/>
          <a:chExt cx="28" cy="16"/>
        </a:xfrm>
      </xdr:grpSpPr>
      <xdr:sp macro="" textlink="">
        <xdr:nvSpPr>
          <xdr:cNvPr id="2161" name="Line 113">
            <a:extLst>
              <a:ext uri="{FF2B5EF4-FFF2-40B4-BE49-F238E27FC236}">
                <a16:creationId xmlns:a16="http://schemas.microsoft.com/office/drawing/2014/main" id="{ABC71DA8-959F-4473-8465-2BC40039A14D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2" name="Freeform 114">
            <a:extLst>
              <a:ext uri="{FF2B5EF4-FFF2-40B4-BE49-F238E27FC236}">
                <a16:creationId xmlns:a16="http://schemas.microsoft.com/office/drawing/2014/main" id="{FB4BBBB2-AC70-4721-9B07-AC3CF7F103E1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3" name="Line 115">
            <a:extLst>
              <a:ext uri="{FF2B5EF4-FFF2-40B4-BE49-F238E27FC236}">
                <a16:creationId xmlns:a16="http://schemas.microsoft.com/office/drawing/2014/main" id="{EF848332-782C-4BEE-BDC0-4D44BAA20432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4" name="Freeform 116">
            <a:extLst>
              <a:ext uri="{FF2B5EF4-FFF2-40B4-BE49-F238E27FC236}">
                <a16:creationId xmlns:a16="http://schemas.microsoft.com/office/drawing/2014/main" id="{94F0C9EA-35FD-4D37-8BCC-7521B7DC6FFB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885825</xdr:rowOff>
    </xdr:from>
    <xdr:to>
      <xdr:col>10</xdr:col>
      <xdr:colOff>180975</xdr:colOff>
      <xdr:row>15</xdr:row>
      <xdr:rowOff>1038225</xdr:rowOff>
    </xdr:to>
    <xdr:grpSp>
      <xdr:nvGrpSpPr>
        <xdr:cNvPr id="2165" name="Group 117">
          <a:extLst>
            <a:ext uri="{FF2B5EF4-FFF2-40B4-BE49-F238E27FC236}">
              <a16:creationId xmlns:a16="http://schemas.microsoft.com/office/drawing/2014/main" id="{5DFEB8DD-2307-476A-B342-C693499852A2}"/>
            </a:ext>
          </a:extLst>
        </xdr:cNvPr>
        <xdr:cNvGrpSpPr>
          <a:grpSpLocks/>
        </xdr:cNvGrpSpPr>
      </xdr:nvGrpSpPr>
      <xdr:grpSpPr bwMode="auto">
        <a:xfrm rot="-10800000">
          <a:off x="2676525" y="6000750"/>
          <a:ext cx="266700" cy="152400"/>
          <a:chOff x="248" y="601"/>
          <a:chExt cx="28" cy="16"/>
        </a:xfrm>
      </xdr:grpSpPr>
      <xdr:sp macro="" textlink="">
        <xdr:nvSpPr>
          <xdr:cNvPr id="2166" name="Line 118">
            <a:extLst>
              <a:ext uri="{FF2B5EF4-FFF2-40B4-BE49-F238E27FC236}">
                <a16:creationId xmlns:a16="http://schemas.microsoft.com/office/drawing/2014/main" id="{927DEC1E-4963-4AF3-B8C8-E8708504259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7" name="Freeform 119">
            <a:extLst>
              <a:ext uri="{FF2B5EF4-FFF2-40B4-BE49-F238E27FC236}">
                <a16:creationId xmlns:a16="http://schemas.microsoft.com/office/drawing/2014/main" id="{99B18595-29DD-4FD4-AA60-23A59FB6C5D3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8" name="Line 120">
            <a:extLst>
              <a:ext uri="{FF2B5EF4-FFF2-40B4-BE49-F238E27FC236}">
                <a16:creationId xmlns:a16="http://schemas.microsoft.com/office/drawing/2014/main" id="{2D9F1454-5C04-492E-9544-B986AC09E837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9" name="Freeform 121">
            <a:extLst>
              <a:ext uri="{FF2B5EF4-FFF2-40B4-BE49-F238E27FC236}">
                <a16:creationId xmlns:a16="http://schemas.microsoft.com/office/drawing/2014/main" id="{B65D1359-7E35-42C4-B875-33D73A2EAD6F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2170" name="Group 122">
          <a:extLst>
            <a:ext uri="{FF2B5EF4-FFF2-40B4-BE49-F238E27FC236}">
              <a16:creationId xmlns:a16="http://schemas.microsoft.com/office/drawing/2014/main" id="{5B7A44AF-B7E7-4006-BD18-279E095C9BDA}"/>
            </a:ext>
          </a:extLst>
        </xdr:cNvPr>
        <xdr:cNvGrpSpPr>
          <a:grpSpLocks/>
        </xdr:cNvGrpSpPr>
      </xdr:nvGrpSpPr>
      <xdr:grpSpPr bwMode="auto">
        <a:xfrm>
          <a:off x="2152650" y="7191375"/>
          <a:ext cx="276225" cy="171450"/>
          <a:chOff x="226" y="755"/>
          <a:chExt cx="29" cy="18"/>
        </a:xfrm>
      </xdr:grpSpPr>
      <xdr:sp macro="" textlink="">
        <xdr:nvSpPr>
          <xdr:cNvPr id="2171" name="Oval 123">
            <a:extLst>
              <a:ext uri="{FF2B5EF4-FFF2-40B4-BE49-F238E27FC236}">
                <a16:creationId xmlns:a16="http://schemas.microsoft.com/office/drawing/2014/main" id="{C56CB4EA-B609-46D0-98F0-CEF95DD1A4F1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2" name="Line 124">
            <a:extLst>
              <a:ext uri="{FF2B5EF4-FFF2-40B4-BE49-F238E27FC236}">
                <a16:creationId xmlns:a16="http://schemas.microsoft.com/office/drawing/2014/main" id="{AC71DBC9-A9E7-4194-968E-E4A7958A7A57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3" name="Freeform 125">
            <a:extLst>
              <a:ext uri="{FF2B5EF4-FFF2-40B4-BE49-F238E27FC236}">
                <a16:creationId xmlns:a16="http://schemas.microsoft.com/office/drawing/2014/main" id="{9A33A640-3CB7-45A4-8852-C3C43CF99AA2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38100</xdr:rowOff>
    </xdr:from>
    <xdr:to>
      <xdr:col>15</xdr:col>
      <xdr:colOff>295275</xdr:colOff>
      <xdr:row>21</xdr:row>
      <xdr:rowOff>209550</xdr:rowOff>
    </xdr:to>
    <xdr:grpSp>
      <xdr:nvGrpSpPr>
        <xdr:cNvPr id="2174" name="Group 126">
          <a:extLst>
            <a:ext uri="{FF2B5EF4-FFF2-40B4-BE49-F238E27FC236}">
              <a16:creationId xmlns:a16="http://schemas.microsoft.com/office/drawing/2014/main" id="{11709426-7CE7-4C5B-9D41-D940444FB1EC}"/>
            </a:ext>
          </a:extLst>
        </xdr:cNvPr>
        <xdr:cNvGrpSpPr>
          <a:grpSpLocks/>
        </xdr:cNvGrpSpPr>
      </xdr:nvGrpSpPr>
      <xdr:grpSpPr bwMode="auto">
        <a:xfrm>
          <a:off x="4352925" y="7877175"/>
          <a:ext cx="276225" cy="171450"/>
          <a:chOff x="226" y="755"/>
          <a:chExt cx="29" cy="18"/>
        </a:xfrm>
      </xdr:grpSpPr>
      <xdr:sp macro="" textlink="">
        <xdr:nvSpPr>
          <xdr:cNvPr id="2175" name="Oval 127">
            <a:extLst>
              <a:ext uri="{FF2B5EF4-FFF2-40B4-BE49-F238E27FC236}">
                <a16:creationId xmlns:a16="http://schemas.microsoft.com/office/drawing/2014/main" id="{1ED4FD0A-A97F-40F5-BBD3-123FA183FBD3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6" name="Line 128">
            <a:extLst>
              <a:ext uri="{FF2B5EF4-FFF2-40B4-BE49-F238E27FC236}">
                <a16:creationId xmlns:a16="http://schemas.microsoft.com/office/drawing/2014/main" id="{B71A3177-92D4-479A-A817-A99CCF687F85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7" name="Freeform 129">
            <a:extLst>
              <a:ext uri="{FF2B5EF4-FFF2-40B4-BE49-F238E27FC236}">
                <a16:creationId xmlns:a16="http://schemas.microsoft.com/office/drawing/2014/main" id="{E23A3AC0-38AF-4DE8-A3D1-AC8865E7C2E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5</xdr:col>
      <xdr:colOff>171450</xdr:colOff>
      <xdr:row>3</xdr:row>
      <xdr:rowOff>114300</xdr:rowOff>
    </xdr:from>
    <xdr:to>
      <xdr:col>19</xdr:col>
      <xdr:colOff>104775</xdr:colOff>
      <xdr:row>10</xdr:row>
      <xdr:rowOff>200025</xdr:rowOff>
    </xdr:to>
    <xdr:pic>
      <xdr:nvPicPr>
        <xdr:cNvPr id="2178" name="Picture 130">
          <a:extLst>
            <a:ext uri="{FF2B5EF4-FFF2-40B4-BE49-F238E27FC236}">
              <a16:creationId xmlns:a16="http://schemas.microsoft.com/office/drawing/2014/main" id="{AEDCA20D-9AA8-4719-AC08-61420CE7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38200"/>
          <a:ext cx="43338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8</xdr:row>
      <xdr:rowOff>171450</xdr:rowOff>
    </xdr:from>
    <xdr:to>
      <xdr:col>6</xdr:col>
      <xdr:colOff>180975</xdr:colOff>
      <xdr:row>13</xdr:row>
      <xdr:rowOff>19050</xdr:rowOff>
    </xdr:to>
    <xdr:sp macro="" textlink="">
      <xdr:nvSpPr>
        <xdr:cNvPr id="2179" name="Text Box 131">
          <a:extLst>
            <a:ext uri="{FF2B5EF4-FFF2-40B4-BE49-F238E27FC236}">
              <a16:creationId xmlns:a16="http://schemas.microsoft.com/office/drawing/2014/main" id="{4D32CE19-2B29-4C55-8929-87BB44190C23}"/>
            </a:ext>
          </a:extLst>
        </xdr:cNvPr>
        <xdr:cNvSpPr txBox="1">
          <a:spLocks noChangeArrowheads="1"/>
        </xdr:cNvSpPr>
      </xdr:nvSpPr>
      <xdr:spPr bwMode="auto">
        <a:xfrm>
          <a:off x="57150" y="3686175"/>
          <a:ext cx="1628775" cy="990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高齢者感応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指定色：相生グレー、自立</a:t>
          </a:r>
        </a:p>
      </xdr:txBody>
    </xdr:sp>
    <xdr:clientData/>
  </xdr:twoCellAnchor>
  <xdr:twoCellAnchor>
    <xdr:from>
      <xdr:col>5</xdr:col>
      <xdr:colOff>228600</xdr:colOff>
      <xdr:row>15</xdr:row>
      <xdr:rowOff>1257300</xdr:rowOff>
    </xdr:from>
    <xdr:to>
      <xdr:col>6</xdr:col>
      <xdr:colOff>266700</xdr:colOff>
      <xdr:row>15</xdr:row>
      <xdr:rowOff>1419225</xdr:rowOff>
    </xdr:to>
    <xdr:sp macro="" textlink="">
      <xdr:nvSpPr>
        <xdr:cNvPr id="2180" name="Text Box 132">
          <a:extLst>
            <a:ext uri="{FF2B5EF4-FFF2-40B4-BE49-F238E27FC236}">
              <a16:creationId xmlns:a16="http://schemas.microsoft.com/office/drawing/2014/main" id="{59902280-C068-4EB4-A1CA-BD689F84E7D0}"/>
            </a:ext>
          </a:extLst>
        </xdr:cNvPr>
        <xdr:cNvSpPr txBox="1">
          <a:spLocks noChangeArrowheads="1"/>
        </xdr:cNvSpPr>
      </xdr:nvSpPr>
      <xdr:spPr bwMode="auto">
        <a:xfrm>
          <a:off x="1419225" y="6372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26.3m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10</xdr:col>
      <xdr:colOff>304800</xdr:colOff>
      <xdr:row>15</xdr:row>
      <xdr:rowOff>1143000</xdr:rowOff>
    </xdr:from>
    <xdr:to>
      <xdr:col>12</xdr:col>
      <xdr:colOff>28575</xdr:colOff>
      <xdr:row>15</xdr:row>
      <xdr:rowOff>1304925</xdr:rowOff>
    </xdr:to>
    <xdr:sp macro="" textlink="">
      <xdr:nvSpPr>
        <xdr:cNvPr id="2181" name="Text Box 133">
          <a:extLst>
            <a:ext uri="{FF2B5EF4-FFF2-40B4-BE49-F238E27FC236}">
              <a16:creationId xmlns:a16="http://schemas.microsoft.com/office/drawing/2014/main" id="{68042478-1825-421C-A0F9-5DF26E5B6AA5}"/>
            </a:ext>
          </a:extLst>
        </xdr:cNvPr>
        <xdr:cNvSpPr txBox="1">
          <a:spLocks noChangeArrowheads="1"/>
        </xdr:cNvSpPr>
      </xdr:nvSpPr>
      <xdr:spPr bwMode="auto">
        <a:xfrm>
          <a:off x="3067050" y="62579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23.5m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2182" name="Picture 134">
          <a:extLst>
            <a:ext uri="{FF2B5EF4-FFF2-40B4-BE49-F238E27FC236}">
              <a16:creationId xmlns:a16="http://schemas.microsoft.com/office/drawing/2014/main" id="{95E51686-B979-4368-8506-3CAD4DA28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114300</xdr:colOff>
      <xdr:row>15</xdr:row>
      <xdr:rowOff>466725</xdr:rowOff>
    </xdr:from>
    <xdr:to>
      <xdr:col>22</xdr:col>
      <xdr:colOff>276225</xdr:colOff>
      <xdr:row>15</xdr:row>
      <xdr:rowOff>1162050</xdr:rowOff>
    </xdr:to>
    <xdr:pic>
      <xdr:nvPicPr>
        <xdr:cNvPr id="2183" name="Picture 135">
          <a:extLst>
            <a:ext uri="{FF2B5EF4-FFF2-40B4-BE49-F238E27FC236}">
              <a16:creationId xmlns:a16="http://schemas.microsoft.com/office/drawing/2014/main" id="{4F3EB508-E1C7-461E-AA4E-A9BD0625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5581650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47625</xdr:colOff>
      <xdr:row>15</xdr:row>
      <xdr:rowOff>209550</xdr:rowOff>
    </xdr:from>
    <xdr:to>
      <xdr:col>12</xdr:col>
      <xdr:colOff>85725</xdr:colOff>
      <xdr:row>15</xdr:row>
      <xdr:rowOff>371475</xdr:rowOff>
    </xdr:to>
    <xdr:sp macro="" textlink="">
      <xdr:nvSpPr>
        <xdr:cNvPr id="2184" name="Text Box 136">
          <a:extLst>
            <a:ext uri="{FF2B5EF4-FFF2-40B4-BE49-F238E27FC236}">
              <a16:creationId xmlns:a16="http://schemas.microsoft.com/office/drawing/2014/main" id="{24869B15-3E33-4A3E-A8CB-8D5B4410B8EA}"/>
            </a:ext>
          </a:extLst>
        </xdr:cNvPr>
        <xdr:cNvSpPr txBox="1">
          <a:spLocks noChangeArrowheads="1"/>
        </xdr:cNvSpPr>
      </xdr:nvSpPr>
      <xdr:spPr bwMode="auto">
        <a:xfrm>
          <a:off x="312420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38100</xdr:colOff>
      <xdr:row>15</xdr:row>
      <xdr:rowOff>228600</xdr:rowOff>
    </xdr:from>
    <xdr:to>
      <xdr:col>8</xdr:col>
      <xdr:colOff>76200</xdr:colOff>
      <xdr:row>15</xdr:row>
      <xdr:rowOff>390525</xdr:rowOff>
    </xdr:to>
    <xdr:sp macro="" textlink="">
      <xdr:nvSpPr>
        <xdr:cNvPr id="2185" name="Text Box 137">
          <a:extLst>
            <a:ext uri="{FF2B5EF4-FFF2-40B4-BE49-F238E27FC236}">
              <a16:creationId xmlns:a16="http://schemas.microsoft.com/office/drawing/2014/main" id="{F2191F42-2A44-412B-9E19-633FEB8092C6}"/>
            </a:ext>
          </a:extLst>
        </xdr:cNvPr>
        <xdr:cNvSpPr txBox="1">
          <a:spLocks noChangeArrowheads="1"/>
        </xdr:cNvSpPr>
      </xdr:nvSpPr>
      <xdr:spPr bwMode="auto">
        <a:xfrm>
          <a:off x="1857375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57150</xdr:colOff>
      <xdr:row>15</xdr:row>
      <xdr:rowOff>1181100</xdr:rowOff>
    </xdr:from>
    <xdr:to>
      <xdr:col>8</xdr:col>
      <xdr:colOff>95250</xdr:colOff>
      <xdr:row>15</xdr:row>
      <xdr:rowOff>1343025</xdr:rowOff>
    </xdr:to>
    <xdr:sp macro="" textlink="">
      <xdr:nvSpPr>
        <xdr:cNvPr id="2186" name="Text Box 138">
          <a:extLst>
            <a:ext uri="{FF2B5EF4-FFF2-40B4-BE49-F238E27FC236}">
              <a16:creationId xmlns:a16="http://schemas.microsoft.com/office/drawing/2014/main" id="{003D6A0A-222D-4E21-9ACE-526192D791AC}"/>
            </a:ext>
          </a:extLst>
        </xdr:cNvPr>
        <xdr:cNvSpPr txBox="1">
          <a:spLocks noChangeArrowheads="1"/>
        </xdr:cNvSpPr>
      </xdr:nvSpPr>
      <xdr:spPr bwMode="auto">
        <a:xfrm>
          <a:off x="18764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14</xdr:col>
      <xdr:colOff>19050</xdr:colOff>
      <xdr:row>15</xdr:row>
      <xdr:rowOff>209550</xdr:rowOff>
    </xdr:from>
    <xdr:to>
      <xdr:col>15</xdr:col>
      <xdr:colOff>57150</xdr:colOff>
      <xdr:row>15</xdr:row>
      <xdr:rowOff>371475</xdr:rowOff>
    </xdr:to>
    <xdr:sp macro="" textlink="">
      <xdr:nvSpPr>
        <xdr:cNvPr id="2187" name="Text Box 139">
          <a:extLst>
            <a:ext uri="{FF2B5EF4-FFF2-40B4-BE49-F238E27FC236}">
              <a16:creationId xmlns:a16="http://schemas.microsoft.com/office/drawing/2014/main" id="{F2B0C50C-9C05-48D7-B675-3DE72C6FE330}"/>
            </a:ext>
          </a:extLst>
        </xdr:cNvPr>
        <xdr:cNvSpPr txBox="1">
          <a:spLocks noChangeArrowheads="1"/>
        </xdr:cNvSpPr>
      </xdr:nvSpPr>
      <xdr:spPr bwMode="auto">
        <a:xfrm>
          <a:off x="403860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19</xdr:col>
      <xdr:colOff>190500</xdr:colOff>
      <xdr:row>7</xdr:row>
      <xdr:rowOff>180975</xdr:rowOff>
    </xdr:from>
    <xdr:to>
      <xdr:col>20</xdr:col>
      <xdr:colOff>152400</xdr:colOff>
      <xdr:row>7</xdr:row>
      <xdr:rowOff>1343025</xdr:rowOff>
    </xdr:to>
    <xdr:sp macro="" textlink="">
      <xdr:nvSpPr>
        <xdr:cNvPr id="2188" name="Text Box 140">
          <a:extLst>
            <a:ext uri="{FF2B5EF4-FFF2-40B4-BE49-F238E27FC236}">
              <a16:creationId xmlns:a16="http://schemas.microsoft.com/office/drawing/2014/main" id="{B472CD4F-D016-46F5-92F8-2600501B1CDE}"/>
            </a:ext>
          </a:extLst>
        </xdr:cNvPr>
        <xdr:cNvSpPr txBox="1">
          <a:spLocks noChangeArrowheads="1"/>
        </xdr:cNvSpPr>
      </xdr:nvSpPr>
      <xdr:spPr bwMode="auto">
        <a:xfrm>
          <a:off x="5781675" y="1819275"/>
          <a:ext cx="2762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BA47F4E5-6F7E-4240-A11B-9C25C92F8961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BEE5DF4D-8306-44E8-AB7F-5BDA26FBA12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7" name="Freeform 3">
          <a:extLst>
            <a:ext uri="{FF2B5EF4-FFF2-40B4-BE49-F238E27FC236}">
              <a16:creationId xmlns:a16="http://schemas.microsoft.com/office/drawing/2014/main" id="{43F5F3AB-FB38-43C6-8EBE-11BA56D660A4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57150</xdr:colOff>
      <xdr:row>16</xdr:row>
      <xdr:rowOff>38100</xdr:rowOff>
    </xdr:from>
    <xdr:to>
      <xdr:col>5</xdr:col>
      <xdr:colOff>276225</xdr:colOff>
      <xdr:row>16</xdr:row>
      <xdr:rowOff>190500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50A876CB-9B3A-4F4A-9BB3-69AAA147AB0C}"/>
            </a:ext>
          </a:extLst>
        </xdr:cNvPr>
        <xdr:cNvGrpSpPr>
          <a:grpSpLocks/>
        </xdr:cNvGrpSpPr>
      </xdr:nvGrpSpPr>
      <xdr:grpSpPr bwMode="auto">
        <a:xfrm>
          <a:off x="1247775" y="6734175"/>
          <a:ext cx="219075" cy="152400"/>
          <a:chOff x="132" y="708"/>
          <a:chExt cx="20" cy="14"/>
        </a:xfrm>
      </xdr:grpSpPr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50B628F1-09E0-4342-81CD-0F0DB308608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73FD6C79-3845-493A-82F7-3583732C5E9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11F3AC2F-59A9-4572-A305-1070C535230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E6E0C66C-0400-48ED-A954-B0FD0815B4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0</xdr:colOff>
      <xdr:row>16</xdr:row>
      <xdr:rowOff>142875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A25FD662-8380-4913-9498-63F7475BD3FD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771900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617387C4-B78D-469D-BF14-C90B7569C8D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E73F6E65-B5D8-4240-A5BF-307F2EF83D0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F8B53675-24CA-47DC-9142-6AB693D76C0F}"/>
            </a:ext>
          </a:extLst>
        </xdr:cNvPr>
        <xdr:cNvSpPr>
          <a:spLocks noChangeShapeType="1"/>
        </xdr:cNvSpPr>
      </xdr:nvSpPr>
      <xdr:spPr bwMode="auto">
        <a:xfrm>
          <a:off x="895350" y="7038975"/>
          <a:ext cx="9239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CDA9E086-F241-47C2-BE72-16D65699D088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2514600" cy="47625"/>
          <a:chOff x="158" y="715"/>
          <a:chExt cx="33" cy="5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19AFFF74-C314-4024-9321-A912B2F50E7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3E2CB4BF-7383-4E16-8C12-672BE8512F3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10</xdr:col>
      <xdr:colOff>0</xdr:colOff>
      <xdr:row>17</xdr:row>
      <xdr:rowOff>190500</xdr:rowOff>
    </xdr:to>
    <xdr:sp macro="" textlink="">
      <xdr:nvSpPr>
        <xdr:cNvPr id="1040" name="Freeform 16">
          <a:extLst>
            <a:ext uri="{FF2B5EF4-FFF2-40B4-BE49-F238E27FC236}">
              <a16:creationId xmlns:a16="http://schemas.microsoft.com/office/drawing/2014/main" id="{FA31262D-DDB3-4C6A-9FA0-5F0BED12339B}"/>
            </a:ext>
          </a:extLst>
        </xdr:cNvPr>
        <xdr:cNvSpPr>
          <a:spLocks/>
        </xdr:cNvSpPr>
      </xdr:nvSpPr>
      <xdr:spPr bwMode="auto">
        <a:xfrm>
          <a:off x="2457450" y="69723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02A0E519-015C-4756-A9BB-E468056E5120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38985D28-D83B-4607-BBDC-5CB8D80E1B9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6AD5328A-B8E7-49F8-B4EF-5D75BEF91C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457200</xdr:rowOff>
    </xdr:from>
    <xdr:to>
      <xdr:col>7</xdr:col>
      <xdr:colOff>209550</xdr:colOff>
      <xdr:row>15</xdr:row>
      <xdr:rowOff>762000</xdr:rowOff>
    </xdr:to>
    <xdr:grpSp>
      <xdr:nvGrpSpPr>
        <xdr:cNvPr id="1044" name="Group 20">
          <a:extLst>
            <a:ext uri="{FF2B5EF4-FFF2-40B4-BE49-F238E27FC236}">
              <a16:creationId xmlns:a16="http://schemas.microsoft.com/office/drawing/2014/main" id="{E8D88C7F-9800-45EA-85E6-39C4A4F0F316}"/>
            </a:ext>
          </a:extLst>
        </xdr:cNvPr>
        <xdr:cNvGrpSpPr>
          <a:grpSpLocks/>
        </xdr:cNvGrpSpPr>
      </xdr:nvGrpSpPr>
      <xdr:grpSpPr bwMode="auto">
        <a:xfrm>
          <a:off x="1028700" y="5572125"/>
          <a:ext cx="1000125" cy="304800"/>
          <a:chOff x="123" y="585"/>
          <a:chExt cx="105" cy="32"/>
        </a:xfrm>
      </xdr:grpSpPr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0C2CCEEF-9119-432A-A4C1-FCD659B2EBA1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6" name="Freeform 22">
            <a:extLst>
              <a:ext uri="{FF2B5EF4-FFF2-40B4-BE49-F238E27FC236}">
                <a16:creationId xmlns:a16="http://schemas.microsoft.com/office/drawing/2014/main" id="{7029BEAE-6A28-477F-8F3F-8F853F2904C0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047" name="Group 23">
            <a:extLst>
              <a:ext uri="{FF2B5EF4-FFF2-40B4-BE49-F238E27FC236}">
                <a16:creationId xmlns:a16="http://schemas.microsoft.com/office/drawing/2014/main" id="{D5288C95-6D4D-4F2B-B5DF-75BFF9731042}"/>
              </a:ext>
            </a:extLst>
          </xdr:cNvPr>
          <xdr:cNvGrpSpPr>
            <a:grpSpLocks/>
          </xdr:cNvGrpSpPr>
        </xdr:nvGrpSpPr>
        <xdr:grpSpPr bwMode="auto">
          <a:xfrm>
            <a:off x="143" y="585"/>
            <a:ext cx="11" cy="16"/>
            <a:chOff x="130" y="585"/>
            <a:chExt cx="11" cy="16"/>
          </a:xfrm>
        </xdr:grpSpPr>
        <xdr:sp macro="" textlink="">
          <xdr:nvSpPr>
            <xdr:cNvPr id="1048" name="Freeform 24">
              <a:extLst>
                <a:ext uri="{FF2B5EF4-FFF2-40B4-BE49-F238E27FC236}">
                  <a16:creationId xmlns:a16="http://schemas.microsoft.com/office/drawing/2014/main" id="{D0336C0A-ED49-47F3-93EC-1675BC581116}"/>
                </a:ext>
              </a:extLst>
            </xdr:cNvPr>
            <xdr:cNvSpPr>
              <a:spLocks/>
            </xdr:cNvSpPr>
          </xdr:nvSpPr>
          <xdr:spPr bwMode="auto">
            <a:xfrm>
              <a:off x="130" y="59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9" name="Line 25">
              <a:extLst>
                <a:ext uri="{FF2B5EF4-FFF2-40B4-BE49-F238E27FC236}">
                  <a16:creationId xmlns:a16="http://schemas.microsoft.com/office/drawing/2014/main" id="{30B03214-1D0E-445C-AEBF-E2B2E92DE19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7" y="58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0" name="Freeform 26">
              <a:extLst>
                <a:ext uri="{FF2B5EF4-FFF2-40B4-BE49-F238E27FC236}">
                  <a16:creationId xmlns:a16="http://schemas.microsoft.com/office/drawing/2014/main" id="{5FB47760-0FF3-45BF-A8DB-095DE2367F4C}"/>
                </a:ext>
              </a:extLst>
            </xdr:cNvPr>
            <xdr:cNvSpPr>
              <a:spLocks/>
            </xdr:cNvSpPr>
          </xdr:nvSpPr>
          <xdr:spPr bwMode="auto">
            <a:xfrm>
              <a:off x="133" y="58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51" name="Group 27">
            <a:extLst>
              <a:ext uri="{FF2B5EF4-FFF2-40B4-BE49-F238E27FC236}">
                <a16:creationId xmlns:a16="http://schemas.microsoft.com/office/drawing/2014/main" id="{7CB082C9-6F47-4C51-9C6A-E7C68E0FFD51}"/>
              </a:ext>
            </a:extLst>
          </xdr:cNvPr>
          <xdr:cNvGrpSpPr>
            <a:grpSpLocks/>
          </xdr:cNvGrpSpPr>
        </xdr:nvGrpSpPr>
        <xdr:grpSpPr bwMode="auto">
          <a:xfrm>
            <a:off x="158" y="601"/>
            <a:ext cx="12" cy="16"/>
            <a:chOff x="141" y="601"/>
            <a:chExt cx="12" cy="16"/>
          </a:xfrm>
        </xdr:grpSpPr>
        <xdr:sp macro="" textlink="">
          <xdr:nvSpPr>
            <xdr:cNvPr id="1052" name="Freeform 28">
              <a:extLst>
                <a:ext uri="{FF2B5EF4-FFF2-40B4-BE49-F238E27FC236}">
                  <a16:creationId xmlns:a16="http://schemas.microsoft.com/office/drawing/2014/main" id="{8C84025D-08EF-464B-A809-4BA437E61188}"/>
                </a:ext>
              </a:extLst>
            </xdr:cNvPr>
            <xdr:cNvSpPr>
              <a:spLocks/>
            </xdr:cNvSpPr>
          </xdr:nvSpPr>
          <xdr:spPr bwMode="auto">
            <a:xfrm>
              <a:off x="141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3" name="Line 29">
              <a:extLst>
                <a:ext uri="{FF2B5EF4-FFF2-40B4-BE49-F238E27FC236}">
                  <a16:creationId xmlns:a16="http://schemas.microsoft.com/office/drawing/2014/main" id="{EFFA39B0-C7BB-4A7B-8EC1-6CA485EA67A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49" y="608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4" name="Freeform 30">
              <a:extLst>
                <a:ext uri="{FF2B5EF4-FFF2-40B4-BE49-F238E27FC236}">
                  <a16:creationId xmlns:a16="http://schemas.microsoft.com/office/drawing/2014/main" id="{314CC478-1817-4728-B7BC-2F8FF9D4596D}"/>
                </a:ext>
              </a:extLst>
            </xdr:cNvPr>
            <xdr:cNvSpPr>
              <a:spLocks/>
            </xdr:cNvSpPr>
          </xdr:nvSpPr>
          <xdr:spPr bwMode="auto">
            <a:xfrm>
              <a:off x="145" y="610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238125</xdr:colOff>
      <xdr:row>15</xdr:row>
      <xdr:rowOff>276225</xdr:rowOff>
    </xdr:from>
    <xdr:to>
      <xdr:col>7</xdr:col>
      <xdr:colOff>28575</xdr:colOff>
      <xdr:row>15</xdr:row>
      <xdr:rowOff>333375</xdr:rowOff>
    </xdr:to>
    <xdr:grpSp>
      <xdr:nvGrpSpPr>
        <xdr:cNvPr id="1055" name="Group 31">
          <a:extLst>
            <a:ext uri="{FF2B5EF4-FFF2-40B4-BE49-F238E27FC236}">
              <a16:creationId xmlns:a16="http://schemas.microsoft.com/office/drawing/2014/main" id="{85749577-7882-436F-84B0-059A218179A4}"/>
            </a:ext>
          </a:extLst>
        </xdr:cNvPr>
        <xdr:cNvGrpSpPr>
          <a:grpSpLocks/>
        </xdr:cNvGrpSpPr>
      </xdr:nvGrpSpPr>
      <xdr:grpSpPr bwMode="auto">
        <a:xfrm>
          <a:off x="1114425" y="5391150"/>
          <a:ext cx="733425" cy="57150"/>
          <a:chOff x="123" y="549"/>
          <a:chExt cx="77" cy="6"/>
        </a:xfrm>
      </xdr:grpSpPr>
      <xdr:sp macro="" textlink="">
        <xdr:nvSpPr>
          <xdr:cNvPr id="1056" name="Line 32">
            <a:extLst>
              <a:ext uri="{FF2B5EF4-FFF2-40B4-BE49-F238E27FC236}">
                <a16:creationId xmlns:a16="http://schemas.microsoft.com/office/drawing/2014/main" id="{06941A6F-F0D9-4EB2-8BEA-CE207014138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Freeform 33">
            <a:extLst>
              <a:ext uri="{FF2B5EF4-FFF2-40B4-BE49-F238E27FC236}">
                <a16:creationId xmlns:a16="http://schemas.microsoft.com/office/drawing/2014/main" id="{E4A6D128-904C-4139-94DC-0CD9FE2356A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B8758326-49DE-4D9D-8025-9642614CE75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828675</xdr:rowOff>
    </xdr:from>
    <xdr:to>
      <xdr:col>7</xdr:col>
      <xdr:colOff>209550</xdr:colOff>
      <xdr:row>15</xdr:row>
      <xdr:rowOff>1123950</xdr:rowOff>
    </xdr:to>
    <xdr:grpSp>
      <xdr:nvGrpSpPr>
        <xdr:cNvPr id="1059" name="Group 35">
          <a:extLst>
            <a:ext uri="{FF2B5EF4-FFF2-40B4-BE49-F238E27FC236}">
              <a16:creationId xmlns:a16="http://schemas.microsoft.com/office/drawing/2014/main" id="{6378AE5D-A99A-4282-A699-E5D9937F72BE}"/>
            </a:ext>
          </a:extLst>
        </xdr:cNvPr>
        <xdr:cNvGrpSpPr>
          <a:grpSpLocks/>
        </xdr:cNvGrpSpPr>
      </xdr:nvGrpSpPr>
      <xdr:grpSpPr bwMode="auto">
        <a:xfrm>
          <a:off x="1028700" y="5943600"/>
          <a:ext cx="1000125" cy="295275"/>
          <a:chOff x="122" y="624"/>
          <a:chExt cx="105" cy="31"/>
        </a:xfrm>
      </xdr:grpSpPr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2D505C4D-8B1F-4BC1-9C1F-C5359321053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3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Freeform 37">
            <a:extLst>
              <a:ext uri="{FF2B5EF4-FFF2-40B4-BE49-F238E27FC236}">
                <a16:creationId xmlns:a16="http://schemas.microsoft.com/office/drawing/2014/main" id="{4DAC4B1A-F7E8-43C4-97CA-1891090FAA59}"/>
              </a:ext>
            </a:extLst>
          </xdr:cNvPr>
          <xdr:cNvSpPr>
            <a:spLocks/>
          </xdr:cNvSpPr>
        </xdr:nvSpPr>
        <xdr:spPr bwMode="auto">
          <a:xfrm rot="-10800000">
            <a:off x="122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2" name="Freeform 38">
            <a:extLst>
              <a:ext uri="{FF2B5EF4-FFF2-40B4-BE49-F238E27FC236}">
                <a16:creationId xmlns:a16="http://schemas.microsoft.com/office/drawing/2014/main" id="{2A4ECA0F-8162-450D-8800-F5F7E61937BF}"/>
              </a:ext>
            </a:extLst>
          </xdr:cNvPr>
          <xdr:cNvSpPr>
            <a:spLocks/>
          </xdr:cNvSpPr>
        </xdr:nvSpPr>
        <xdr:spPr bwMode="auto">
          <a:xfrm rot="-10800000">
            <a:off x="202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27AF9920-82C8-4C3D-A51F-26DBDE136777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02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13692866-2111-426B-BB4D-37F6E30C85EF}"/>
              </a:ext>
            </a:extLst>
          </xdr:cNvPr>
          <xdr:cNvSpPr>
            <a:spLocks/>
          </xdr:cNvSpPr>
        </xdr:nvSpPr>
        <xdr:spPr bwMode="auto">
          <a:xfrm rot="-10800000">
            <a:off x="198" y="648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B3203D87-61EF-45E6-BEAB-D295508FB0F0}"/>
              </a:ext>
            </a:extLst>
          </xdr:cNvPr>
          <xdr:cNvSpPr>
            <a:spLocks/>
          </xdr:cNvSpPr>
        </xdr:nvSpPr>
        <xdr:spPr bwMode="auto">
          <a:xfrm rot="-10800000">
            <a:off x="186" y="63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7223BC09-6870-4D72-909B-AED2CE33F4EB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6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Freeform 43">
            <a:extLst>
              <a:ext uri="{FF2B5EF4-FFF2-40B4-BE49-F238E27FC236}">
                <a16:creationId xmlns:a16="http://schemas.microsoft.com/office/drawing/2014/main" id="{69B11F9A-A44C-414F-AAE7-B3309B9C91CA}"/>
              </a:ext>
            </a:extLst>
          </xdr:cNvPr>
          <xdr:cNvSpPr>
            <a:spLocks/>
          </xdr:cNvSpPr>
        </xdr:nvSpPr>
        <xdr:spPr bwMode="auto">
          <a:xfrm rot="-10800000">
            <a:off x="182" y="62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247650</xdr:colOff>
      <xdr:row>15</xdr:row>
      <xdr:rowOff>1209675</xdr:rowOff>
    </xdr:from>
    <xdr:to>
      <xdr:col>7</xdr:col>
      <xdr:colOff>38100</xdr:colOff>
      <xdr:row>15</xdr:row>
      <xdr:rowOff>1266825</xdr:rowOff>
    </xdr:to>
    <xdr:grpSp>
      <xdr:nvGrpSpPr>
        <xdr:cNvPr id="1068" name="Group 44">
          <a:extLst>
            <a:ext uri="{FF2B5EF4-FFF2-40B4-BE49-F238E27FC236}">
              <a16:creationId xmlns:a16="http://schemas.microsoft.com/office/drawing/2014/main" id="{910865E1-5A2C-476D-81D7-C5CA45B417AE}"/>
            </a:ext>
          </a:extLst>
        </xdr:cNvPr>
        <xdr:cNvGrpSpPr>
          <a:grpSpLocks/>
        </xdr:cNvGrpSpPr>
      </xdr:nvGrpSpPr>
      <xdr:grpSpPr bwMode="auto">
        <a:xfrm>
          <a:off x="1123950" y="6324600"/>
          <a:ext cx="733425" cy="57150"/>
          <a:chOff x="123" y="549"/>
          <a:chExt cx="77" cy="6"/>
        </a:xfrm>
      </xdr:grpSpPr>
      <xdr:sp macro="" textlink="">
        <xdr:nvSpPr>
          <xdr:cNvPr id="1069" name="Line 45">
            <a:extLst>
              <a:ext uri="{FF2B5EF4-FFF2-40B4-BE49-F238E27FC236}">
                <a16:creationId xmlns:a16="http://schemas.microsoft.com/office/drawing/2014/main" id="{B9EF35A0-0FC4-4C96-BA40-B2388DBBE2B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0" name="Freeform 46">
            <a:extLst>
              <a:ext uri="{FF2B5EF4-FFF2-40B4-BE49-F238E27FC236}">
                <a16:creationId xmlns:a16="http://schemas.microsoft.com/office/drawing/2014/main" id="{CB45D8F3-8259-42E3-877D-73CFEDA8EEE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6FDBAEAB-D699-42BC-A105-281DA60D9D8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15</xdr:row>
      <xdr:rowOff>266700</xdr:rowOff>
    </xdr:from>
    <xdr:to>
      <xdr:col>14</xdr:col>
      <xdr:colOff>180975</xdr:colOff>
      <xdr:row>15</xdr:row>
      <xdr:rowOff>1276350</xdr:rowOff>
    </xdr:to>
    <xdr:grpSp>
      <xdr:nvGrpSpPr>
        <xdr:cNvPr id="1072" name="Group 48">
          <a:extLst>
            <a:ext uri="{FF2B5EF4-FFF2-40B4-BE49-F238E27FC236}">
              <a16:creationId xmlns:a16="http://schemas.microsoft.com/office/drawing/2014/main" id="{72659342-1E87-4659-A9B7-408870AE65EC}"/>
            </a:ext>
          </a:extLst>
        </xdr:cNvPr>
        <xdr:cNvGrpSpPr>
          <a:grpSpLocks/>
        </xdr:cNvGrpSpPr>
      </xdr:nvGrpSpPr>
      <xdr:grpSpPr bwMode="auto">
        <a:xfrm>
          <a:off x="3200400" y="5381625"/>
          <a:ext cx="1000125" cy="1009650"/>
          <a:chOff x="336" y="565"/>
          <a:chExt cx="105" cy="106"/>
        </a:xfrm>
      </xdr:grpSpPr>
      <xdr:grpSp>
        <xdr:nvGrpSpPr>
          <xdr:cNvPr id="1073" name="Group 49">
            <a:extLst>
              <a:ext uri="{FF2B5EF4-FFF2-40B4-BE49-F238E27FC236}">
                <a16:creationId xmlns:a16="http://schemas.microsoft.com/office/drawing/2014/main" id="{CD042639-5F9A-4831-9D70-C3E487753C56}"/>
              </a:ext>
            </a:extLst>
          </xdr:cNvPr>
          <xdr:cNvGrpSpPr>
            <a:grpSpLocks/>
          </xdr:cNvGrpSpPr>
        </xdr:nvGrpSpPr>
        <xdr:grpSpPr bwMode="auto">
          <a:xfrm rot="5400000">
            <a:off x="300" y="615"/>
            <a:ext cx="77" cy="6"/>
            <a:chOff x="123" y="549"/>
            <a:chExt cx="77" cy="6"/>
          </a:xfrm>
        </xdr:grpSpPr>
        <xdr:sp macro="" textlink="">
          <xdr:nvSpPr>
            <xdr:cNvPr id="1074" name="Line 50">
              <a:extLst>
                <a:ext uri="{FF2B5EF4-FFF2-40B4-BE49-F238E27FC236}">
                  <a16:creationId xmlns:a16="http://schemas.microsoft.com/office/drawing/2014/main" id="{869DCE78-4AFB-4357-BCCB-51AABB2C8C0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5" name="Freeform 51">
              <a:extLst>
                <a:ext uri="{FF2B5EF4-FFF2-40B4-BE49-F238E27FC236}">
                  <a16:creationId xmlns:a16="http://schemas.microsoft.com/office/drawing/2014/main" id="{601E4AA2-FBF6-4D7D-937B-55F17D3514A9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6" name="Freeform 52">
              <a:extLst>
                <a:ext uri="{FF2B5EF4-FFF2-40B4-BE49-F238E27FC236}">
                  <a16:creationId xmlns:a16="http://schemas.microsoft.com/office/drawing/2014/main" id="{3BC81CDF-DB99-4CC5-A70C-7BC4F34608B4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77" name="Group 53">
            <a:extLst>
              <a:ext uri="{FF2B5EF4-FFF2-40B4-BE49-F238E27FC236}">
                <a16:creationId xmlns:a16="http://schemas.microsoft.com/office/drawing/2014/main" id="{C28C000F-6799-4D4B-AE0C-D6C34FF21D25}"/>
              </a:ext>
            </a:extLst>
          </xdr:cNvPr>
          <xdr:cNvGrpSpPr>
            <a:grpSpLocks/>
          </xdr:cNvGrpSpPr>
        </xdr:nvGrpSpPr>
        <xdr:grpSpPr bwMode="auto">
          <a:xfrm rot="-5400000">
            <a:off x="319" y="602"/>
            <a:ext cx="105" cy="32"/>
            <a:chOff x="110" y="567"/>
            <a:chExt cx="105" cy="32"/>
          </a:xfrm>
        </xdr:grpSpPr>
        <xdr:sp macro="" textlink="">
          <xdr:nvSpPr>
            <xdr:cNvPr id="1078" name="Line 54">
              <a:extLst>
                <a:ext uri="{FF2B5EF4-FFF2-40B4-BE49-F238E27FC236}">
                  <a16:creationId xmlns:a16="http://schemas.microsoft.com/office/drawing/2014/main" id="{D0CE8730-E672-41C3-A411-E2D54A8CC1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9" name="Freeform 55">
              <a:extLst>
                <a:ext uri="{FF2B5EF4-FFF2-40B4-BE49-F238E27FC236}">
                  <a16:creationId xmlns:a16="http://schemas.microsoft.com/office/drawing/2014/main" id="{5AADE8AF-BA0C-4D50-96FE-548982D5E22C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0" name="Freeform 56">
              <a:extLst>
                <a:ext uri="{FF2B5EF4-FFF2-40B4-BE49-F238E27FC236}">
                  <a16:creationId xmlns:a16="http://schemas.microsoft.com/office/drawing/2014/main" id="{E080B272-4DEE-4FFD-827A-10B9BE76590F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1" name="Line 57">
              <a:extLst>
                <a:ext uri="{FF2B5EF4-FFF2-40B4-BE49-F238E27FC236}">
                  <a16:creationId xmlns:a16="http://schemas.microsoft.com/office/drawing/2014/main" id="{9450C9E9-4FEA-4C14-B2F4-37CBA384B18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2" name="Freeform 58">
              <a:extLst>
                <a:ext uri="{FF2B5EF4-FFF2-40B4-BE49-F238E27FC236}">
                  <a16:creationId xmlns:a16="http://schemas.microsoft.com/office/drawing/2014/main" id="{73F86FBF-C15D-42DB-A105-0437760175DA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3" name="Freeform 59">
              <a:extLst>
                <a:ext uri="{FF2B5EF4-FFF2-40B4-BE49-F238E27FC236}">
                  <a16:creationId xmlns:a16="http://schemas.microsoft.com/office/drawing/2014/main" id="{3C8DB857-E53C-4AD5-91BE-C961AF1BE82A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4" name="Line 60">
              <a:extLst>
                <a:ext uri="{FF2B5EF4-FFF2-40B4-BE49-F238E27FC236}">
                  <a16:creationId xmlns:a16="http://schemas.microsoft.com/office/drawing/2014/main" id="{2AD76669-966C-4F4E-89DC-1011A4E4B2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5" name="Freeform 61">
              <a:extLst>
                <a:ext uri="{FF2B5EF4-FFF2-40B4-BE49-F238E27FC236}">
                  <a16:creationId xmlns:a16="http://schemas.microsoft.com/office/drawing/2014/main" id="{29313D0B-D7A8-44EE-9530-D8D36566BDE3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6" name="Group 62">
            <a:extLst>
              <a:ext uri="{FF2B5EF4-FFF2-40B4-BE49-F238E27FC236}">
                <a16:creationId xmlns:a16="http://schemas.microsoft.com/office/drawing/2014/main" id="{95C4B2BC-BB99-4535-856B-605D0F3493DF}"/>
              </a:ext>
            </a:extLst>
          </xdr:cNvPr>
          <xdr:cNvGrpSpPr>
            <a:grpSpLocks/>
          </xdr:cNvGrpSpPr>
        </xdr:nvGrpSpPr>
        <xdr:grpSpPr bwMode="auto">
          <a:xfrm rot="5400000">
            <a:off x="399" y="613"/>
            <a:ext cx="77" cy="6"/>
            <a:chOff x="123" y="549"/>
            <a:chExt cx="77" cy="6"/>
          </a:xfrm>
        </xdr:grpSpPr>
        <xdr:sp macro="" textlink="">
          <xdr:nvSpPr>
            <xdr:cNvPr id="1087" name="Line 63">
              <a:extLst>
                <a:ext uri="{FF2B5EF4-FFF2-40B4-BE49-F238E27FC236}">
                  <a16:creationId xmlns:a16="http://schemas.microsoft.com/office/drawing/2014/main" id="{CA4A445F-30A4-4AE7-806B-CBDF51BE71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8" name="Freeform 64">
              <a:extLst>
                <a:ext uri="{FF2B5EF4-FFF2-40B4-BE49-F238E27FC236}">
                  <a16:creationId xmlns:a16="http://schemas.microsoft.com/office/drawing/2014/main" id="{3FA7183C-5491-4817-8214-E6EDFC81249F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9" name="Freeform 65">
              <a:extLst>
                <a:ext uri="{FF2B5EF4-FFF2-40B4-BE49-F238E27FC236}">
                  <a16:creationId xmlns:a16="http://schemas.microsoft.com/office/drawing/2014/main" id="{F27879AA-9BDC-4E32-9D0E-34A6877278E6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90" name="Group 66">
            <a:extLst>
              <a:ext uri="{FF2B5EF4-FFF2-40B4-BE49-F238E27FC236}">
                <a16:creationId xmlns:a16="http://schemas.microsoft.com/office/drawing/2014/main" id="{D505AD72-1F97-4100-9024-840873B41C73}"/>
              </a:ext>
            </a:extLst>
          </xdr:cNvPr>
          <xdr:cNvGrpSpPr>
            <a:grpSpLocks/>
          </xdr:cNvGrpSpPr>
        </xdr:nvGrpSpPr>
        <xdr:grpSpPr bwMode="auto">
          <a:xfrm rot="5400000">
            <a:off x="355" y="603"/>
            <a:ext cx="105" cy="32"/>
            <a:chOff x="110" y="567"/>
            <a:chExt cx="105" cy="32"/>
          </a:xfrm>
        </xdr:grpSpPr>
        <xdr:sp macro="" textlink="">
          <xdr:nvSpPr>
            <xdr:cNvPr id="1091" name="Line 67">
              <a:extLst>
                <a:ext uri="{FF2B5EF4-FFF2-40B4-BE49-F238E27FC236}">
                  <a16:creationId xmlns:a16="http://schemas.microsoft.com/office/drawing/2014/main" id="{0B42FE9F-61E3-42F6-9CFB-462E1549262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2" name="Freeform 68">
              <a:extLst>
                <a:ext uri="{FF2B5EF4-FFF2-40B4-BE49-F238E27FC236}">
                  <a16:creationId xmlns:a16="http://schemas.microsoft.com/office/drawing/2014/main" id="{A06B7D03-BE29-470E-8787-CF1413D7A504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3" name="Freeform 69">
              <a:extLst>
                <a:ext uri="{FF2B5EF4-FFF2-40B4-BE49-F238E27FC236}">
                  <a16:creationId xmlns:a16="http://schemas.microsoft.com/office/drawing/2014/main" id="{602A6DA0-2650-4D38-9D8C-3AF278A73798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4" name="Line 70">
              <a:extLst>
                <a:ext uri="{FF2B5EF4-FFF2-40B4-BE49-F238E27FC236}">
                  <a16:creationId xmlns:a16="http://schemas.microsoft.com/office/drawing/2014/main" id="{BD6400DC-AAA0-45A3-BB1F-D5E84B8309C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5" name="Freeform 71">
              <a:extLst>
                <a:ext uri="{FF2B5EF4-FFF2-40B4-BE49-F238E27FC236}">
                  <a16:creationId xmlns:a16="http://schemas.microsoft.com/office/drawing/2014/main" id="{0B5C1A87-BF50-4481-85FE-5B72A78966A3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6" name="Freeform 72">
              <a:extLst>
                <a:ext uri="{FF2B5EF4-FFF2-40B4-BE49-F238E27FC236}">
                  <a16:creationId xmlns:a16="http://schemas.microsoft.com/office/drawing/2014/main" id="{5B633E56-4BA2-40AE-9CB4-15E24F5AB212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7" name="Line 73">
              <a:extLst>
                <a:ext uri="{FF2B5EF4-FFF2-40B4-BE49-F238E27FC236}">
                  <a16:creationId xmlns:a16="http://schemas.microsoft.com/office/drawing/2014/main" id="{9736046D-9015-4A9A-8848-9B7F90338E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8" name="Freeform 74">
              <a:extLst>
                <a:ext uri="{FF2B5EF4-FFF2-40B4-BE49-F238E27FC236}">
                  <a16:creationId xmlns:a16="http://schemas.microsoft.com/office/drawing/2014/main" id="{33AD72B2-6B03-4DBB-A7D2-171AD9268D29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247650</xdr:colOff>
      <xdr:row>15</xdr:row>
      <xdr:rowOff>457200</xdr:rowOff>
    </xdr:from>
    <xdr:to>
      <xdr:col>17</xdr:col>
      <xdr:colOff>66675</xdr:colOff>
      <xdr:row>15</xdr:row>
      <xdr:rowOff>1095375</xdr:rowOff>
    </xdr:to>
    <xdr:grpSp>
      <xdr:nvGrpSpPr>
        <xdr:cNvPr id="1099" name="Group 75">
          <a:extLst>
            <a:ext uri="{FF2B5EF4-FFF2-40B4-BE49-F238E27FC236}">
              <a16:creationId xmlns:a16="http://schemas.microsoft.com/office/drawing/2014/main" id="{276D1A59-91EA-449F-8BBF-57014CF56833}"/>
            </a:ext>
          </a:extLst>
        </xdr:cNvPr>
        <xdr:cNvGrpSpPr>
          <a:grpSpLocks/>
        </xdr:cNvGrpSpPr>
      </xdr:nvGrpSpPr>
      <xdr:grpSpPr bwMode="auto">
        <a:xfrm>
          <a:off x="4581525" y="5572125"/>
          <a:ext cx="447675" cy="638175"/>
          <a:chOff x="481" y="585"/>
          <a:chExt cx="47" cy="67"/>
        </a:xfrm>
      </xdr:grpSpPr>
      <xdr:grpSp>
        <xdr:nvGrpSpPr>
          <xdr:cNvPr id="1100" name="Group 76">
            <a:extLst>
              <a:ext uri="{FF2B5EF4-FFF2-40B4-BE49-F238E27FC236}">
                <a16:creationId xmlns:a16="http://schemas.microsoft.com/office/drawing/2014/main" id="{0E09E459-77F0-4231-BD3D-0BCFDD62EB92}"/>
              </a:ext>
            </a:extLst>
          </xdr:cNvPr>
          <xdr:cNvGrpSpPr>
            <a:grpSpLocks/>
          </xdr:cNvGrpSpPr>
        </xdr:nvGrpSpPr>
        <xdr:grpSpPr bwMode="auto">
          <a:xfrm>
            <a:off x="511" y="585"/>
            <a:ext cx="17" cy="27"/>
            <a:chOff x="506" y="578"/>
            <a:chExt cx="17" cy="27"/>
          </a:xfrm>
        </xdr:grpSpPr>
        <xdr:sp macro="" textlink="">
          <xdr:nvSpPr>
            <xdr:cNvPr id="1101" name="Freeform 77">
              <a:extLst>
                <a:ext uri="{FF2B5EF4-FFF2-40B4-BE49-F238E27FC236}">
                  <a16:creationId xmlns:a16="http://schemas.microsoft.com/office/drawing/2014/main" id="{D5829924-E627-439F-90EB-EB70CB77F989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02" name="Line 78">
              <a:extLst>
                <a:ext uri="{FF2B5EF4-FFF2-40B4-BE49-F238E27FC236}">
                  <a16:creationId xmlns:a16="http://schemas.microsoft.com/office/drawing/2014/main" id="{FA6CB526-9D1A-478C-B34F-444C22EEC919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3" name="Freeform 79">
              <a:extLst>
                <a:ext uri="{FF2B5EF4-FFF2-40B4-BE49-F238E27FC236}">
                  <a16:creationId xmlns:a16="http://schemas.microsoft.com/office/drawing/2014/main" id="{7C78217A-F71E-424E-BA76-FF67D9FC42F9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04" name="Line 80">
              <a:extLst>
                <a:ext uri="{FF2B5EF4-FFF2-40B4-BE49-F238E27FC236}">
                  <a16:creationId xmlns:a16="http://schemas.microsoft.com/office/drawing/2014/main" id="{A580A14C-AF8C-4412-BDA8-5242F5DEAFB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105" name="Group 81">
            <a:extLst>
              <a:ext uri="{FF2B5EF4-FFF2-40B4-BE49-F238E27FC236}">
                <a16:creationId xmlns:a16="http://schemas.microsoft.com/office/drawing/2014/main" id="{C78C55F6-EB3F-463B-8FCC-70030961966F}"/>
              </a:ext>
            </a:extLst>
          </xdr:cNvPr>
          <xdr:cNvGrpSpPr>
            <a:grpSpLocks/>
          </xdr:cNvGrpSpPr>
        </xdr:nvGrpSpPr>
        <xdr:grpSpPr bwMode="auto">
          <a:xfrm>
            <a:off x="481" y="625"/>
            <a:ext cx="17" cy="27"/>
            <a:chOff x="471" y="616"/>
            <a:chExt cx="17" cy="27"/>
          </a:xfrm>
        </xdr:grpSpPr>
        <xdr:sp macro="" textlink="">
          <xdr:nvSpPr>
            <xdr:cNvPr id="1106" name="Freeform 82">
              <a:extLst>
                <a:ext uri="{FF2B5EF4-FFF2-40B4-BE49-F238E27FC236}">
                  <a16:creationId xmlns:a16="http://schemas.microsoft.com/office/drawing/2014/main" id="{B73BBDCB-F677-479E-8001-FCA46C8862A0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71" y="620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07" name="Line 83">
              <a:extLst>
                <a:ext uri="{FF2B5EF4-FFF2-40B4-BE49-F238E27FC236}">
                  <a16:creationId xmlns:a16="http://schemas.microsoft.com/office/drawing/2014/main" id="{7399B701-5223-46CF-BA23-CF2455CAEFB8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8" name="Freeform 84">
              <a:extLst>
                <a:ext uri="{FF2B5EF4-FFF2-40B4-BE49-F238E27FC236}">
                  <a16:creationId xmlns:a16="http://schemas.microsoft.com/office/drawing/2014/main" id="{3255FC4A-9995-4A56-A52C-39C14880E2BD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81" y="617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09" name="Line 85">
              <a:extLst>
                <a:ext uri="{FF2B5EF4-FFF2-40B4-BE49-F238E27FC236}">
                  <a16:creationId xmlns:a16="http://schemas.microsoft.com/office/drawing/2014/main" id="{86BEB48E-5939-4B56-830F-ABB4CCC01568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304800</xdr:colOff>
      <xdr:row>20</xdr:row>
      <xdr:rowOff>190500</xdr:rowOff>
    </xdr:to>
    <xdr:sp macro="" textlink="">
      <xdr:nvSpPr>
        <xdr:cNvPr id="1110" name="Freeform 86">
          <a:extLst>
            <a:ext uri="{FF2B5EF4-FFF2-40B4-BE49-F238E27FC236}">
              <a16:creationId xmlns:a16="http://schemas.microsoft.com/office/drawing/2014/main" id="{129E5257-C93D-460C-8291-D7E91BF85D0F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38100</xdr:rowOff>
    </xdr:from>
    <xdr:to>
      <xdr:col>12</xdr:col>
      <xdr:colOff>266700</xdr:colOff>
      <xdr:row>19</xdr:row>
      <xdr:rowOff>190500</xdr:rowOff>
    </xdr:to>
    <xdr:grpSp>
      <xdr:nvGrpSpPr>
        <xdr:cNvPr id="1111" name="Group 87">
          <a:extLst>
            <a:ext uri="{FF2B5EF4-FFF2-40B4-BE49-F238E27FC236}">
              <a16:creationId xmlns:a16="http://schemas.microsoft.com/office/drawing/2014/main" id="{82B33482-8173-4386-9DBD-42F6F4EA1B0D}"/>
            </a:ext>
          </a:extLst>
        </xdr:cNvPr>
        <xdr:cNvGrpSpPr>
          <a:grpSpLocks/>
        </xdr:cNvGrpSpPr>
      </xdr:nvGrpSpPr>
      <xdr:grpSpPr bwMode="auto">
        <a:xfrm>
          <a:off x="3438525" y="7419975"/>
          <a:ext cx="219075" cy="152400"/>
          <a:chOff x="132" y="708"/>
          <a:chExt cx="20" cy="14"/>
        </a:xfrm>
      </xdr:grpSpPr>
      <xdr:sp macro="" textlink="">
        <xdr:nvSpPr>
          <xdr:cNvPr id="1112" name="Line 88">
            <a:extLst>
              <a:ext uri="{FF2B5EF4-FFF2-40B4-BE49-F238E27FC236}">
                <a16:creationId xmlns:a16="http://schemas.microsoft.com/office/drawing/2014/main" id="{275CA092-BA9F-474D-99F4-45AC32E4883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3" name="Line 89">
            <a:extLst>
              <a:ext uri="{FF2B5EF4-FFF2-40B4-BE49-F238E27FC236}">
                <a16:creationId xmlns:a16="http://schemas.microsoft.com/office/drawing/2014/main" id="{4E26C0BE-15C6-4FD7-8568-9CB21524813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4" name="Line 90">
            <a:extLst>
              <a:ext uri="{FF2B5EF4-FFF2-40B4-BE49-F238E27FC236}">
                <a16:creationId xmlns:a16="http://schemas.microsoft.com/office/drawing/2014/main" id="{C0355F9E-9E3A-432E-B0E6-393418AA395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5" name="Line 91">
            <a:extLst>
              <a:ext uri="{FF2B5EF4-FFF2-40B4-BE49-F238E27FC236}">
                <a16:creationId xmlns:a16="http://schemas.microsoft.com/office/drawing/2014/main" id="{8376959A-A2D7-43D2-BA10-60ED10A60BB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1116" name="Group 92">
          <a:extLst>
            <a:ext uri="{FF2B5EF4-FFF2-40B4-BE49-F238E27FC236}">
              <a16:creationId xmlns:a16="http://schemas.microsoft.com/office/drawing/2014/main" id="{1E50AE69-AC67-4D3E-BEC3-00283E767CB2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1571625" cy="47625"/>
          <a:chOff x="158" y="715"/>
          <a:chExt cx="33" cy="5"/>
        </a:xfrm>
      </xdr:grpSpPr>
      <xdr:sp macro="" textlink="">
        <xdr:nvSpPr>
          <xdr:cNvPr id="1117" name="Line 93">
            <a:extLst>
              <a:ext uri="{FF2B5EF4-FFF2-40B4-BE49-F238E27FC236}">
                <a16:creationId xmlns:a16="http://schemas.microsoft.com/office/drawing/2014/main" id="{A6B9F923-B5CE-41D1-ABAF-5ADF854720E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8" name="Line 94">
            <a:extLst>
              <a:ext uri="{FF2B5EF4-FFF2-40B4-BE49-F238E27FC236}">
                <a16:creationId xmlns:a16="http://schemas.microsoft.com/office/drawing/2014/main" id="{58CC30B6-3C4B-472F-929C-060668FD0A8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104775</xdr:rowOff>
    </xdr:from>
    <xdr:to>
      <xdr:col>18</xdr:col>
      <xdr:colOff>0</xdr:colOff>
      <xdr:row>20</xdr:row>
      <xdr:rowOff>152400</xdr:rowOff>
    </xdr:to>
    <xdr:grpSp>
      <xdr:nvGrpSpPr>
        <xdr:cNvPr id="1119" name="Group 95">
          <a:extLst>
            <a:ext uri="{FF2B5EF4-FFF2-40B4-BE49-F238E27FC236}">
              <a16:creationId xmlns:a16="http://schemas.microsoft.com/office/drawing/2014/main" id="{D9CFB5DC-61B9-4B56-881A-AC0536B195D9}"/>
            </a:ext>
          </a:extLst>
        </xdr:cNvPr>
        <xdr:cNvGrpSpPr>
          <a:grpSpLocks/>
        </xdr:cNvGrpSpPr>
      </xdr:nvGrpSpPr>
      <xdr:grpSpPr bwMode="auto">
        <a:xfrm>
          <a:off x="4962525" y="7715250"/>
          <a:ext cx="314325" cy="47625"/>
          <a:chOff x="158" y="715"/>
          <a:chExt cx="33" cy="5"/>
        </a:xfrm>
      </xdr:grpSpPr>
      <xdr:sp macro="" textlink="">
        <xdr:nvSpPr>
          <xdr:cNvPr id="1120" name="Line 96">
            <a:extLst>
              <a:ext uri="{FF2B5EF4-FFF2-40B4-BE49-F238E27FC236}">
                <a16:creationId xmlns:a16="http://schemas.microsoft.com/office/drawing/2014/main" id="{80385800-EB65-4958-9220-CDC9F76FAD2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1" name="Line 97">
            <a:extLst>
              <a:ext uri="{FF2B5EF4-FFF2-40B4-BE49-F238E27FC236}">
                <a16:creationId xmlns:a16="http://schemas.microsoft.com/office/drawing/2014/main" id="{DCF0E799-4EB9-4582-8E6B-1206792B892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20</xdr:row>
      <xdr:rowOff>47625</xdr:rowOff>
    </xdr:from>
    <xdr:to>
      <xdr:col>17</xdr:col>
      <xdr:colOff>0</xdr:colOff>
      <xdr:row>20</xdr:row>
      <xdr:rowOff>190500</xdr:rowOff>
    </xdr:to>
    <xdr:sp macro="" textlink="">
      <xdr:nvSpPr>
        <xdr:cNvPr id="1122" name="Freeform 98">
          <a:extLst>
            <a:ext uri="{FF2B5EF4-FFF2-40B4-BE49-F238E27FC236}">
              <a16:creationId xmlns:a16="http://schemas.microsoft.com/office/drawing/2014/main" id="{8895A793-5C59-4AD7-9BC9-2D7665A0DC2C}"/>
            </a:ext>
          </a:extLst>
        </xdr:cNvPr>
        <xdr:cNvSpPr>
          <a:spLocks/>
        </xdr:cNvSpPr>
      </xdr:nvSpPr>
      <xdr:spPr bwMode="auto">
        <a:xfrm>
          <a:off x="4657725" y="76581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1123" name="Group 99">
          <a:extLst>
            <a:ext uri="{FF2B5EF4-FFF2-40B4-BE49-F238E27FC236}">
              <a16:creationId xmlns:a16="http://schemas.microsoft.com/office/drawing/2014/main" id="{78F9B0A2-42E0-4C28-9949-FD9223EE0B59}"/>
            </a:ext>
          </a:extLst>
        </xdr:cNvPr>
        <xdr:cNvGrpSpPr>
          <a:grpSpLocks/>
        </xdr:cNvGrpSpPr>
      </xdr:nvGrpSpPr>
      <xdr:grpSpPr bwMode="auto">
        <a:xfrm>
          <a:off x="4333875" y="7715250"/>
          <a:ext cx="314325" cy="47625"/>
          <a:chOff x="158" y="715"/>
          <a:chExt cx="33" cy="5"/>
        </a:xfrm>
      </xdr:grpSpPr>
      <xdr:sp macro="" textlink="">
        <xdr:nvSpPr>
          <xdr:cNvPr id="1124" name="Line 100">
            <a:extLst>
              <a:ext uri="{FF2B5EF4-FFF2-40B4-BE49-F238E27FC236}">
                <a16:creationId xmlns:a16="http://schemas.microsoft.com/office/drawing/2014/main" id="{A778658B-95FB-409E-8CBD-DE6D808BDD9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5" name="Line 101">
            <a:extLst>
              <a:ext uri="{FF2B5EF4-FFF2-40B4-BE49-F238E27FC236}">
                <a16:creationId xmlns:a16="http://schemas.microsoft.com/office/drawing/2014/main" id="{5E2CB1E7-6617-403C-BA05-3F357402C5D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19</xdr:row>
      <xdr:rowOff>95250</xdr:rowOff>
    </xdr:from>
    <xdr:to>
      <xdr:col>11</xdr:col>
      <xdr:colOff>0</xdr:colOff>
      <xdr:row>19</xdr:row>
      <xdr:rowOff>142875</xdr:rowOff>
    </xdr:to>
    <xdr:grpSp>
      <xdr:nvGrpSpPr>
        <xdr:cNvPr id="1126" name="Group 102">
          <a:extLst>
            <a:ext uri="{FF2B5EF4-FFF2-40B4-BE49-F238E27FC236}">
              <a16:creationId xmlns:a16="http://schemas.microsoft.com/office/drawing/2014/main" id="{4E3DA06B-1BC1-40AE-8962-47A8D66A77EB}"/>
            </a:ext>
          </a:extLst>
        </xdr:cNvPr>
        <xdr:cNvGrpSpPr>
          <a:grpSpLocks/>
        </xdr:cNvGrpSpPr>
      </xdr:nvGrpSpPr>
      <xdr:grpSpPr bwMode="auto">
        <a:xfrm>
          <a:off x="904875" y="7477125"/>
          <a:ext cx="2171700" cy="47625"/>
          <a:chOff x="158" y="715"/>
          <a:chExt cx="33" cy="5"/>
        </a:xfrm>
      </xdr:grpSpPr>
      <xdr:sp macro="" textlink="">
        <xdr:nvSpPr>
          <xdr:cNvPr id="1127" name="Line 103">
            <a:extLst>
              <a:ext uri="{FF2B5EF4-FFF2-40B4-BE49-F238E27FC236}">
                <a16:creationId xmlns:a16="http://schemas.microsoft.com/office/drawing/2014/main" id="{D94FD20E-CD25-464B-887B-722ED44BCD9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8" name="Line 104">
            <a:extLst>
              <a:ext uri="{FF2B5EF4-FFF2-40B4-BE49-F238E27FC236}">
                <a16:creationId xmlns:a16="http://schemas.microsoft.com/office/drawing/2014/main" id="{60777181-48D8-4CC4-BB26-F5A23020BA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6812BE0A-9FF4-4FC3-B460-100AE5140D8E}"/>
            </a:ext>
          </a:extLst>
        </xdr:cNvPr>
        <xdr:cNvSpPr>
          <a:spLocks noChangeShapeType="1"/>
        </xdr:cNvSpPr>
      </xdr:nvSpPr>
      <xdr:spPr bwMode="auto">
        <a:xfrm>
          <a:off x="307657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114300</xdr:rowOff>
    </xdr:from>
    <xdr:to>
      <xdr:col>14</xdr:col>
      <xdr:colOff>0</xdr:colOff>
      <xdr:row>20</xdr:row>
      <xdr:rowOff>114300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E97FC14E-A292-4779-85B7-EC56AD501C8D}"/>
            </a:ext>
          </a:extLst>
        </xdr:cNvPr>
        <xdr:cNvSpPr>
          <a:spLocks noChangeShapeType="1"/>
        </xdr:cNvSpPr>
      </xdr:nvSpPr>
      <xdr:spPr bwMode="auto">
        <a:xfrm>
          <a:off x="30765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1131" name="Group 107">
          <a:extLst>
            <a:ext uri="{FF2B5EF4-FFF2-40B4-BE49-F238E27FC236}">
              <a16:creationId xmlns:a16="http://schemas.microsoft.com/office/drawing/2014/main" id="{9CEB68C3-725F-4CE0-B4D5-F676825B50B8}"/>
            </a:ext>
          </a:extLst>
        </xdr:cNvPr>
        <xdr:cNvGrpSpPr>
          <a:grpSpLocks/>
        </xdr:cNvGrpSpPr>
      </xdr:nvGrpSpPr>
      <xdr:grpSpPr bwMode="auto">
        <a:xfrm>
          <a:off x="895350" y="7705725"/>
          <a:ext cx="2181225" cy="47625"/>
          <a:chOff x="158" y="715"/>
          <a:chExt cx="33" cy="5"/>
        </a:xfrm>
      </xdr:grpSpPr>
      <xdr:sp macro="" textlink="">
        <xdr:nvSpPr>
          <xdr:cNvPr id="1132" name="Line 108">
            <a:extLst>
              <a:ext uri="{FF2B5EF4-FFF2-40B4-BE49-F238E27FC236}">
                <a16:creationId xmlns:a16="http://schemas.microsoft.com/office/drawing/2014/main" id="{DD3DE56E-8E5A-40D5-BA71-B90A9500453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3" name="Line 109">
            <a:extLst>
              <a:ext uri="{FF2B5EF4-FFF2-40B4-BE49-F238E27FC236}">
                <a16:creationId xmlns:a16="http://schemas.microsoft.com/office/drawing/2014/main" id="{0E84353D-8272-4F4A-8F26-3094DD1703C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104775</xdr:colOff>
      <xdr:row>7</xdr:row>
      <xdr:rowOff>180975</xdr:rowOff>
    </xdr:from>
    <xdr:to>
      <xdr:col>5</xdr:col>
      <xdr:colOff>66675</xdr:colOff>
      <xdr:row>7</xdr:row>
      <xdr:rowOff>1343025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7D3797BD-5BED-4329-B1BD-6DD9A322CC95}"/>
            </a:ext>
          </a:extLst>
        </xdr:cNvPr>
        <xdr:cNvSpPr txBox="1">
          <a:spLocks noChangeArrowheads="1"/>
        </xdr:cNvSpPr>
      </xdr:nvSpPr>
      <xdr:spPr bwMode="auto">
        <a:xfrm>
          <a:off x="981075" y="1819275"/>
          <a:ext cx="2762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18</xdr:col>
      <xdr:colOff>123825</xdr:colOff>
      <xdr:row>7</xdr:row>
      <xdr:rowOff>238125</xdr:rowOff>
    </xdr:from>
    <xdr:to>
      <xdr:col>19</xdr:col>
      <xdr:colOff>38100</xdr:colOff>
      <xdr:row>7</xdr:row>
      <xdr:rowOff>1304925</xdr:rowOff>
    </xdr:to>
    <xdr:sp macro="" textlink="">
      <xdr:nvSpPr>
        <xdr:cNvPr id="1135" name="Text Box 111">
          <a:extLst>
            <a:ext uri="{FF2B5EF4-FFF2-40B4-BE49-F238E27FC236}">
              <a16:creationId xmlns:a16="http://schemas.microsoft.com/office/drawing/2014/main" id="{B08860D7-C94F-4E0F-B5B0-B470A9E4A17C}"/>
            </a:ext>
          </a:extLst>
        </xdr:cNvPr>
        <xdr:cNvSpPr txBox="1">
          <a:spLocks noChangeArrowheads="1"/>
        </xdr:cNvSpPr>
      </xdr:nvSpPr>
      <xdr:spPr bwMode="auto">
        <a:xfrm>
          <a:off x="5400675" y="1876425"/>
          <a:ext cx="228600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　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8</xdr:col>
      <xdr:colOff>209550</xdr:colOff>
      <xdr:row>15</xdr:row>
      <xdr:rowOff>609600</xdr:rowOff>
    </xdr:from>
    <xdr:to>
      <xdr:col>9</xdr:col>
      <xdr:colOff>161925</xdr:colOff>
      <xdr:row>15</xdr:row>
      <xdr:rowOff>762000</xdr:rowOff>
    </xdr:to>
    <xdr:grpSp>
      <xdr:nvGrpSpPr>
        <xdr:cNvPr id="1136" name="Group 112">
          <a:extLst>
            <a:ext uri="{FF2B5EF4-FFF2-40B4-BE49-F238E27FC236}">
              <a16:creationId xmlns:a16="http://schemas.microsoft.com/office/drawing/2014/main" id="{FE056CE0-A0B1-49E7-874B-2F38E298449A}"/>
            </a:ext>
          </a:extLst>
        </xdr:cNvPr>
        <xdr:cNvGrpSpPr>
          <a:grpSpLocks/>
        </xdr:cNvGrpSpPr>
      </xdr:nvGrpSpPr>
      <xdr:grpSpPr bwMode="auto">
        <a:xfrm>
          <a:off x="2343150" y="5724525"/>
          <a:ext cx="266700" cy="152400"/>
          <a:chOff x="248" y="601"/>
          <a:chExt cx="28" cy="16"/>
        </a:xfrm>
      </xdr:grpSpPr>
      <xdr:sp macro="" textlink="">
        <xdr:nvSpPr>
          <xdr:cNvPr id="1137" name="Line 113">
            <a:extLst>
              <a:ext uri="{FF2B5EF4-FFF2-40B4-BE49-F238E27FC236}">
                <a16:creationId xmlns:a16="http://schemas.microsoft.com/office/drawing/2014/main" id="{BA53F75C-4E59-4857-9B5A-7DF548962DE3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8" name="Freeform 114">
            <a:extLst>
              <a:ext uri="{FF2B5EF4-FFF2-40B4-BE49-F238E27FC236}">
                <a16:creationId xmlns:a16="http://schemas.microsoft.com/office/drawing/2014/main" id="{DD0445AE-72AB-46B9-AD5A-D9FC79EDB244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9" name="Line 115">
            <a:extLst>
              <a:ext uri="{FF2B5EF4-FFF2-40B4-BE49-F238E27FC236}">
                <a16:creationId xmlns:a16="http://schemas.microsoft.com/office/drawing/2014/main" id="{BC1964C5-0E14-47E3-964D-3EBE5ED1C1EB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4E4FB788-5F5B-453E-8F93-683A650959E6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885825</xdr:rowOff>
    </xdr:from>
    <xdr:to>
      <xdr:col>10</xdr:col>
      <xdr:colOff>180975</xdr:colOff>
      <xdr:row>15</xdr:row>
      <xdr:rowOff>1038225</xdr:rowOff>
    </xdr:to>
    <xdr:grpSp>
      <xdr:nvGrpSpPr>
        <xdr:cNvPr id="1141" name="Group 117">
          <a:extLst>
            <a:ext uri="{FF2B5EF4-FFF2-40B4-BE49-F238E27FC236}">
              <a16:creationId xmlns:a16="http://schemas.microsoft.com/office/drawing/2014/main" id="{520DC93E-F8B5-47D4-80EF-6B96F5B6A2C2}"/>
            </a:ext>
          </a:extLst>
        </xdr:cNvPr>
        <xdr:cNvGrpSpPr>
          <a:grpSpLocks/>
        </xdr:cNvGrpSpPr>
      </xdr:nvGrpSpPr>
      <xdr:grpSpPr bwMode="auto">
        <a:xfrm rot="-10800000">
          <a:off x="2676525" y="6000750"/>
          <a:ext cx="266700" cy="152400"/>
          <a:chOff x="248" y="601"/>
          <a:chExt cx="28" cy="16"/>
        </a:xfrm>
      </xdr:grpSpPr>
      <xdr:sp macro="" textlink="">
        <xdr:nvSpPr>
          <xdr:cNvPr id="1142" name="Line 118">
            <a:extLst>
              <a:ext uri="{FF2B5EF4-FFF2-40B4-BE49-F238E27FC236}">
                <a16:creationId xmlns:a16="http://schemas.microsoft.com/office/drawing/2014/main" id="{B4D35146-3A12-434C-B996-368DFF70D8EA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3" name="Freeform 119">
            <a:extLst>
              <a:ext uri="{FF2B5EF4-FFF2-40B4-BE49-F238E27FC236}">
                <a16:creationId xmlns:a16="http://schemas.microsoft.com/office/drawing/2014/main" id="{C996818E-B0AE-4D32-BC36-B69954AB69DE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4" name="Line 120">
            <a:extLst>
              <a:ext uri="{FF2B5EF4-FFF2-40B4-BE49-F238E27FC236}">
                <a16:creationId xmlns:a16="http://schemas.microsoft.com/office/drawing/2014/main" id="{F07E4A22-D717-44A3-A227-4B7C48C57FD3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5" name="Freeform 121">
            <a:extLst>
              <a:ext uri="{FF2B5EF4-FFF2-40B4-BE49-F238E27FC236}">
                <a16:creationId xmlns:a16="http://schemas.microsoft.com/office/drawing/2014/main" id="{EF9326B5-C9E8-4B44-A082-023DF776BB06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1146" name="Group 122">
          <a:extLst>
            <a:ext uri="{FF2B5EF4-FFF2-40B4-BE49-F238E27FC236}">
              <a16:creationId xmlns:a16="http://schemas.microsoft.com/office/drawing/2014/main" id="{E7C82575-3816-4995-8509-512B36BD3BC2}"/>
            </a:ext>
          </a:extLst>
        </xdr:cNvPr>
        <xdr:cNvGrpSpPr>
          <a:grpSpLocks/>
        </xdr:cNvGrpSpPr>
      </xdr:nvGrpSpPr>
      <xdr:grpSpPr bwMode="auto">
        <a:xfrm>
          <a:off x="2152650" y="7191375"/>
          <a:ext cx="276225" cy="171450"/>
          <a:chOff x="226" y="755"/>
          <a:chExt cx="29" cy="18"/>
        </a:xfrm>
      </xdr:grpSpPr>
      <xdr:sp macro="" textlink="">
        <xdr:nvSpPr>
          <xdr:cNvPr id="1147" name="Oval 123">
            <a:extLst>
              <a:ext uri="{FF2B5EF4-FFF2-40B4-BE49-F238E27FC236}">
                <a16:creationId xmlns:a16="http://schemas.microsoft.com/office/drawing/2014/main" id="{6639C6D5-22B4-40A6-89F3-3760F77BF677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8" name="Line 124">
            <a:extLst>
              <a:ext uri="{FF2B5EF4-FFF2-40B4-BE49-F238E27FC236}">
                <a16:creationId xmlns:a16="http://schemas.microsoft.com/office/drawing/2014/main" id="{BC76551E-B434-4E6F-96CC-1DDBD837D998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9" name="Freeform 125">
            <a:extLst>
              <a:ext uri="{FF2B5EF4-FFF2-40B4-BE49-F238E27FC236}">
                <a16:creationId xmlns:a16="http://schemas.microsoft.com/office/drawing/2014/main" id="{93D79CD3-D2FD-4427-8BDB-162443E2F784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38100</xdr:rowOff>
    </xdr:from>
    <xdr:to>
      <xdr:col>15</xdr:col>
      <xdr:colOff>295275</xdr:colOff>
      <xdr:row>21</xdr:row>
      <xdr:rowOff>209550</xdr:rowOff>
    </xdr:to>
    <xdr:grpSp>
      <xdr:nvGrpSpPr>
        <xdr:cNvPr id="1150" name="Group 126">
          <a:extLst>
            <a:ext uri="{FF2B5EF4-FFF2-40B4-BE49-F238E27FC236}">
              <a16:creationId xmlns:a16="http://schemas.microsoft.com/office/drawing/2014/main" id="{5867DC8C-9891-4153-A747-0F00BFD88B2C}"/>
            </a:ext>
          </a:extLst>
        </xdr:cNvPr>
        <xdr:cNvGrpSpPr>
          <a:grpSpLocks/>
        </xdr:cNvGrpSpPr>
      </xdr:nvGrpSpPr>
      <xdr:grpSpPr bwMode="auto">
        <a:xfrm>
          <a:off x="4352925" y="7877175"/>
          <a:ext cx="276225" cy="171450"/>
          <a:chOff x="226" y="755"/>
          <a:chExt cx="29" cy="18"/>
        </a:xfrm>
      </xdr:grpSpPr>
      <xdr:sp macro="" textlink="">
        <xdr:nvSpPr>
          <xdr:cNvPr id="1151" name="Oval 127">
            <a:extLst>
              <a:ext uri="{FF2B5EF4-FFF2-40B4-BE49-F238E27FC236}">
                <a16:creationId xmlns:a16="http://schemas.microsoft.com/office/drawing/2014/main" id="{689F1988-D14D-4918-972F-9F251C0BAC97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2" name="Line 128">
            <a:extLst>
              <a:ext uri="{FF2B5EF4-FFF2-40B4-BE49-F238E27FC236}">
                <a16:creationId xmlns:a16="http://schemas.microsoft.com/office/drawing/2014/main" id="{F4540941-1284-40A1-A379-02EAA9FBDFFA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Freeform 129">
            <a:extLst>
              <a:ext uri="{FF2B5EF4-FFF2-40B4-BE49-F238E27FC236}">
                <a16:creationId xmlns:a16="http://schemas.microsoft.com/office/drawing/2014/main" id="{B70B6BF0-A56F-4094-95CA-721ADF5DB1CD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5</xdr:col>
      <xdr:colOff>171450</xdr:colOff>
      <xdr:row>3</xdr:row>
      <xdr:rowOff>114300</xdr:rowOff>
    </xdr:from>
    <xdr:to>
      <xdr:col>19</xdr:col>
      <xdr:colOff>104775</xdr:colOff>
      <xdr:row>10</xdr:row>
      <xdr:rowOff>200025</xdr:rowOff>
    </xdr:to>
    <xdr:pic>
      <xdr:nvPicPr>
        <xdr:cNvPr id="1154" name="Picture 130">
          <a:extLst>
            <a:ext uri="{FF2B5EF4-FFF2-40B4-BE49-F238E27FC236}">
              <a16:creationId xmlns:a16="http://schemas.microsoft.com/office/drawing/2014/main" id="{389C40BF-EBCF-4D01-95F2-822DEE971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38200"/>
          <a:ext cx="43338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8</xdr:row>
      <xdr:rowOff>190500</xdr:rowOff>
    </xdr:from>
    <xdr:to>
      <xdr:col>6</xdr:col>
      <xdr:colOff>171450</xdr:colOff>
      <xdr:row>12</xdr:row>
      <xdr:rowOff>95250</xdr:rowOff>
    </xdr:to>
    <xdr:sp macro="" textlink="">
      <xdr:nvSpPr>
        <xdr:cNvPr id="1155" name="Text Box 131">
          <a:extLst>
            <a:ext uri="{FF2B5EF4-FFF2-40B4-BE49-F238E27FC236}">
              <a16:creationId xmlns:a16="http://schemas.microsoft.com/office/drawing/2014/main" id="{4B29252B-B2A5-4BDE-B7FB-6B76E1622D2D}"/>
            </a:ext>
          </a:extLst>
        </xdr:cNvPr>
        <xdr:cNvSpPr txBox="1">
          <a:spLocks noChangeArrowheads="1"/>
        </xdr:cNvSpPr>
      </xdr:nvSpPr>
      <xdr:spPr bwMode="auto">
        <a:xfrm>
          <a:off x="47625" y="3705225"/>
          <a:ext cx="1628775" cy="819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指定色：相生グレー、自立</a:t>
          </a:r>
        </a:p>
      </xdr:txBody>
    </xdr:sp>
    <xdr:clientData/>
  </xdr:twoCellAnchor>
  <xdr:twoCellAnchor>
    <xdr:from>
      <xdr:col>5</xdr:col>
      <xdr:colOff>228600</xdr:colOff>
      <xdr:row>15</xdr:row>
      <xdr:rowOff>1257300</xdr:rowOff>
    </xdr:from>
    <xdr:to>
      <xdr:col>6</xdr:col>
      <xdr:colOff>266700</xdr:colOff>
      <xdr:row>15</xdr:row>
      <xdr:rowOff>1419225</xdr:rowOff>
    </xdr:to>
    <xdr:sp macro="" textlink="">
      <xdr:nvSpPr>
        <xdr:cNvPr id="1156" name="Text Box 132">
          <a:extLst>
            <a:ext uri="{FF2B5EF4-FFF2-40B4-BE49-F238E27FC236}">
              <a16:creationId xmlns:a16="http://schemas.microsoft.com/office/drawing/2014/main" id="{7269F45D-06B9-4C57-967E-1D3E21BD3AE2}"/>
            </a:ext>
          </a:extLst>
        </xdr:cNvPr>
        <xdr:cNvSpPr txBox="1">
          <a:spLocks noChangeArrowheads="1"/>
        </xdr:cNvSpPr>
      </xdr:nvSpPr>
      <xdr:spPr bwMode="auto">
        <a:xfrm>
          <a:off x="1419225" y="6372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26.3m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10</xdr:col>
      <xdr:colOff>304800</xdr:colOff>
      <xdr:row>15</xdr:row>
      <xdr:rowOff>1143000</xdr:rowOff>
    </xdr:from>
    <xdr:to>
      <xdr:col>12</xdr:col>
      <xdr:colOff>28575</xdr:colOff>
      <xdr:row>15</xdr:row>
      <xdr:rowOff>1304925</xdr:rowOff>
    </xdr:to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000EFC36-2A57-47C2-A6FD-2BC0F6F72629}"/>
            </a:ext>
          </a:extLst>
        </xdr:cNvPr>
        <xdr:cNvSpPr txBox="1">
          <a:spLocks noChangeArrowheads="1"/>
        </xdr:cNvSpPr>
      </xdr:nvSpPr>
      <xdr:spPr bwMode="auto">
        <a:xfrm>
          <a:off x="3067050" y="62579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23.5m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1158" name="Picture 134">
          <a:extLst>
            <a:ext uri="{FF2B5EF4-FFF2-40B4-BE49-F238E27FC236}">
              <a16:creationId xmlns:a16="http://schemas.microsoft.com/office/drawing/2014/main" id="{E15CB7F2-0D9C-4AD4-865B-2EE2B7634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114300</xdr:colOff>
      <xdr:row>15</xdr:row>
      <xdr:rowOff>466725</xdr:rowOff>
    </xdr:from>
    <xdr:to>
      <xdr:col>22</xdr:col>
      <xdr:colOff>276225</xdr:colOff>
      <xdr:row>15</xdr:row>
      <xdr:rowOff>1162050</xdr:rowOff>
    </xdr:to>
    <xdr:pic>
      <xdr:nvPicPr>
        <xdr:cNvPr id="1159" name="Picture 135">
          <a:extLst>
            <a:ext uri="{FF2B5EF4-FFF2-40B4-BE49-F238E27FC236}">
              <a16:creationId xmlns:a16="http://schemas.microsoft.com/office/drawing/2014/main" id="{D79E4FB4-41D9-4C7E-A649-46E83976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5581650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47625</xdr:colOff>
      <xdr:row>15</xdr:row>
      <xdr:rowOff>209550</xdr:rowOff>
    </xdr:from>
    <xdr:to>
      <xdr:col>12</xdr:col>
      <xdr:colOff>85725</xdr:colOff>
      <xdr:row>15</xdr:row>
      <xdr:rowOff>371475</xdr:rowOff>
    </xdr:to>
    <xdr:sp macro="" textlink="">
      <xdr:nvSpPr>
        <xdr:cNvPr id="1160" name="Text Box 136">
          <a:extLst>
            <a:ext uri="{FF2B5EF4-FFF2-40B4-BE49-F238E27FC236}">
              <a16:creationId xmlns:a16="http://schemas.microsoft.com/office/drawing/2014/main" id="{B541D890-4478-4BA6-9DCD-112B696E294E}"/>
            </a:ext>
          </a:extLst>
        </xdr:cNvPr>
        <xdr:cNvSpPr txBox="1">
          <a:spLocks noChangeArrowheads="1"/>
        </xdr:cNvSpPr>
      </xdr:nvSpPr>
      <xdr:spPr bwMode="auto">
        <a:xfrm>
          <a:off x="312420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38100</xdr:colOff>
      <xdr:row>15</xdr:row>
      <xdr:rowOff>228600</xdr:rowOff>
    </xdr:from>
    <xdr:to>
      <xdr:col>8</xdr:col>
      <xdr:colOff>76200</xdr:colOff>
      <xdr:row>15</xdr:row>
      <xdr:rowOff>390525</xdr:rowOff>
    </xdr:to>
    <xdr:sp macro="" textlink="">
      <xdr:nvSpPr>
        <xdr:cNvPr id="1161" name="Text Box 137">
          <a:extLst>
            <a:ext uri="{FF2B5EF4-FFF2-40B4-BE49-F238E27FC236}">
              <a16:creationId xmlns:a16="http://schemas.microsoft.com/office/drawing/2014/main" id="{8C94C37C-4089-41B5-918A-8EC6D4987D20}"/>
            </a:ext>
          </a:extLst>
        </xdr:cNvPr>
        <xdr:cNvSpPr txBox="1">
          <a:spLocks noChangeArrowheads="1"/>
        </xdr:cNvSpPr>
      </xdr:nvSpPr>
      <xdr:spPr bwMode="auto">
        <a:xfrm>
          <a:off x="1857375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57150</xdr:colOff>
      <xdr:row>15</xdr:row>
      <xdr:rowOff>1181100</xdr:rowOff>
    </xdr:from>
    <xdr:to>
      <xdr:col>8</xdr:col>
      <xdr:colOff>95250</xdr:colOff>
      <xdr:row>15</xdr:row>
      <xdr:rowOff>1343025</xdr:rowOff>
    </xdr:to>
    <xdr:sp macro="" textlink="">
      <xdr:nvSpPr>
        <xdr:cNvPr id="1162" name="Text Box 138">
          <a:extLst>
            <a:ext uri="{FF2B5EF4-FFF2-40B4-BE49-F238E27FC236}">
              <a16:creationId xmlns:a16="http://schemas.microsoft.com/office/drawing/2014/main" id="{F20EFFEA-2E41-45C1-8AFC-A0988900ABAB}"/>
            </a:ext>
          </a:extLst>
        </xdr:cNvPr>
        <xdr:cNvSpPr txBox="1">
          <a:spLocks noChangeArrowheads="1"/>
        </xdr:cNvSpPr>
      </xdr:nvSpPr>
      <xdr:spPr bwMode="auto">
        <a:xfrm>
          <a:off x="18764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14</xdr:col>
      <xdr:colOff>19050</xdr:colOff>
      <xdr:row>15</xdr:row>
      <xdr:rowOff>209550</xdr:rowOff>
    </xdr:from>
    <xdr:to>
      <xdr:col>15</xdr:col>
      <xdr:colOff>57150</xdr:colOff>
      <xdr:row>15</xdr:row>
      <xdr:rowOff>371475</xdr:rowOff>
    </xdr:to>
    <xdr:sp macro="" textlink="">
      <xdr:nvSpPr>
        <xdr:cNvPr id="1163" name="Text Box 139">
          <a:extLst>
            <a:ext uri="{FF2B5EF4-FFF2-40B4-BE49-F238E27FC236}">
              <a16:creationId xmlns:a16="http://schemas.microsoft.com/office/drawing/2014/main" id="{3B83351F-7498-47C8-87F7-D4CAC4303484}"/>
            </a:ext>
          </a:extLst>
        </xdr:cNvPr>
        <xdr:cNvSpPr txBox="1">
          <a:spLocks noChangeArrowheads="1"/>
        </xdr:cNvSpPr>
      </xdr:nvSpPr>
      <xdr:spPr bwMode="auto">
        <a:xfrm>
          <a:off x="403860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19</xdr:col>
      <xdr:colOff>190500</xdr:colOff>
      <xdr:row>7</xdr:row>
      <xdr:rowOff>180975</xdr:rowOff>
    </xdr:from>
    <xdr:to>
      <xdr:col>20</xdr:col>
      <xdr:colOff>152400</xdr:colOff>
      <xdr:row>7</xdr:row>
      <xdr:rowOff>1343025</xdr:rowOff>
    </xdr:to>
    <xdr:sp macro="" textlink="">
      <xdr:nvSpPr>
        <xdr:cNvPr id="1164" name="Text Box 140">
          <a:extLst>
            <a:ext uri="{FF2B5EF4-FFF2-40B4-BE49-F238E27FC236}">
              <a16:creationId xmlns:a16="http://schemas.microsoft.com/office/drawing/2014/main" id="{0E941D9D-B96A-4415-87DF-9AFF58C7EAA5}"/>
            </a:ext>
          </a:extLst>
        </xdr:cNvPr>
        <xdr:cNvSpPr txBox="1">
          <a:spLocks noChangeArrowheads="1"/>
        </xdr:cNvSpPr>
      </xdr:nvSpPr>
      <xdr:spPr bwMode="auto">
        <a:xfrm>
          <a:off x="5781675" y="1819275"/>
          <a:ext cx="2762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view="pageBreakPreview" zoomScaleNormal="100" workbookViewId="0">
      <selection sqref="A1:E2"/>
    </sheetView>
  </sheetViews>
  <sheetFormatPr defaultRowHeight="12" x14ac:dyDescent="0.15"/>
  <cols>
    <col min="1" max="1" width="7.5" style="65" bestFit="1" customWidth="1"/>
    <col min="2" max="2" width="2.25" style="78" bestFit="1" customWidth="1"/>
    <col min="3" max="3" width="5.25" style="65" bestFit="1" customWidth="1"/>
    <col min="4" max="4" width="2.25" style="77" bestFit="1" customWidth="1"/>
    <col min="5" max="24" width="4.125" style="39" customWidth="1"/>
    <col min="25" max="16384" width="9" style="39"/>
  </cols>
  <sheetData>
    <row r="1" spans="1:31" ht="15" customHeight="1" x14ac:dyDescent="0.15">
      <c r="A1" s="123" t="s">
        <v>0</v>
      </c>
      <c r="B1" s="112"/>
      <c r="C1" s="112"/>
      <c r="D1" s="112"/>
      <c r="E1" s="113"/>
      <c r="F1" s="128" t="s">
        <v>64</v>
      </c>
      <c r="G1" s="129"/>
      <c r="H1" s="109" t="s">
        <v>63</v>
      </c>
      <c r="I1" s="109"/>
      <c r="J1" s="109"/>
      <c r="K1" s="109"/>
      <c r="L1" s="112" t="s">
        <v>66</v>
      </c>
      <c r="M1" s="113"/>
      <c r="N1" s="116" t="s">
        <v>57</v>
      </c>
      <c r="O1" s="113"/>
      <c r="P1" s="117">
        <v>46060</v>
      </c>
      <c r="Q1" s="118"/>
      <c r="R1" s="118"/>
      <c r="S1" s="119"/>
      <c r="T1" s="111" t="s">
        <v>3</v>
      </c>
      <c r="U1" s="111"/>
      <c r="V1" s="111">
        <v>251125</v>
      </c>
      <c r="W1" s="111"/>
      <c r="X1" s="111"/>
    </row>
    <row r="2" spans="1:31" ht="7.5" customHeight="1" x14ac:dyDescent="0.15">
      <c r="A2" s="127"/>
      <c r="B2" s="114"/>
      <c r="C2" s="114"/>
      <c r="D2" s="114"/>
      <c r="E2" s="115"/>
      <c r="F2" s="130"/>
      <c r="G2" s="131"/>
      <c r="H2" s="110"/>
      <c r="I2" s="110"/>
      <c r="J2" s="110"/>
      <c r="K2" s="110"/>
      <c r="L2" s="114"/>
      <c r="M2" s="115"/>
      <c r="N2" s="88"/>
      <c r="O2" s="90"/>
      <c r="P2" s="120"/>
      <c r="Q2" s="121"/>
      <c r="R2" s="121"/>
      <c r="S2" s="122"/>
      <c r="T2" s="123" t="s">
        <v>6</v>
      </c>
      <c r="U2" s="113"/>
      <c r="V2" s="82">
        <v>45992</v>
      </c>
      <c r="W2" s="83"/>
      <c r="X2" s="84"/>
    </row>
    <row r="3" spans="1:31" ht="7.5" customHeight="1" x14ac:dyDescent="0.15">
      <c r="A3" s="88" t="s">
        <v>4</v>
      </c>
      <c r="B3" s="89"/>
      <c r="C3" s="89"/>
      <c r="D3" s="89"/>
      <c r="E3" s="90"/>
      <c r="F3" s="94" t="s">
        <v>65</v>
      </c>
      <c r="G3" s="95"/>
      <c r="H3" s="98" t="s">
        <v>63</v>
      </c>
      <c r="I3" s="98"/>
      <c r="J3" s="98"/>
      <c r="K3" s="98"/>
      <c r="L3" s="100" t="s">
        <v>58</v>
      </c>
      <c r="M3" s="101"/>
      <c r="N3" s="88"/>
      <c r="O3" s="90"/>
      <c r="P3" s="104">
        <v>0.15416666666666667</v>
      </c>
      <c r="Q3" s="105"/>
      <c r="R3" s="105"/>
      <c r="S3" s="108" t="s">
        <v>45</v>
      </c>
      <c r="T3" s="91"/>
      <c r="U3" s="93"/>
      <c r="V3" s="85"/>
      <c r="W3" s="86"/>
      <c r="X3" s="87"/>
    </row>
    <row r="4" spans="1:31" ht="15" customHeight="1" x14ac:dyDescent="0.15">
      <c r="A4" s="91"/>
      <c r="B4" s="92"/>
      <c r="C4" s="92"/>
      <c r="D4" s="92"/>
      <c r="E4" s="93"/>
      <c r="F4" s="96"/>
      <c r="G4" s="97"/>
      <c r="H4" s="99"/>
      <c r="I4" s="99"/>
      <c r="J4" s="99"/>
      <c r="K4" s="99"/>
      <c r="L4" s="102"/>
      <c r="M4" s="103"/>
      <c r="N4" s="91"/>
      <c r="O4" s="93"/>
      <c r="P4" s="106"/>
      <c r="Q4" s="107"/>
      <c r="R4" s="107"/>
      <c r="S4" s="93"/>
      <c r="T4" s="111" t="s">
        <v>59</v>
      </c>
      <c r="U4" s="111"/>
      <c r="V4" s="111" t="s">
        <v>71</v>
      </c>
      <c r="W4" s="111"/>
      <c r="X4" s="111"/>
      <c r="Z4" s="40" t="s">
        <v>60</v>
      </c>
      <c r="AA4" s="41">
        <v>1678</v>
      </c>
    </row>
    <row r="5" spans="1:31" ht="18" customHeight="1" x14ac:dyDescent="0.15">
      <c r="A5" s="153"/>
      <c r="B5" s="154"/>
      <c r="C5" s="154"/>
      <c r="D5" s="154"/>
      <c r="E5" s="52"/>
      <c r="F5" s="52"/>
      <c r="G5" s="52"/>
      <c r="H5" s="52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4"/>
      <c r="Z5" s="55"/>
      <c r="AA5" s="55"/>
      <c r="AB5" s="55"/>
    </row>
    <row r="6" spans="1:31" ht="18" customHeight="1" x14ac:dyDescent="0.15">
      <c r="A6" s="151"/>
      <c r="B6" s="152"/>
      <c r="C6" s="152"/>
      <c r="D6" s="152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/>
    </row>
    <row r="7" spans="1:31" ht="18" customHeight="1" x14ac:dyDescent="0.15">
      <c r="A7" s="151"/>
      <c r="B7" s="152"/>
      <c r="C7" s="152"/>
      <c r="D7" s="152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7"/>
    </row>
    <row r="8" spans="1:31" ht="18" customHeight="1" x14ac:dyDescent="0.15">
      <c r="A8" s="151"/>
      <c r="B8" s="152"/>
      <c r="C8" s="152"/>
      <c r="D8" s="152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7"/>
    </row>
    <row r="9" spans="1:31" ht="18" customHeight="1" x14ac:dyDescent="0.15">
      <c r="A9" s="151"/>
      <c r="B9" s="152"/>
      <c r="C9" s="152"/>
      <c r="D9" s="152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/>
    </row>
    <row r="10" spans="1:31" ht="147.75" customHeight="1" x14ac:dyDescent="0.15">
      <c r="A10" s="151"/>
      <c r="B10" s="152"/>
      <c r="C10" s="152"/>
      <c r="D10" s="152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7"/>
    </row>
    <row r="11" spans="1:31" ht="18" customHeight="1" x14ac:dyDescent="0.15">
      <c r="A11" s="151"/>
      <c r="B11" s="152"/>
      <c r="C11" s="152"/>
      <c r="D11" s="152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7"/>
    </row>
    <row r="12" spans="1:31" ht="18" customHeight="1" x14ac:dyDescent="0.15">
      <c r="A12" s="144"/>
      <c r="B12" s="145"/>
      <c r="C12" s="152"/>
      <c r="D12" s="152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/>
    </row>
    <row r="13" spans="1:31" ht="18" customHeight="1" x14ac:dyDescent="0.15">
      <c r="A13" s="144"/>
      <c r="B13" s="145"/>
      <c r="C13" s="152"/>
      <c r="D13" s="152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/>
      <c r="Z13" s="79">
        <v>50</v>
      </c>
      <c r="AA13" s="79">
        <f>Z13/3.6</f>
        <v>13.888888888888889</v>
      </c>
      <c r="AB13" s="79"/>
      <c r="AC13" s="80">
        <v>66.400000000000006</v>
      </c>
      <c r="AD13" s="80">
        <f>AC13/AA13</f>
        <v>4.7808000000000002</v>
      </c>
    </row>
    <row r="14" spans="1:31" ht="18" customHeight="1" x14ac:dyDescent="0.15">
      <c r="A14" s="144"/>
      <c r="B14" s="145"/>
      <c r="C14" s="146"/>
      <c r="D14" s="146"/>
      <c r="E14" s="58"/>
      <c r="F14" s="58"/>
      <c r="G14" s="58"/>
      <c r="H14" s="58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/>
      <c r="Y14" s="79"/>
      <c r="Z14" s="79">
        <v>50</v>
      </c>
      <c r="AA14" s="79">
        <f>Z14/3.6</f>
        <v>13.888888888888889</v>
      </c>
      <c r="AB14" s="79"/>
      <c r="AC14" s="80">
        <v>53.1</v>
      </c>
      <c r="AD14" s="80">
        <f>AC14/AA14</f>
        <v>3.8231999999999999</v>
      </c>
      <c r="AE14" s="79"/>
    </row>
    <row r="15" spans="1:31" ht="18" customHeight="1" x14ac:dyDescent="0.15">
      <c r="A15" s="147"/>
      <c r="B15" s="148"/>
      <c r="C15" s="149"/>
      <c r="D15" s="149"/>
      <c r="E15" s="59"/>
      <c r="F15" s="59"/>
      <c r="G15" s="59"/>
      <c r="H15" s="59"/>
      <c r="I15" s="59"/>
      <c r="J15" s="59"/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81"/>
      <c r="Y15" s="79"/>
      <c r="Z15" s="79">
        <v>40</v>
      </c>
      <c r="AA15" s="79">
        <f>Z15/3.6</f>
        <v>11.111111111111111</v>
      </c>
      <c r="AB15" s="79"/>
      <c r="AC15" s="80">
        <v>50.6</v>
      </c>
      <c r="AD15" s="80">
        <f>AC15/AA15</f>
        <v>4.5540000000000003</v>
      </c>
      <c r="AE15" s="79"/>
    </row>
    <row r="16" spans="1:31" s="42" customFormat="1" ht="18" customHeight="1" x14ac:dyDescent="0.15">
      <c r="A16" s="150" t="s">
        <v>7</v>
      </c>
      <c r="B16" s="150"/>
      <c r="C16" s="150"/>
      <c r="D16" s="150"/>
      <c r="E16" s="61">
        <v>1</v>
      </c>
      <c r="F16" s="61">
        <v>2</v>
      </c>
      <c r="G16" s="61">
        <v>3</v>
      </c>
      <c r="H16" s="61">
        <v>4</v>
      </c>
      <c r="I16" s="61">
        <v>5</v>
      </c>
      <c r="J16" s="61">
        <v>6</v>
      </c>
      <c r="K16" s="61">
        <v>7</v>
      </c>
      <c r="L16" s="61">
        <v>8</v>
      </c>
      <c r="M16" s="61">
        <v>9</v>
      </c>
      <c r="N16" s="61">
        <v>10</v>
      </c>
      <c r="O16" s="61">
        <v>11</v>
      </c>
      <c r="P16" s="61">
        <v>12</v>
      </c>
      <c r="Q16" s="61">
        <v>13</v>
      </c>
      <c r="R16" s="62">
        <v>14</v>
      </c>
      <c r="S16" s="61">
        <v>15</v>
      </c>
      <c r="T16" s="61">
        <v>16</v>
      </c>
      <c r="U16" s="61">
        <v>17</v>
      </c>
      <c r="V16" s="61">
        <v>18</v>
      </c>
      <c r="W16" s="61">
        <v>19</v>
      </c>
      <c r="X16" s="61">
        <v>20</v>
      </c>
    </row>
    <row r="17" spans="1:25" s="65" customFormat="1" ht="18" customHeight="1" x14ac:dyDescent="0.15">
      <c r="A17" s="150" t="s">
        <v>8</v>
      </c>
      <c r="B17" s="150"/>
      <c r="C17" s="150"/>
      <c r="D17" s="150"/>
      <c r="E17" s="63" t="s">
        <v>9</v>
      </c>
      <c r="F17" s="63" t="s">
        <v>10</v>
      </c>
      <c r="G17" s="63" t="s">
        <v>11</v>
      </c>
      <c r="H17" s="63" t="s">
        <v>12</v>
      </c>
      <c r="I17" s="63" t="s">
        <v>13</v>
      </c>
      <c r="J17" s="63" t="s">
        <v>12</v>
      </c>
      <c r="K17" s="63" t="s">
        <v>14</v>
      </c>
      <c r="L17" s="63" t="s">
        <v>15</v>
      </c>
      <c r="M17" s="63" t="s">
        <v>16</v>
      </c>
      <c r="N17" s="63" t="s">
        <v>17</v>
      </c>
      <c r="O17" s="63" t="s">
        <v>18</v>
      </c>
      <c r="P17" s="63" t="s">
        <v>19</v>
      </c>
      <c r="Q17" s="63" t="s">
        <v>18</v>
      </c>
      <c r="R17" s="64" t="s">
        <v>20</v>
      </c>
      <c r="T17" s="66"/>
      <c r="U17" s="66"/>
      <c r="V17" s="66"/>
      <c r="W17" s="66"/>
      <c r="X17" s="66"/>
    </row>
    <row r="18" spans="1:25" s="65" customFormat="1" ht="125.1" customHeight="1" x14ac:dyDescent="0.15">
      <c r="A18" s="124"/>
      <c r="B18" s="125"/>
      <c r="C18" s="125"/>
      <c r="D18" s="126"/>
      <c r="E18" s="67"/>
      <c r="F18" s="68"/>
      <c r="G18" s="68"/>
      <c r="H18" s="68"/>
      <c r="I18" s="67"/>
      <c r="J18" s="68"/>
      <c r="K18" s="69"/>
      <c r="L18" s="67"/>
      <c r="M18" s="68"/>
      <c r="N18" s="68"/>
      <c r="O18" s="69"/>
      <c r="P18" s="67"/>
      <c r="Q18" s="68"/>
      <c r="R18" s="69"/>
      <c r="S18" s="68"/>
      <c r="T18" s="68"/>
      <c r="V18" s="68"/>
      <c r="W18" s="68"/>
      <c r="X18" s="69"/>
      <c r="Y18" s="70"/>
    </row>
    <row r="19" spans="1:25" ht="18" customHeight="1" x14ac:dyDescent="0.15">
      <c r="A19" s="124" t="s">
        <v>67</v>
      </c>
      <c r="B19" s="125"/>
      <c r="C19" s="125" t="s">
        <v>22</v>
      </c>
      <c r="D19" s="126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2"/>
      <c r="T19" s="72"/>
      <c r="U19" s="72"/>
      <c r="V19" s="72"/>
      <c r="W19" s="72"/>
      <c r="X19" s="72"/>
    </row>
    <row r="20" spans="1:25" ht="18" customHeight="1" x14ac:dyDescent="0.15">
      <c r="A20" s="124" t="s">
        <v>23</v>
      </c>
      <c r="B20" s="125"/>
      <c r="C20" s="125" t="s">
        <v>24</v>
      </c>
      <c r="D20" s="126"/>
      <c r="E20" s="72"/>
      <c r="F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1" spans="1:25" ht="18" customHeight="1" x14ac:dyDescent="0.15">
      <c r="A21" s="124" t="s">
        <v>68</v>
      </c>
      <c r="B21" s="125"/>
      <c r="C21" s="125" t="s">
        <v>42</v>
      </c>
      <c r="D21" s="126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</row>
    <row r="22" spans="1:25" ht="18" customHeight="1" x14ac:dyDescent="0.15">
      <c r="A22" s="124" t="s">
        <v>69</v>
      </c>
      <c r="B22" s="125"/>
      <c r="C22" s="125" t="s">
        <v>26</v>
      </c>
      <c r="D22" s="126"/>
      <c r="E22" s="72"/>
      <c r="F22" s="72"/>
      <c r="G22" s="72"/>
      <c r="H22" s="71"/>
      <c r="I22" s="71"/>
      <c r="J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</row>
    <row r="23" spans="1:25" ht="18" customHeight="1" x14ac:dyDescent="0.15">
      <c r="A23" s="141" t="s">
        <v>27</v>
      </c>
      <c r="B23" s="142"/>
      <c r="C23" s="142" t="s">
        <v>28</v>
      </c>
      <c r="D23" s="143"/>
      <c r="E23" s="73"/>
      <c r="F23" s="73"/>
      <c r="G23" s="73"/>
      <c r="H23" s="73"/>
      <c r="I23" s="73"/>
      <c r="J23" s="73"/>
      <c r="K23" s="73"/>
      <c r="L23" s="73"/>
      <c r="M23" s="73"/>
      <c r="O23" s="73"/>
      <c r="P23" s="73"/>
      <c r="Q23" s="73"/>
      <c r="R23" s="73"/>
      <c r="S23" s="72"/>
      <c r="T23" s="72"/>
      <c r="U23" s="72"/>
      <c r="V23" s="72"/>
      <c r="W23" s="72"/>
      <c r="X23" s="72"/>
    </row>
    <row r="24" spans="1:25" ht="18" customHeight="1" x14ac:dyDescent="0.15">
      <c r="A24" s="124" t="s">
        <v>70</v>
      </c>
      <c r="B24" s="125"/>
      <c r="C24" s="125" t="s">
        <v>41</v>
      </c>
      <c r="D24" s="126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 spans="1:25" ht="18" customHeight="1" x14ac:dyDescent="0.15">
      <c r="A25" s="138"/>
      <c r="B25" s="139"/>
      <c r="C25" s="139"/>
      <c r="D25" s="140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 spans="1:25" ht="18" customHeight="1" x14ac:dyDescent="0.15">
      <c r="A26" s="135"/>
      <c r="B26" s="136"/>
      <c r="C26" s="136"/>
      <c r="D26" s="137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</row>
    <row r="27" spans="1:25" ht="18" customHeight="1" x14ac:dyDescent="0.15">
      <c r="A27" s="135"/>
      <c r="B27" s="136"/>
      <c r="C27" s="136"/>
      <c r="D27" s="137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</row>
    <row r="28" spans="1:25" ht="18" customHeight="1" x14ac:dyDescent="0.15">
      <c r="A28" s="135"/>
      <c r="B28" s="136"/>
      <c r="C28" s="136"/>
      <c r="D28" s="137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</row>
    <row r="29" spans="1:25" ht="18" customHeight="1" x14ac:dyDescent="0.15">
      <c r="A29" s="135"/>
      <c r="B29" s="136"/>
      <c r="C29" s="136"/>
      <c r="D29" s="137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 spans="1:25" ht="18" customHeight="1" x14ac:dyDescent="0.15">
      <c r="A30" s="135"/>
      <c r="B30" s="136"/>
      <c r="C30" s="136"/>
      <c r="D30" s="137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</row>
    <row r="31" spans="1:25" ht="18" customHeight="1" x14ac:dyDescent="0.15">
      <c r="A31" s="132" t="s">
        <v>54</v>
      </c>
      <c r="B31" s="133"/>
      <c r="C31" s="133"/>
      <c r="D31" s="134"/>
      <c r="E31" s="74" t="s">
        <v>55</v>
      </c>
      <c r="F31" s="46"/>
      <c r="G31" s="46"/>
      <c r="H31" s="46"/>
      <c r="I31" s="46"/>
      <c r="J31" s="74"/>
      <c r="K31" s="74"/>
      <c r="L31" s="74" t="s">
        <v>56</v>
      </c>
      <c r="M31" s="74"/>
      <c r="N31" s="61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 spans="1:25" ht="18" customHeight="1" x14ac:dyDescent="0.15">
      <c r="A32" s="132" t="s">
        <v>53</v>
      </c>
      <c r="B32" s="133"/>
      <c r="C32" s="133"/>
      <c r="D32" s="134"/>
      <c r="E32" s="46"/>
      <c r="F32" s="46"/>
      <c r="G32" s="46"/>
      <c r="H32" s="46"/>
      <c r="I32" s="46"/>
      <c r="J32" s="46"/>
      <c r="K32" s="46"/>
      <c r="L32" s="46">
        <v>31</v>
      </c>
      <c r="M32" s="46"/>
      <c r="N32" s="61"/>
      <c r="O32" s="72"/>
      <c r="P32" s="72"/>
      <c r="Q32" s="72"/>
      <c r="R32" s="72"/>
      <c r="S32" s="72"/>
      <c r="T32" s="72"/>
      <c r="U32" s="72"/>
      <c r="V32" s="72"/>
      <c r="W32" s="72"/>
      <c r="X32" s="72"/>
    </row>
    <row r="33" spans="1:27" ht="18" customHeight="1" x14ac:dyDescent="0.15">
      <c r="A33" s="43" t="s">
        <v>61</v>
      </c>
      <c r="B33" s="44"/>
      <c r="C33" s="45"/>
      <c r="D33" s="75"/>
      <c r="E33" s="46">
        <v>109</v>
      </c>
      <c r="F33" s="46"/>
      <c r="G33" s="46"/>
      <c r="H33" s="46"/>
      <c r="I33" s="46">
        <v>109</v>
      </c>
      <c r="J33" s="46"/>
      <c r="K33" s="46"/>
      <c r="L33" s="47">
        <v>109</v>
      </c>
      <c r="M33" s="46"/>
      <c r="N33" s="46"/>
      <c r="O33" s="46"/>
      <c r="P33" s="46">
        <v>109</v>
      </c>
      <c r="Q33" s="46"/>
      <c r="R33" s="46"/>
      <c r="S33" s="46"/>
      <c r="T33" s="46"/>
      <c r="U33" s="48"/>
      <c r="V33" s="48"/>
      <c r="W33" s="48"/>
      <c r="X33" s="72"/>
    </row>
    <row r="34" spans="1:27" ht="18" customHeight="1" x14ac:dyDescent="0.15">
      <c r="A34" s="49" t="s">
        <v>62</v>
      </c>
      <c r="B34" s="50" t="s">
        <v>30</v>
      </c>
      <c r="C34" s="51">
        <f>SUM(E34:X34)</f>
        <v>82</v>
      </c>
      <c r="D34" s="76" t="s">
        <v>31</v>
      </c>
      <c r="E34" s="46">
        <v>18</v>
      </c>
      <c r="F34" s="46">
        <v>9</v>
      </c>
      <c r="G34" s="46">
        <v>2</v>
      </c>
      <c r="H34" s="46">
        <v>3</v>
      </c>
      <c r="I34" s="46">
        <v>5</v>
      </c>
      <c r="J34" s="46">
        <v>2</v>
      </c>
      <c r="K34" s="46">
        <v>3</v>
      </c>
      <c r="L34" s="46">
        <v>16</v>
      </c>
      <c r="M34" s="46">
        <v>8</v>
      </c>
      <c r="N34" s="46">
        <v>2</v>
      </c>
      <c r="O34" s="46">
        <v>3</v>
      </c>
      <c r="P34" s="46">
        <v>5</v>
      </c>
      <c r="Q34" s="46">
        <v>2</v>
      </c>
      <c r="R34" s="46">
        <v>4</v>
      </c>
      <c r="S34" s="46"/>
      <c r="T34" s="46"/>
      <c r="U34" s="48"/>
      <c r="V34" s="48"/>
      <c r="W34" s="48"/>
      <c r="X34" s="72"/>
      <c r="Z34" s="42">
        <v>110</v>
      </c>
      <c r="AA34" s="42">
        <f>Z34-INT(Z34/8)-3</f>
        <v>94</v>
      </c>
    </row>
    <row r="35" spans="1:27" ht="18" customHeight="1" x14ac:dyDescent="0.15">
      <c r="A35" s="49" t="s">
        <v>29</v>
      </c>
      <c r="B35" s="50" t="s">
        <v>30</v>
      </c>
      <c r="C35" s="51">
        <f>SUM(E35:X35)</f>
        <v>150</v>
      </c>
      <c r="D35" s="76" t="s">
        <v>31</v>
      </c>
      <c r="E35" s="61">
        <v>74</v>
      </c>
      <c r="F35" s="61">
        <v>9</v>
      </c>
      <c r="G35" s="61">
        <v>2</v>
      </c>
      <c r="H35" s="61">
        <v>3</v>
      </c>
      <c r="I35" s="61">
        <v>7</v>
      </c>
      <c r="J35" s="61">
        <v>2</v>
      </c>
      <c r="K35" s="61">
        <v>3</v>
      </c>
      <c r="L35" s="61">
        <v>24</v>
      </c>
      <c r="M35" s="61">
        <v>8</v>
      </c>
      <c r="N35" s="61">
        <v>2</v>
      </c>
      <c r="O35" s="61">
        <v>3</v>
      </c>
      <c r="P35" s="61">
        <v>7</v>
      </c>
      <c r="Q35" s="61">
        <v>2</v>
      </c>
      <c r="R35" s="61">
        <v>4</v>
      </c>
      <c r="S35" s="61"/>
      <c r="T35" s="61"/>
      <c r="U35" s="61"/>
      <c r="V35" s="61"/>
      <c r="W35" s="61"/>
      <c r="X35" s="61"/>
      <c r="Z35" s="42">
        <v>150</v>
      </c>
      <c r="AA35" s="42">
        <f>Z35-INT(Z35/8)-3</f>
        <v>129</v>
      </c>
    </row>
    <row r="36" spans="1:27" ht="18" customHeight="1" x14ac:dyDescent="0.15">
      <c r="A36" s="124" t="s">
        <v>32</v>
      </c>
      <c r="B36" s="125"/>
      <c r="C36" s="125"/>
      <c r="D36" s="126"/>
      <c r="E36" s="61">
        <v>110</v>
      </c>
      <c r="F36" s="61">
        <v>110</v>
      </c>
      <c r="G36" s="61">
        <v>110</v>
      </c>
      <c r="H36" s="61">
        <v>10</v>
      </c>
      <c r="I36" s="61">
        <v>110</v>
      </c>
      <c r="J36" s="61">
        <v>10</v>
      </c>
      <c r="K36" s="61">
        <v>10</v>
      </c>
      <c r="L36" s="61">
        <v>110</v>
      </c>
      <c r="M36" s="61">
        <v>110</v>
      </c>
      <c r="N36" s="61">
        <v>110</v>
      </c>
      <c r="O36" s="61">
        <v>10</v>
      </c>
      <c r="P36" s="61">
        <v>110</v>
      </c>
      <c r="Q36" s="61">
        <v>10</v>
      </c>
      <c r="R36" s="61">
        <v>10</v>
      </c>
      <c r="S36" s="61"/>
      <c r="T36" s="61"/>
      <c r="U36" s="61"/>
      <c r="V36" s="61"/>
      <c r="W36" s="61"/>
      <c r="X36" s="61"/>
    </row>
    <row r="37" spans="1:27" ht="18" customHeight="1" x14ac:dyDescent="0.15">
      <c r="A37" s="124" t="s">
        <v>33</v>
      </c>
      <c r="B37" s="125"/>
      <c r="C37" s="125"/>
      <c r="D37" s="126"/>
      <c r="E37" s="61">
        <v>6</v>
      </c>
      <c r="F37" s="61">
        <v>0.95</v>
      </c>
      <c r="G37" s="61">
        <v>0.95</v>
      </c>
      <c r="H37" s="61">
        <v>0.95</v>
      </c>
      <c r="I37" s="61">
        <v>0.95</v>
      </c>
      <c r="J37" s="61">
        <v>0.95</v>
      </c>
      <c r="K37" s="61">
        <v>0.95</v>
      </c>
      <c r="L37" s="61">
        <v>6</v>
      </c>
      <c r="M37" s="61">
        <v>0.95</v>
      </c>
      <c r="N37" s="61">
        <v>0.95</v>
      </c>
      <c r="O37" s="61">
        <v>0.95</v>
      </c>
      <c r="P37" s="61">
        <v>0.95</v>
      </c>
      <c r="Q37" s="61">
        <v>0.95</v>
      </c>
      <c r="R37" s="61">
        <v>0.95</v>
      </c>
      <c r="S37" s="61"/>
      <c r="T37" s="61"/>
      <c r="U37" s="61"/>
      <c r="V37" s="61"/>
      <c r="W37" s="61"/>
      <c r="X37" s="61"/>
    </row>
    <row r="38" spans="1:27" ht="18" customHeight="1" x14ac:dyDescent="0.15">
      <c r="A38" s="124" t="s">
        <v>34</v>
      </c>
      <c r="B38" s="125"/>
      <c r="C38" s="125"/>
      <c r="D38" s="126"/>
      <c r="E38" s="61" t="s">
        <v>35</v>
      </c>
      <c r="F38" s="61" t="s">
        <v>36</v>
      </c>
      <c r="G38" s="61" t="s">
        <v>36</v>
      </c>
      <c r="H38" s="61" t="s">
        <v>36</v>
      </c>
      <c r="I38" s="61" t="s">
        <v>36</v>
      </c>
      <c r="J38" s="61" t="s">
        <v>36</v>
      </c>
      <c r="K38" s="61" t="s">
        <v>36</v>
      </c>
      <c r="L38" s="61" t="s">
        <v>36</v>
      </c>
      <c r="M38" s="61" t="s">
        <v>35</v>
      </c>
      <c r="N38" s="61" t="s">
        <v>35</v>
      </c>
      <c r="O38" s="61" t="s">
        <v>35</v>
      </c>
      <c r="P38" s="61" t="s">
        <v>35</v>
      </c>
      <c r="Q38" s="61" t="s">
        <v>35</v>
      </c>
      <c r="R38" s="61" t="s">
        <v>35</v>
      </c>
      <c r="S38" s="61"/>
      <c r="T38" s="61"/>
      <c r="U38" s="61"/>
      <c r="V38" s="61"/>
      <c r="W38" s="61"/>
      <c r="X38" s="61"/>
    </row>
  </sheetData>
  <mergeCells count="72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36:D36"/>
    <mergeCell ref="A37:D37"/>
    <mergeCell ref="A38:D38"/>
    <mergeCell ref="A1:E2"/>
    <mergeCell ref="F1:G2"/>
    <mergeCell ref="A31:D31"/>
    <mergeCell ref="A32:D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N1:O4"/>
    <mergeCell ref="T1:U1"/>
    <mergeCell ref="P1:S2"/>
    <mergeCell ref="T2:U3"/>
  </mergeCells>
  <phoneticPr fontId="2"/>
  <pageMargins left="0.98425196850393704" right="0.11811023622047245" top="0.43307086614173229" bottom="0.59055118110236227" header="0.23622047244094491" footer="0.31496062992125984"/>
  <pageSetup paperSize="9" scale="9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1"/>
  <dimension ref="A1:AB36"/>
  <sheetViews>
    <sheetView view="pageBreakPreview" zoomScaleNormal="100" workbookViewId="0">
      <selection sqref="A1:E1"/>
    </sheetView>
  </sheetViews>
  <sheetFormatPr defaultRowHeight="11.25" x14ac:dyDescent="0.15"/>
  <cols>
    <col min="1" max="1" width="5.125" style="33" customWidth="1"/>
    <col min="2" max="2" width="0.875" style="33" customWidth="1"/>
    <col min="3" max="3" width="4.625" style="33" customWidth="1"/>
    <col min="4" max="4" width="0.875" style="33" customWidth="1"/>
    <col min="5" max="24" width="4.125" style="2" customWidth="1"/>
    <col min="25" max="16384" width="9" style="2"/>
  </cols>
  <sheetData>
    <row r="1" spans="1:28" ht="20.100000000000001" customHeight="1" x14ac:dyDescent="0.15">
      <c r="A1" s="191" t="s">
        <v>0</v>
      </c>
      <c r="B1" s="191"/>
      <c r="C1" s="191"/>
      <c r="D1" s="191"/>
      <c r="E1" s="191"/>
      <c r="F1" s="193" t="s">
        <v>37</v>
      </c>
      <c r="G1" s="194"/>
      <c r="H1" s="189" t="s">
        <v>1</v>
      </c>
      <c r="I1" s="190"/>
      <c r="J1" s="190"/>
      <c r="K1" s="190"/>
      <c r="L1" s="190"/>
      <c r="M1" s="190"/>
      <c r="N1" s="184" t="s">
        <v>2</v>
      </c>
      <c r="O1" s="184"/>
      <c r="P1" s="186">
        <v>39903</v>
      </c>
      <c r="Q1" s="186"/>
      <c r="R1" s="186"/>
      <c r="S1" s="186"/>
      <c r="T1" s="182" t="s">
        <v>3</v>
      </c>
      <c r="U1" s="182"/>
      <c r="V1" s="182" t="s">
        <v>44</v>
      </c>
      <c r="W1" s="182"/>
      <c r="X1" s="182"/>
    </row>
    <row r="2" spans="1:28" ht="20.100000000000001" customHeight="1" x14ac:dyDescent="0.15">
      <c r="A2" s="185" t="s">
        <v>4</v>
      </c>
      <c r="B2" s="185"/>
      <c r="C2" s="185"/>
      <c r="D2" s="185"/>
      <c r="E2" s="185"/>
      <c r="F2" s="192" t="s">
        <v>46</v>
      </c>
      <c r="G2" s="173"/>
      <c r="H2" s="34" t="s">
        <v>1</v>
      </c>
      <c r="I2" s="34"/>
      <c r="J2" s="34"/>
      <c r="K2" s="195" t="s">
        <v>47</v>
      </c>
      <c r="L2" s="195"/>
      <c r="M2" s="196"/>
      <c r="N2" s="185" t="s">
        <v>5</v>
      </c>
      <c r="O2" s="185"/>
      <c r="P2" s="187">
        <v>0.65694444444444444</v>
      </c>
      <c r="Q2" s="187"/>
      <c r="R2" s="188"/>
      <c r="S2" s="35" t="s">
        <v>48</v>
      </c>
      <c r="T2" s="182" t="s">
        <v>6</v>
      </c>
      <c r="U2" s="182"/>
      <c r="V2" s="183">
        <v>37987</v>
      </c>
      <c r="W2" s="183"/>
      <c r="X2" s="183"/>
      <c r="Z2" s="5"/>
      <c r="AA2" s="5"/>
      <c r="AB2" s="5"/>
    </row>
    <row r="3" spans="1:28" ht="18" customHeight="1" x14ac:dyDescent="0.15">
      <c r="A3" s="157"/>
      <c r="B3" s="158"/>
      <c r="C3" s="158"/>
      <c r="D3" s="158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55"/>
      <c r="B4" s="156"/>
      <c r="C4" s="156"/>
      <c r="D4" s="15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</row>
    <row r="5" spans="1:28" ht="18" customHeight="1" x14ac:dyDescent="0.15">
      <c r="A5" s="155"/>
      <c r="B5" s="156"/>
      <c r="C5" s="156"/>
      <c r="D5" s="15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</row>
    <row r="6" spans="1:28" ht="18" customHeight="1" x14ac:dyDescent="0.15">
      <c r="A6" s="155"/>
      <c r="B6" s="156"/>
      <c r="C6" s="156"/>
      <c r="D6" s="15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8" ht="18" customHeight="1" x14ac:dyDescent="0.15">
      <c r="A7" s="155"/>
      <c r="B7" s="156"/>
      <c r="C7" s="156"/>
      <c r="D7" s="15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8" ht="147.75" customHeight="1" x14ac:dyDescent="0.15">
      <c r="A8" s="155"/>
      <c r="B8" s="156"/>
      <c r="C8" s="156"/>
      <c r="D8" s="15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8" ht="18" customHeight="1" x14ac:dyDescent="0.15">
      <c r="A9" s="155"/>
      <c r="B9" s="156"/>
      <c r="C9" s="156"/>
      <c r="D9" s="156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8" ht="18" customHeight="1" x14ac:dyDescent="0.15">
      <c r="A10" s="176"/>
      <c r="B10" s="177"/>
      <c r="C10" s="156"/>
      <c r="D10" s="15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8" ht="18" customHeight="1" x14ac:dyDescent="0.15">
      <c r="A11" s="176"/>
      <c r="B11" s="177"/>
      <c r="C11" s="156"/>
      <c r="D11" s="15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8" ht="18" customHeight="1" x14ac:dyDescent="0.15">
      <c r="A12" s="176"/>
      <c r="B12" s="177"/>
      <c r="C12" s="181"/>
      <c r="D12" s="181"/>
      <c r="E12" s="12"/>
      <c r="F12" s="12"/>
      <c r="G12" s="12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8" ht="18" customHeight="1" x14ac:dyDescent="0.15">
      <c r="A13" s="179"/>
      <c r="B13" s="180"/>
      <c r="C13" s="165"/>
      <c r="D13" s="165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3"/>
    </row>
    <row r="14" spans="1:28" s="16" customFormat="1" ht="18" customHeight="1" x14ac:dyDescent="0.15">
      <c r="A14" s="178" t="s">
        <v>7</v>
      </c>
      <c r="B14" s="178"/>
      <c r="C14" s="178"/>
      <c r="D14" s="17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5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20" customFormat="1" ht="18" customHeight="1" x14ac:dyDescent="0.15">
      <c r="A15" s="178" t="s">
        <v>8</v>
      </c>
      <c r="B15" s="178"/>
      <c r="C15" s="178"/>
      <c r="D15" s="178"/>
      <c r="E15" s="17" t="s">
        <v>9</v>
      </c>
      <c r="F15" s="17" t="s">
        <v>10</v>
      </c>
      <c r="G15" s="17" t="s">
        <v>11</v>
      </c>
      <c r="H15" s="17" t="s">
        <v>12</v>
      </c>
      <c r="I15" s="17" t="s">
        <v>13</v>
      </c>
      <c r="J15" s="17" t="s">
        <v>12</v>
      </c>
      <c r="K15" s="17" t="s">
        <v>14</v>
      </c>
      <c r="L15" s="17" t="s">
        <v>15</v>
      </c>
      <c r="M15" s="17" t="s">
        <v>16</v>
      </c>
      <c r="N15" s="17" t="s">
        <v>17</v>
      </c>
      <c r="O15" s="17" t="s">
        <v>18</v>
      </c>
      <c r="P15" s="17" t="s">
        <v>19</v>
      </c>
      <c r="Q15" s="17" t="s">
        <v>18</v>
      </c>
      <c r="R15" s="18" t="s">
        <v>20</v>
      </c>
      <c r="T15" s="19"/>
      <c r="U15" s="19"/>
      <c r="V15" s="19"/>
      <c r="W15" s="19"/>
      <c r="X15" s="19"/>
    </row>
    <row r="16" spans="1:28" s="20" customFormat="1" ht="125.1" customHeight="1" x14ac:dyDescent="0.15">
      <c r="A16" s="162"/>
      <c r="B16" s="163"/>
      <c r="C16" s="163"/>
      <c r="D16" s="164"/>
      <c r="E16" s="21"/>
      <c r="F16" s="22"/>
      <c r="G16" s="22"/>
      <c r="H16" s="22"/>
      <c r="I16" s="21"/>
      <c r="J16" s="22"/>
      <c r="K16" s="23"/>
      <c r="L16" s="21"/>
      <c r="M16" s="22"/>
      <c r="N16" s="22"/>
      <c r="O16" s="23"/>
      <c r="P16" s="21"/>
      <c r="Q16" s="22"/>
      <c r="R16" s="23"/>
      <c r="S16" s="22"/>
      <c r="T16" s="22"/>
      <c r="V16" s="22"/>
      <c r="W16" s="22"/>
      <c r="X16" s="23"/>
      <c r="Y16" s="24"/>
    </row>
    <row r="17" spans="1:24" ht="18" customHeight="1" x14ac:dyDescent="0.15">
      <c r="A17" s="162" t="s">
        <v>21</v>
      </c>
      <c r="B17" s="163"/>
      <c r="C17" s="163" t="s">
        <v>22</v>
      </c>
      <c r="D17" s="16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  <c r="T17" s="26"/>
      <c r="U17" s="26"/>
      <c r="V17" s="26"/>
      <c r="W17" s="26"/>
      <c r="X17" s="26"/>
    </row>
    <row r="18" spans="1:24" ht="18" customHeight="1" x14ac:dyDescent="0.15">
      <c r="A18" s="162" t="s">
        <v>23</v>
      </c>
      <c r="B18" s="163"/>
      <c r="C18" s="163" t="s">
        <v>24</v>
      </c>
      <c r="D18" s="164"/>
      <c r="E18" s="26"/>
      <c r="F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4" ht="18" customHeight="1" x14ac:dyDescent="0.15">
      <c r="A19" s="162" t="s">
        <v>49</v>
      </c>
      <c r="B19" s="163"/>
      <c r="C19" s="163" t="s">
        <v>50</v>
      </c>
      <c r="D19" s="164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pans="1:24" ht="18" customHeight="1" x14ac:dyDescent="0.15">
      <c r="A20" s="162" t="s">
        <v>25</v>
      </c>
      <c r="B20" s="163"/>
      <c r="C20" s="163" t="s">
        <v>26</v>
      </c>
      <c r="D20" s="164"/>
      <c r="E20" s="26"/>
      <c r="F20" s="26"/>
      <c r="G20" s="26"/>
      <c r="H20" s="25"/>
      <c r="I20" s="25"/>
      <c r="J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4" ht="18" customHeight="1" x14ac:dyDescent="0.15">
      <c r="A21" s="157" t="s">
        <v>27</v>
      </c>
      <c r="B21" s="158"/>
      <c r="C21" s="158" t="s">
        <v>28</v>
      </c>
      <c r="D21" s="172"/>
      <c r="E21" s="27"/>
      <c r="F21" s="27"/>
      <c r="G21" s="27"/>
      <c r="H21" s="27"/>
      <c r="I21" s="27"/>
      <c r="J21" s="27"/>
      <c r="K21" s="27"/>
      <c r="L21" s="27"/>
      <c r="M21" s="27"/>
      <c r="O21" s="27"/>
      <c r="P21" s="27"/>
      <c r="Q21" s="27"/>
      <c r="R21" s="27"/>
      <c r="S21" s="26"/>
      <c r="T21" s="26"/>
      <c r="U21" s="26"/>
      <c r="V21" s="26"/>
      <c r="W21" s="26"/>
      <c r="X21" s="26"/>
    </row>
    <row r="22" spans="1:24" ht="18" customHeight="1" x14ac:dyDescent="0.15">
      <c r="A22" s="162" t="s">
        <v>51</v>
      </c>
      <c r="B22" s="163"/>
      <c r="C22" s="163" t="s">
        <v>52</v>
      </c>
      <c r="D22" s="164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spans="1:24" ht="18" customHeight="1" x14ac:dyDescent="0.15">
      <c r="A23" s="173"/>
      <c r="B23" s="174"/>
      <c r="C23" s="174"/>
      <c r="D23" s="17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ht="18" customHeight="1" x14ac:dyDescent="0.15">
      <c r="A24" s="161"/>
      <c r="B24" s="159"/>
      <c r="C24" s="159"/>
      <c r="D24" s="160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spans="1:24" ht="18" customHeight="1" x14ac:dyDescent="0.15">
      <c r="A25" s="161"/>
      <c r="B25" s="159"/>
      <c r="C25" s="159"/>
      <c r="D25" s="160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1:24" ht="18" customHeight="1" x14ac:dyDescent="0.15">
      <c r="A26" s="161"/>
      <c r="B26" s="159"/>
      <c r="C26" s="159"/>
      <c r="D26" s="160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spans="1:24" ht="18" customHeight="1" x14ac:dyDescent="0.15">
      <c r="A27" s="161"/>
      <c r="B27" s="159"/>
      <c r="C27" s="159"/>
      <c r="D27" s="160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4" ht="18" customHeight="1" x14ac:dyDescent="0.15">
      <c r="A28" s="161"/>
      <c r="B28" s="159"/>
      <c r="C28" s="159"/>
      <c r="D28" s="160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ht="18" customHeight="1" x14ac:dyDescent="0.15">
      <c r="A29" s="161"/>
      <c r="B29" s="159"/>
      <c r="C29" s="159"/>
      <c r="D29" s="160"/>
      <c r="E29" s="26"/>
      <c r="F29" s="26"/>
      <c r="G29" s="26"/>
      <c r="H29" s="28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ht="18" customHeight="1" x14ac:dyDescent="0.15">
      <c r="A30" s="161"/>
      <c r="B30" s="159"/>
      <c r="C30" s="159"/>
      <c r="D30" s="160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spans="1:24" ht="18" customHeight="1" x14ac:dyDescent="0.15">
      <c r="A31" s="169" t="s">
        <v>54</v>
      </c>
      <c r="B31" s="170"/>
      <c r="C31" s="170"/>
      <c r="D31" s="171"/>
      <c r="E31" s="38" t="s">
        <v>55</v>
      </c>
      <c r="F31" s="37"/>
      <c r="G31" s="37"/>
      <c r="H31" s="37"/>
      <c r="I31" s="37"/>
      <c r="J31" s="36"/>
      <c r="K31" s="36"/>
      <c r="L31" s="38" t="s">
        <v>56</v>
      </c>
      <c r="M31" s="36"/>
      <c r="N31" s="1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4" ht="18" customHeight="1" x14ac:dyDescent="0.15">
      <c r="A32" s="169" t="s">
        <v>53</v>
      </c>
      <c r="B32" s="170"/>
      <c r="C32" s="170"/>
      <c r="D32" s="171"/>
      <c r="E32" s="37"/>
      <c r="F32" s="37"/>
      <c r="G32" s="37"/>
      <c r="H32" s="37"/>
      <c r="I32" s="37"/>
      <c r="J32" s="37"/>
      <c r="K32" s="37"/>
      <c r="L32" s="37">
        <v>31</v>
      </c>
      <c r="M32" s="37"/>
      <c r="N32" s="1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1:24" ht="18" customHeight="1" x14ac:dyDescent="0.15">
      <c r="A33" s="29" t="s">
        <v>29</v>
      </c>
      <c r="B33" s="30" t="s">
        <v>30</v>
      </c>
      <c r="C33" s="31">
        <f>SUM(E33:X33)</f>
        <v>150</v>
      </c>
      <c r="D33" s="32" t="s">
        <v>31</v>
      </c>
      <c r="E33" s="1">
        <v>67</v>
      </c>
      <c r="F33" s="1">
        <v>9</v>
      </c>
      <c r="G33" s="1">
        <v>2</v>
      </c>
      <c r="H33" s="1">
        <v>3</v>
      </c>
      <c r="I33" s="1">
        <v>8</v>
      </c>
      <c r="J33" s="1">
        <v>2</v>
      </c>
      <c r="K33" s="1">
        <v>3</v>
      </c>
      <c r="L33" s="1">
        <v>26</v>
      </c>
      <c r="M33" s="1">
        <v>8</v>
      </c>
      <c r="N33" s="1">
        <v>2</v>
      </c>
      <c r="O33" s="1">
        <v>3</v>
      </c>
      <c r="P33" s="1">
        <v>11</v>
      </c>
      <c r="Q33" s="1">
        <v>2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66" t="s">
        <v>32</v>
      </c>
      <c r="B34" s="167"/>
      <c r="C34" s="167"/>
      <c r="D34" s="168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110</v>
      </c>
      <c r="Q34" s="4">
        <v>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66" t="s">
        <v>33</v>
      </c>
      <c r="B35" s="167"/>
      <c r="C35" s="167"/>
      <c r="D35" s="16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66" t="s">
        <v>34</v>
      </c>
      <c r="B36" s="167"/>
      <c r="C36" s="167"/>
      <c r="D36" s="168"/>
      <c r="E36" s="4" t="s">
        <v>35</v>
      </c>
      <c r="F36" s="4" t="s">
        <v>36</v>
      </c>
      <c r="G36" s="4" t="s">
        <v>36</v>
      </c>
      <c r="H36" s="4" t="s">
        <v>36</v>
      </c>
      <c r="I36" s="4" t="s">
        <v>36</v>
      </c>
      <c r="J36" s="4" t="s">
        <v>36</v>
      </c>
      <c r="K36" s="4" t="s">
        <v>36</v>
      </c>
      <c r="L36" s="4" t="s">
        <v>36</v>
      </c>
      <c r="M36" s="4" t="s">
        <v>35</v>
      </c>
      <c r="N36" s="4" t="s">
        <v>35</v>
      </c>
      <c r="O36" s="4" t="s">
        <v>35</v>
      </c>
      <c r="P36" s="4" t="s">
        <v>35</v>
      </c>
      <c r="Q36" s="4" t="s">
        <v>35</v>
      </c>
      <c r="R36" s="4" t="s">
        <v>35</v>
      </c>
      <c r="S36" s="4"/>
      <c r="T36" s="4"/>
      <c r="U36" s="4"/>
      <c r="V36" s="4"/>
      <c r="W36" s="4"/>
      <c r="X36" s="4"/>
    </row>
  </sheetData>
  <mergeCells count="72">
    <mergeCell ref="H1:M1"/>
    <mergeCell ref="A1:E1"/>
    <mergeCell ref="A2:E2"/>
    <mergeCell ref="F2:G2"/>
    <mergeCell ref="F1:G1"/>
    <mergeCell ref="K2:M2"/>
    <mergeCell ref="V1:X1"/>
    <mergeCell ref="V2:X2"/>
    <mergeCell ref="N1:O1"/>
    <mergeCell ref="N2:O2"/>
    <mergeCell ref="P1:S1"/>
    <mergeCell ref="P2:R2"/>
    <mergeCell ref="T1:U1"/>
    <mergeCell ref="T2:U2"/>
    <mergeCell ref="A17:B17"/>
    <mergeCell ref="C17:D17"/>
    <mergeCell ref="C12:D12"/>
    <mergeCell ref="A11:B11"/>
    <mergeCell ref="C11:D11"/>
    <mergeCell ref="A10:B10"/>
    <mergeCell ref="C10:D10"/>
    <mergeCell ref="A14:D14"/>
    <mergeCell ref="A15:D15"/>
    <mergeCell ref="A12:B12"/>
    <mergeCell ref="A13:B13"/>
    <mergeCell ref="C30:D30"/>
    <mergeCell ref="A29:B29"/>
    <mergeCell ref="C29:D29"/>
    <mergeCell ref="C21:D21"/>
    <mergeCell ref="A22:B22"/>
    <mergeCell ref="C22:D22"/>
    <mergeCell ref="A28:B28"/>
    <mergeCell ref="C28:D28"/>
    <mergeCell ref="A30:B30"/>
    <mergeCell ref="A23:B23"/>
    <mergeCell ref="C23:D23"/>
    <mergeCell ref="A27:B27"/>
    <mergeCell ref="C27:D27"/>
    <mergeCell ref="A26:B26"/>
    <mergeCell ref="C26:D26"/>
    <mergeCell ref="A25:B25"/>
    <mergeCell ref="A36:D36"/>
    <mergeCell ref="A35:D35"/>
    <mergeCell ref="A34:D34"/>
    <mergeCell ref="A31:D31"/>
    <mergeCell ref="A32:D32"/>
    <mergeCell ref="C8:D8"/>
    <mergeCell ref="C25:D25"/>
    <mergeCell ref="A24:B24"/>
    <mergeCell ref="C24:D24"/>
    <mergeCell ref="A9:B9"/>
    <mergeCell ref="C9:D9"/>
    <mergeCell ref="A8:B8"/>
    <mergeCell ref="A18:B18"/>
    <mergeCell ref="C18:D18"/>
    <mergeCell ref="A19:B19"/>
    <mergeCell ref="C19:D19"/>
    <mergeCell ref="C20:D20"/>
    <mergeCell ref="A21:B21"/>
    <mergeCell ref="C13:D13"/>
    <mergeCell ref="A16:D16"/>
    <mergeCell ref="A20:B20"/>
    <mergeCell ref="A4:B4"/>
    <mergeCell ref="A3:B3"/>
    <mergeCell ref="C3:D3"/>
    <mergeCell ref="A7:B7"/>
    <mergeCell ref="C7:D7"/>
    <mergeCell ref="A5:B5"/>
    <mergeCell ref="C5:D5"/>
    <mergeCell ref="C4:D4"/>
    <mergeCell ref="A6:B6"/>
    <mergeCell ref="C6:D6"/>
  </mergeCells>
  <phoneticPr fontId="2"/>
  <pageMargins left="0.98425196850393704" right="0.11811023622047245" top="0.43307086614173229" bottom="0.59055118110236227" header="0.23622047244094491" footer="0.31496062992125984"/>
  <pageSetup paperSize="9" scale="9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0"/>
  <dimension ref="A1:AB36"/>
  <sheetViews>
    <sheetView view="pageBreakPreview" zoomScaleNormal="100" workbookViewId="0">
      <selection activeCell="A3" sqref="A3:B3"/>
    </sheetView>
  </sheetViews>
  <sheetFormatPr defaultRowHeight="11.25" x14ac:dyDescent="0.15"/>
  <cols>
    <col min="1" max="1" width="5.125" style="33" customWidth="1"/>
    <col min="2" max="2" width="0.875" style="33" customWidth="1"/>
    <col min="3" max="3" width="4.625" style="33" customWidth="1"/>
    <col min="4" max="4" width="0.875" style="33" customWidth="1"/>
    <col min="5" max="24" width="4.125" style="2" customWidth="1"/>
    <col min="25" max="16384" width="9" style="2"/>
  </cols>
  <sheetData>
    <row r="1" spans="1:28" ht="20.100000000000001" customHeight="1" x14ac:dyDescent="0.15">
      <c r="A1" s="191" t="s">
        <v>0</v>
      </c>
      <c r="B1" s="191"/>
      <c r="C1" s="191"/>
      <c r="D1" s="191"/>
      <c r="E1" s="191"/>
      <c r="F1" s="193" t="s">
        <v>37</v>
      </c>
      <c r="G1" s="194"/>
      <c r="H1" s="189" t="s">
        <v>1</v>
      </c>
      <c r="I1" s="190"/>
      <c r="J1" s="190"/>
      <c r="K1" s="190"/>
      <c r="L1" s="190"/>
      <c r="M1" s="190"/>
      <c r="N1" s="184" t="s">
        <v>2</v>
      </c>
      <c r="O1" s="184"/>
      <c r="P1" s="186">
        <v>38056</v>
      </c>
      <c r="Q1" s="186"/>
      <c r="R1" s="186"/>
      <c r="S1" s="186"/>
      <c r="T1" s="182" t="s">
        <v>3</v>
      </c>
      <c r="U1" s="182"/>
      <c r="V1" s="197" t="s">
        <v>44</v>
      </c>
      <c r="W1" s="197"/>
      <c r="X1" s="197"/>
    </row>
    <row r="2" spans="1:28" ht="20.100000000000001" customHeight="1" x14ac:dyDescent="0.15">
      <c r="A2" s="185" t="s">
        <v>4</v>
      </c>
      <c r="B2" s="185"/>
      <c r="C2" s="185"/>
      <c r="D2" s="185"/>
      <c r="E2" s="185"/>
      <c r="F2" s="192" t="s">
        <v>38</v>
      </c>
      <c r="G2" s="173"/>
      <c r="H2" s="34" t="s">
        <v>1</v>
      </c>
      <c r="I2" s="34"/>
      <c r="J2" s="34"/>
      <c r="K2" s="195" t="s">
        <v>43</v>
      </c>
      <c r="L2" s="195"/>
      <c r="M2" s="196"/>
      <c r="N2" s="185" t="s">
        <v>5</v>
      </c>
      <c r="O2" s="185"/>
      <c r="P2" s="187">
        <v>0.4458333333333333</v>
      </c>
      <c r="Q2" s="187"/>
      <c r="R2" s="188"/>
      <c r="S2" s="35" t="s">
        <v>45</v>
      </c>
      <c r="T2" s="182" t="s">
        <v>6</v>
      </c>
      <c r="U2" s="182"/>
      <c r="V2" s="198">
        <v>37987</v>
      </c>
      <c r="W2" s="198"/>
      <c r="X2" s="198"/>
      <c r="Z2" s="5"/>
      <c r="AA2" s="5"/>
      <c r="AB2" s="5"/>
    </row>
    <row r="3" spans="1:28" ht="18" customHeight="1" x14ac:dyDescent="0.15">
      <c r="A3" s="157"/>
      <c r="B3" s="158"/>
      <c r="C3" s="158"/>
      <c r="D3" s="158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55"/>
      <c r="B4" s="156"/>
      <c r="C4" s="156"/>
      <c r="D4" s="15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</row>
    <row r="5" spans="1:28" ht="18" customHeight="1" x14ac:dyDescent="0.15">
      <c r="A5" s="155"/>
      <c r="B5" s="156"/>
      <c r="C5" s="156"/>
      <c r="D5" s="15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</row>
    <row r="6" spans="1:28" ht="18" customHeight="1" x14ac:dyDescent="0.15">
      <c r="A6" s="155"/>
      <c r="B6" s="156"/>
      <c r="C6" s="156"/>
      <c r="D6" s="15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8" ht="18" customHeight="1" x14ac:dyDescent="0.15">
      <c r="A7" s="155"/>
      <c r="B7" s="156"/>
      <c r="C7" s="156"/>
      <c r="D7" s="15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8" ht="147.75" customHeight="1" x14ac:dyDescent="0.15">
      <c r="A8" s="155"/>
      <c r="B8" s="156"/>
      <c r="C8" s="156"/>
      <c r="D8" s="15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8" ht="18" customHeight="1" x14ac:dyDescent="0.15">
      <c r="A9" s="155"/>
      <c r="B9" s="156"/>
      <c r="C9" s="156"/>
      <c r="D9" s="156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8" ht="18" customHeight="1" x14ac:dyDescent="0.15">
      <c r="A10" s="176"/>
      <c r="B10" s="177"/>
      <c r="C10" s="156"/>
      <c r="D10" s="15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8" ht="18" customHeight="1" x14ac:dyDescent="0.15">
      <c r="A11" s="176"/>
      <c r="B11" s="177"/>
      <c r="C11" s="156"/>
      <c r="D11" s="15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8" ht="18" customHeight="1" x14ac:dyDescent="0.15">
      <c r="A12" s="176"/>
      <c r="B12" s="177"/>
      <c r="C12" s="181"/>
      <c r="D12" s="181"/>
      <c r="E12" s="12"/>
      <c r="F12" s="12"/>
      <c r="G12" s="12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8" ht="18" customHeight="1" x14ac:dyDescent="0.15">
      <c r="A13" s="179"/>
      <c r="B13" s="180"/>
      <c r="C13" s="165"/>
      <c r="D13" s="165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3"/>
    </row>
    <row r="14" spans="1:28" s="16" customFormat="1" ht="18" customHeight="1" x14ac:dyDescent="0.15">
      <c r="A14" s="178" t="s">
        <v>7</v>
      </c>
      <c r="B14" s="178"/>
      <c r="C14" s="178"/>
      <c r="D14" s="17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5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20" customFormat="1" ht="18" customHeight="1" x14ac:dyDescent="0.15">
      <c r="A15" s="178" t="s">
        <v>8</v>
      </c>
      <c r="B15" s="178"/>
      <c r="C15" s="178"/>
      <c r="D15" s="178"/>
      <c r="E15" s="17" t="s">
        <v>9</v>
      </c>
      <c r="F15" s="17" t="s">
        <v>10</v>
      </c>
      <c r="G15" s="17" t="s">
        <v>11</v>
      </c>
      <c r="H15" s="17" t="s">
        <v>12</v>
      </c>
      <c r="I15" s="17" t="s">
        <v>13</v>
      </c>
      <c r="J15" s="17" t="s">
        <v>12</v>
      </c>
      <c r="K15" s="17" t="s">
        <v>14</v>
      </c>
      <c r="L15" s="17" t="s">
        <v>15</v>
      </c>
      <c r="M15" s="17" t="s">
        <v>16</v>
      </c>
      <c r="N15" s="17" t="s">
        <v>17</v>
      </c>
      <c r="O15" s="17" t="s">
        <v>18</v>
      </c>
      <c r="P15" s="17" t="s">
        <v>19</v>
      </c>
      <c r="Q15" s="17" t="s">
        <v>18</v>
      </c>
      <c r="R15" s="18" t="s">
        <v>20</v>
      </c>
      <c r="T15" s="19"/>
      <c r="U15" s="19"/>
      <c r="V15" s="19"/>
      <c r="W15" s="19"/>
      <c r="X15" s="19"/>
    </row>
    <row r="16" spans="1:28" s="20" customFormat="1" ht="125.1" customHeight="1" x14ac:dyDescent="0.15">
      <c r="A16" s="162"/>
      <c r="B16" s="163"/>
      <c r="C16" s="163"/>
      <c r="D16" s="164"/>
      <c r="E16" s="21"/>
      <c r="F16" s="22"/>
      <c r="G16" s="22"/>
      <c r="H16" s="22"/>
      <c r="I16" s="21"/>
      <c r="J16" s="22"/>
      <c r="K16" s="23"/>
      <c r="L16" s="21"/>
      <c r="M16" s="22"/>
      <c r="N16" s="22"/>
      <c r="O16" s="23"/>
      <c r="P16" s="21"/>
      <c r="Q16" s="22"/>
      <c r="R16" s="23"/>
      <c r="S16" s="22"/>
      <c r="T16" s="22"/>
      <c r="V16" s="22"/>
      <c r="W16" s="22"/>
      <c r="X16" s="23"/>
      <c r="Y16" s="24"/>
    </row>
    <row r="17" spans="1:24" ht="18" customHeight="1" x14ac:dyDescent="0.15">
      <c r="A17" s="162" t="s">
        <v>21</v>
      </c>
      <c r="B17" s="163"/>
      <c r="C17" s="163" t="s">
        <v>22</v>
      </c>
      <c r="D17" s="16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  <c r="T17" s="26"/>
      <c r="U17" s="26"/>
      <c r="V17" s="26"/>
      <c r="W17" s="26"/>
      <c r="X17" s="26"/>
    </row>
    <row r="18" spans="1:24" ht="18" customHeight="1" x14ac:dyDescent="0.15">
      <c r="A18" s="162" t="s">
        <v>23</v>
      </c>
      <c r="B18" s="163"/>
      <c r="C18" s="163" t="s">
        <v>24</v>
      </c>
      <c r="D18" s="164"/>
      <c r="E18" s="26"/>
      <c r="F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4" ht="18" customHeight="1" x14ac:dyDescent="0.15">
      <c r="A19" s="162" t="s">
        <v>39</v>
      </c>
      <c r="B19" s="163"/>
      <c r="C19" s="163" t="s">
        <v>42</v>
      </c>
      <c r="D19" s="164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pans="1:24" ht="18" customHeight="1" x14ac:dyDescent="0.15">
      <c r="A20" s="162" t="s">
        <v>25</v>
      </c>
      <c r="B20" s="163"/>
      <c r="C20" s="163" t="s">
        <v>26</v>
      </c>
      <c r="D20" s="164"/>
      <c r="E20" s="26"/>
      <c r="F20" s="26"/>
      <c r="G20" s="26"/>
      <c r="H20" s="25"/>
      <c r="I20" s="25"/>
      <c r="J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4" ht="18" customHeight="1" x14ac:dyDescent="0.15">
      <c r="A21" s="157" t="s">
        <v>27</v>
      </c>
      <c r="B21" s="158"/>
      <c r="C21" s="158" t="s">
        <v>28</v>
      </c>
      <c r="D21" s="172"/>
      <c r="E21" s="27"/>
      <c r="F21" s="27"/>
      <c r="G21" s="27"/>
      <c r="H21" s="27"/>
      <c r="I21" s="27"/>
      <c r="J21" s="27"/>
      <c r="K21" s="27"/>
      <c r="L21" s="27"/>
      <c r="M21" s="27"/>
      <c r="O21" s="27"/>
      <c r="P21" s="27"/>
      <c r="Q21" s="27"/>
      <c r="R21" s="27"/>
      <c r="S21" s="26"/>
      <c r="T21" s="26"/>
      <c r="U21" s="26"/>
      <c r="V21" s="26"/>
      <c r="W21" s="26"/>
      <c r="X21" s="26"/>
    </row>
    <row r="22" spans="1:24" ht="18" customHeight="1" x14ac:dyDescent="0.15">
      <c r="A22" s="162" t="s">
        <v>40</v>
      </c>
      <c r="B22" s="163"/>
      <c r="C22" s="163" t="s">
        <v>41</v>
      </c>
      <c r="D22" s="164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spans="1:24" ht="18" customHeight="1" x14ac:dyDescent="0.15">
      <c r="A23" s="173"/>
      <c r="B23" s="174"/>
      <c r="C23" s="174"/>
      <c r="D23" s="17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ht="18" customHeight="1" x14ac:dyDescent="0.15">
      <c r="A24" s="161"/>
      <c r="B24" s="159"/>
      <c r="C24" s="159"/>
      <c r="D24" s="160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spans="1:24" ht="18" customHeight="1" x14ac:dyDescent="0.15">
      <c r="A25" s="161"/>
      <c r="B25" s="159"/>
      <c r="C25" s="159"/>
      <c r="D25" s="160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1:24" ht="18" customHeight="1" x14ac:dyDescent="0.15">
      <c r="A26" s="161"/>
      <c r="B26" s="159"/>
      <c r="C26" s="159"/>
      <c r="D26" s="160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spans="1:24" ht="18" customHeight="1" x14ac:dyDescent="0.15">
      <c r="A27" s="161"/>
      <c r="B27" s="159"/>
      <c r="C27" s="159"/>
      <c r="D27" s="160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4" ht="18" customHeight="1" x14ac:dyDescent="0.15">
      <c r="A28" s="161"/>
      <c r="B28" s="159"/>
      <c r="C28" s="159"/>
      <c r="D28" s="160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ht="18" customHeight="1" x14ac:dyDescent="0.15">
      <c r="A29" s="161"/>
      <c r="B29" s="159"/>
      <c r="C29" s="159"/>
      <c r="D29" s="160"/>
      <c r="E29" s="26"/>
      <c r="F29" s="26"/>
      <c r="G29" s="26"/>
      <c r="H29" s="28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ht="18" customHeight="1" x14ac:dyDescent="0.15">
      <c r="A30" s="161"/>
      <c r="B30" s="159"/>
      <c r="C30" s="159"/>
      <c r="D30" s="160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spans="1:24" ht="18" customHeight="1" x14ac:dyDescent="0.15">
      <c r="A31" s="161"/>
      <c r="B31" s="159"/>
      <c r="C31" s="159"/>
      <c r="D31" s="160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4" ht="18" customHeight="1" x14ac:dyDescent="0.15">
      <c r="A32" s="161"/>
      <c r="B32" s="159"/>
      <c r="C32" s="159"/>
      <c r="D32" s="16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1:24" ht="18" customHeight="1" x14ac:dyDescent="0.15">
      <c r="A33" s="29" t="s">
        <v>29</v>
      </c>
      <c r="B33" s="30" t="s">
        <v>30</v>
      </c>
      <c r="C33" s="31">
        <f>SUM(E33:X33)</f>
        <v>150</v>
      </c>
      <c r="D33" s="32" t="s">
        <v>31</v>
      </c>
      <c r="E33" s="1">
        <v>67</v>
      </c>
      <c r="F33" s="1">
        <v>9</v>
      </c>
      <c r="G33" s="1">
        <v>2</v>
      </c>
      <c r="H33" s="1">
        <v>3</v>
      </c>
      <c r="I33" s="1">
        <v>8</v>
      </c>
      <c r="J33" s="1">
        <v>2</v>
      </c>
      <c r="K33" s="1">
        <v>3</v>
      </c>
      <c r="L33" s="1">
        <v>26</v>
      </c>
      <c r="M33" s="1">
        <v>8</v>
      </c>
      <c r="N33" s="1">
        <v>2</v>
      </c>
      <c r="O33" s="1">
        <v>3</v>
      </c>
      <c r="P33" s="1">
        <v>11</v>
      </c>
      <c r="Q33" s="1">
        <v>2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66" t="s">
        <v>32</v>
      </c>
      <c r="B34" s="167"/>
      <c r="C34" s="167"/>
      <c r="D34" s="168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110</v>
      </c>
      <c r="Q34" s="4">
        <v>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66" t="s">
        <v>33</v>
      </c>
      <c r="B35" s="167"/>
      <c r="C35" s="167"/>
      <c r="D35" s="16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66" t="s">
        <v>34</v>
      </c>
      <c r="B36" s="167"/>
      <c r="C36" s="167"/>
      <c r="D36" s="168"/>
      <c r="E36" s="4" t="s">
        <v>35</v>
      </c>
      <c r="F36" s="4" t="s">
        <v>36</v>
      </c>
      <c r="G36" s="4" t="s">
        <v>36</v>
      </c>
      <c r="H36" s="4" t="s">
        <v>36</v>
      </c>
      <c r="I36" s="4" t="s">
        <v>36</v>
      </c>
      <c r="J36" s="4" t="s">
        <v>36</v>
      </c>
      <c r="K36" s="4" t="s">
        <v>36</v>
      </c>
      <c r="L36" s="4" t="s">
        <v>36</v>
      </c>
      <c r="M36" s="4" t="s">
        <v>35</v>
      </c>
      <c r="N36" s="4" t="s">
        <v>35</v>
      </c>
      <c r="O36" s="4" t="s">
        <v>35</v>
      </c>
      <c r="P36" s="4" t="s">
        <v>35</v>
      </c>
      <c r="Q36" s="4" t="s">
        <v>35</v>
      </c>
      <c r="R36" s="4" t="s">
        <v>35</v>
      </c>
      <c r="S36" s="4"/>
      <c r="T36" s="4"/>
      <c r="U36" s="4"/>
      <c r="V36" s="4"/>
      <c r="W36" s="4"/>
      <c r="X36" s="4"/>
    </row>
  </sheetData>
  <mergeCells count="74">
    <mergeCell ref="A3:B3"/>
    <mergeCell ref="C3:D3"/>
    <mergeCell ref="C13:D13"/>
    <mergeCell ref="C12:D12"/>
    <mergeCell ref="A7:B7"/>
    <mergeCell ref="C7:D7"/>
    <mergeCell ref="A5:B5"/>
    <mergeCell ref="C5:D5"/>
    <mergeCell ref="A11:B11"/>
    <mergeCell ref="C11:D11"/>
    <mergeCell ref="A27:B27"/>
    <mergeCell ref="C27:D27"/>
    <mergeCell ref="A26:B26"/>
    <mergeCell ref="C26:D26"/>
    <mergeCell ref="C4:D4"/>
    <mergeCell ref="A9:B9"/>
    <mergeCell ref="C9:D9"/>
    <mergeCell ref="A6:B6"/>
    <mergeCell ref="C6:D6"/>
    <mergeCell ref="A8:B8"/>
    <mergeCell ref="C8:D8"/>
    <mergeCell ref="A4:B4"/>
    <mergeCell ref="A16:D16"/>
    <mergeCell ref="A20:B20"/>
    <mergeCell ref="A10:B10"/>
    <mergeCell ref="C10:D10"/>
    <mergeCell ref="A36:D36"/>
    <mergeCell ref="A32:B32"/>
    <mergeCell ref="C32:D32"/>
    <mergeCell ref="C31:D31"/>
    <mergeCell ref="A31:B31"/>
    <mergeCell ref="A35:D35"/>
    <mergeCell ref="A34:D34"/>
    <mergeCell ref="C30:D30"/>
    <mergeCell ref="A29:B29"/>
    <mergeCell ref="C29:D29"/>
    <mergeCell ref="C21:D21"/>
    <mergeCell ref="A22:B22"/>
    <mergeCell ref="C22:D22"/>
    <mergeCell ref="A28:B28"/>
    <mergeCell ref="C28:D28"/>
    <mergeCell ref="A30:B30"/>
    <mergeCell ref="A23:B23"/>
    <mergeCell ref="C23:D23"/>
    <mergeCell ref="A21:B21"/>
    <mergeCell ref="A25:B25"/>
    <mergeCell ref="C25:D25"/>
    <mergeCell ref="A24:B24"/>
    <mergeCell ref="C24:D24"/>
    <mergeCell ref="A14:D14"/>
    <mergeCell ref="A15:D15"/>
    <mergeCell ref="A12:B12"/>
    <mergeCell ref="A13:B13"/>
    <mergeCell ref="A17:B17"/>
    <mergeCell ref="C17:D17"/>
    <mergeCell ref="A18:B18"/>
    <mergeCell ref="C18:D18"/>
    <mergeCell ref="A19:B19"/>
    <mergeCell ref="C19:D19"/>
    <mergeCell ref="C20:D20"/>
    <mergeCell ref="V1:X1"/>
    <mergeCell ref="V2:X2"/>
    <mergeCell ref="N1:O1"/>
    <mergeCell ref="N2:O2"/>
    <mergeCell ref="P1:S1"/>
    <mergeCell ref="P2:R2"/>
    <mergeCell ref="T1:U1"/>
    <mergeCell ref="T2:U2"/>
    <mergeCell ref="H1:M1"/>
    <mergeCell ref="A1:E1"/>
    <mergeCell ref="A2:E2"/>
    <mergeCell ref="F2:G2"/>
    <mergeCell ref="F1:G1"/>
    <mergeCell ref="K2:M2"/>
  </mergeCells>
  <phoneticPr fontId="2"/>
  <pageMargins left="0.98425196850393704" right="0.11811023622047245" top="0.43307086614173229" bottom="0.59055118110236227" header="0.23622047244094491" footer="0.31496062992125984"/>
  <pageSetup paperSize="9" scale="9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2026-02-07</vt:lpstr>
      <vt:lpstr>70042 (2009_3_31))</vt:lpstr>
      <vt:lpstr>70042</vt:lpstr>
      <vt:lpstr>'2026-02-07'!Print_Area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川本　栄次</cp:lastModifiedBy>
  <cp:lastPrinted>2009-03-24T01:12:20Z</cp:lastPrinted>
  <dcterms:created xsi:type="dcterms:W3CDTF">2003-04-03T01:34:11Z</dcterms:created>
  <dcterms:modified xsi:type="dcterms:W3CDTF">2026-02-13T03:44:56Z</dcterms:modified>
</cp:coreProperties>
</file>