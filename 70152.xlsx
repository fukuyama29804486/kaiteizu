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81DB498F-3E18-44AB-9080-8F195B0A71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4" sheetId="2" r:id="rId1"/>
    <sheet name="430152" sheetId="1" r:id="rId2"/>
  </sheets>
  <definedNames>
    <definedName name="_xlnm.Print_Area" localSheetId="0">'2026-02-04'!$A$1:$X$38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5" i="2" l="1"/>
  <c r="AA15" i="2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<sst xmlns="http://schemas.openxmlformats.org/spreadsheetml/2006/main" count="129" uniqueCount="70">
  <si>
    <t>規制番号　名称</t>
    <rPh sb="0" eb="2">
      <t>キセイ</t>
    </rPh>
    <rPh sb="2" eb="4">
      <t>バンゴウ</t>
    </rPh>
    <rPh sb="5" eb="7">
      <t>メイショウ</t>
    </rPh>
    <phoneticPr fontId="2"/>
  </si>
  <si>
    <t>福山市民病院入口</t>
    <rPh sb="0" eb="2">
      <t>フクヤマ</t>
    </rPh>
    <rPh sb="2" eb="4">
      <t>シミン</t>
    </rPh>
    <rPh sb="4" eb="6">
      <t>ビョウイン</t>
    </rPh>
    <rPh sb="6" eb="8">
      <t>イリグチ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</si>
  <si>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</si>
  <si>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</si>
  <si>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</si>
  <si>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</si>
  <si>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</si>
  <si>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</si>
  <si>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</si>
  <si>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</si>
  <si>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</si>
  <si>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</si>
  <si>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</si>
  <si>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2 A</t>
    <phoneticPr fontId="2"/>
  </si>
  <si>
    <t>2 Y</t>
    <phoneticPr fontId="2"/>
  </si>
  <si>
    <t>2 R</t>
    <phoneticPr fontId="2"/>
  </si>
  <si>
    <t>3A</t>
    <phoneticPr fontId="2"/>
  </si>
  <si>
    <t>3 Y</t>
    <phoneticPr fontId="2"/>
  </si>
  <si>
    <t>3 R</t>
    <phoneticPr fontId="2"/>
  </si>
  <si>
    <t>4PG</t>
    <phoneticPr fontId="2"/>
  </si>
  <si>
    <t>4PW</t>
    <phoneticPr fontId="2"/>
  </si>
  <si>
    <t>4 G</t>
    <phoneticPr fontId="2"/>
  </si>
  <si>
    <t>4 Y</t>
    <phoneticPr fontId="2"/>
  </si>
  <si>
    <t>4 R</t>
    <phoneticPr fontId="2"/>
  </si>
  <si>
    <t xml:space="preserve">   １Ｐ </t>
    <phoneticPr fontId="2"/>
  </si>
  <si>
    <t>[ 1P ]</t>
    <phoneticPr fontId="2"/>
  </si>
  <si>
    <t>１</t>
    <phoneticPr fontId="2"/>
  </si>
  <si>
    <t>[ 1V ]</t>
    <phoneticPr fontId="2"/>
  </si>
  <si>
    <t>２Ｐ</t>
    <phoneticPr fontId="2"/>
  </si>
  <si>
    <t>[ 2P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</si>
  <si>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</si>
  <si>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</si>
  <si>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</si>
  <si>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</si>
  <si>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</si>
  <si>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</si>
  <si>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</si>
  <si>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</si>
  <si>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7-0152 </t>
    <phoneticPr fontId="2"/>
  </si>
  <si>
    <t xml:space="preserve">070152 </t>
    <phoneticPr fontId="2"/>
  </si>
  <si>
    <t>U-UD（ルータ）</t>
    <phoneticPr fontId="2"/>
  </si>
  <si>
    <t>２</t>
    <phoneticPr fontId="2"/>
  </si>
  <si>
    <t>３</t>
    <phoneticPr fontId="2"/>
  </si>
  <si>
    <t>１Ａ</t>
    <phoneticPr fontId="2"/>
  </si>
  <si>
    <t>３Ａ</t>
    <phoneticPr fontId="2"/>
  </si>
  <si>
    <t>２Ａ</t>
    <phoneticPr fontId="2"/>
  </si>
  <si>
    <t>[ 2V ]</t>
    <phoneticPr fontId="2"/>
  </si>
  <si>
    <t>[ 3V ]</t>
    <phoneticPr fontId="2"/>
  </si>
  <si>
    <t>[ 1A ]</t>
    <phoneticPr fontId="2"/>
  </si>
  <si>
    <t>[ 2A ]</t>
    <phoneticPr fontId="2"/>
  </si>
  <si>
    <t>[ 3A ]</t>
    <phoneticPr fontId="2"/>
  </si>
  <si>
    <t>1 R</t>
    <phoneticPr fontId="2"/>
  </si>
  <si>
    <t>～</t>
    <phoneticPr fontId="2"/>
  </si>
  <si>
    <t>3M1142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</si>
  <si>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</si>
  <si>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</si>
  <si>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メーカー</t>
    <phoneticPr fontId="2"/>
  </si>
  <si>
    <t>Int№：</t>
    <phoneticPr fontId="2"/>
  </si>
  <si>
    <t>福山市民病院入口</t>
    <phoneticPr fontId="2"/>
  </si>
  <si>
    <t>07-0152</t>
    <phoneticPr fontId="2"/>
  </si>
  <si>
    <t>70152</t>
    <phoneticPr fontId="2"/>
  </si>
  <si>
    <t>(UD-RTR)</t>
    <phoneticPr fontId="2"/>
  </si>
  <si>
    <t>ＰＵ</t>
    <phoneticPr fontId="2"/>
  </si>
  <si>
    <t>ＰＬ</t>
    <phoneticPr fontId="2"/>
  </si>
  <si>
    <t xml:space="preserve"> １Ｐ </t>
    <phoneticPr fontId="2"/>
  </si>
  <si>
    <t>１右矢</t>
    <rPh sb="1" eb="2">
      <t>ミギ</t>
    </rPh>
    <rPh sb="2" eb="3">
      <t>ヤ</t>
    </rPh>
    <phoneticPr fontId="2"/>
  </si>
  <si>
    <t>２右矢</t>
    <rPh sb="1" eb="2">
      <t>ミギ</t>
    </rPh>
    <rPh sb="2" eb="3">
      <t>ヤ</t>
    </rPh>
    <phoneticPr fontId="2"/>
  </si>
  <si>
    <t>３左矢</t>
    <rPh sb="1" eb="2">
      <t>ヒダリ</t>
    </rPh>
    <rPh sb="2" eb="3">
      <t>ヤ</t>
    </rPh>
    <phoneticPr fontId="2"/>
  </si>
  <si>
    <t>日本信号</t>
    <rPh sb="0" eb="4">
      <t>ニホンシンゴウ</t>
    </rPh>
    <phoneticPr fontId="2"/>
  </si>
  <si>
    <t>K0000005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</si>
</sst>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right" vertical="center"/>
    </xf>
    <xf numFmtId="177" fontId="3" fillId="0" borderId="10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right" vertical="center"/>
    </xf>
    <xf numFmtId="177" fontId="10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81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9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5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6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5" xfId="0" applyNumberFormat="1" applyFont="1" applyBorder="1" applyAlignment="1">
      <alignment horizontal="center" vertical="center"/>
    </xf>
    <xf numFmtId="180" fontId="9" fillId="0" borderId="26" xfId="0" applyNumberFormat="1" applyFont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78" fontId="9" fillId="0" borderId="19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178" fontId="9" fillId="0" borderId="24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9" fillId="0" borderId="19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49" fontId="10" fillId="0" borderId="9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9" fillId="0" borderId="20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5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19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57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right" vertical="center"/>
    </xf>
    <xf numFmtId="49" fontId="3" fillId="0" borderId="18" xfId="0" applyNumberFormat="1" applyFont="1" applyBorder="1" applyAlignment="1">
      <alignment horizontal="right" vertical="center"/>
    </xf>
    <xf numFmtId="49" fontId="3" fillId="0" borderId="19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right" vertical="center"/>
    </xf>
    <xf numFmtId="49" fontId="3" fillId="0" borderId="15" xfId="0" applyNumberFormat="1" applyFont="1" applyBorder="1" applyAlignment="1">
      <alignment horizontal="right" vertical="center"/>
    </xf>
    <xf numFmtId="20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6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4</xdr:row>
      <xdr:rowOff>142875</xdr:rowOff>
    </xdr:from>
    <xdr:to>
      <xdr:col>22</xdr:col>
      <xdr:colOff>15431</xdr:colOff>
      <xdr:row>14</xdr:row>
      <xdr:rowOff>104775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 noChangeAspect="1"/>
        </xdr:cNvGrpSpPr>
      </xdr:nvGrpSpPr>
      <xdr:grpSpPr>
        <a:xfrm>
          <a:off x="523875" y="714375"/>
          <a:ext cx="6463856" cy="3895725"/>
          <a:chOff x="8105775" y="3124200"/>
          <a:chExt cx="11314286" cy="6819048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105775" y="3124200"/>
            <a:ext cx="11314286" cy="6819048"/>
          </a:xfrm>
          <a:prstGeom prst="rect">
            <a:avLst/>
          </a:prstGeom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8105775" y="3133725"/>
            <a:ext cx="2838450" cy="914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18</xdr:row>
      <xdr:rowOff>95250</xdr:rowOff>
    </xdr:from>
    <xdr:to>
      <xdr:col>20</xdr:col>
      <xdr:colOff>0</xdr:colOff>
      <xdr:row>18</xdr:row>
      <xdr:rowOff>142875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4400550" cy="47625"/>
          <a:chOff x="158" y="715"/>
          <a:chExt cx="33" cy="5"/>
        </a:xfrm>
      </xdr:grpSpPr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9525</xdr:colOff>
      <xdr:row>19</xdr:row>
      <xdr:rowOff>114300</xdr:rowOff>
    </xdr:to>
    <xdr:sp macro="" textlink="">
      <xdr:nvSpPr>
        <xdr:cNvPr id="25" name="Line 4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19</xdr:row>
      <xdr:rowOff>95250</xdr:rowOff>
    </xdr:from>
    <xdr:to>
      <xdr:col>20</xdr:col>
      <xdr:colOff>0</xdr:colOff>
      <xdr:row>19</xdr:row>
      <xdr:rowOff>142875</xdr:rowOff>
    </xdr:to>
    <xdr:grpSp>
      <xdr:nvGrpSpPr>
        <xdr:cNvPr id="26" name="Group 4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>
          <a:grpSpLocks/>
        </xdr:cNvGrpSpPr>
      </xdr:nvGrpSpPr>
      <xdr:grpSpPr bwMode="auto">
        <a:xfrm>
          <a:off x="3524250" y="7096125"/>
          <a:ext cx="2819400" cy="47625"/>
          <a:chOff x="158" y="715"/>
          <a:chExt cx="33" cy="5"/>
        </a:xfrm>
      </xdr:grpSpPr>
      <xdr:sp macro="" textlink="">
        <xdr:nvSpPr>
          <xdr:cNvPr id="27" name="Line 44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29" name="Freeform 4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30" name="Group 4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31" name="Line 48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49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50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51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85725</xdr:rowOff>
    </xdr:from>
    <xdr:to>
      <xdr:col>15</xdr:col>
      <xdr:colOff>9525</xdr:colOff>
      <xdr:row>22</xdr:row>
      <xdr:rowOff>133350</xdr:rowOff>
    </xdr:to>
    <xdr:grpSp>
      <xdr:nvGrpSpPr>
        <xdr:cNvPr id="35" name="Group 5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>
          <a:grpSpLocks/>
        </xdr:cNvGrpSpPr>
      </xdr:nvGrpSpPr>
      <xdr:grpSpPr bwMode="auto">
        <a:xfrm>
          <a:off x="1314450" y="7772400"/>
          <a:ext cx="3467100" cy="47625"/>
          <a:chOff x="158" y="715"/>
          <a:chExt cx="33" cy="5"/>
        </a:xfrm>
      </xdr:grpSpPr>
      <xdr:sp macro="" textlink="">
        <xdr:nvSpPr>
          <xdr:cNvPr id="36" name="Line 53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54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0</xdr:colOff>
      <xdr:row>22</xdr:row>
      <xdr:rowOff>85725</xdr:rowOff>
    </xdr:from>
    <xdr:to>
      <xdr:col>20</xdr:col>
      <xdr:colOff>0</xdr:colOff>
      <xdr:row>22</xdr:row>
      <xdr:rowOff>133350</xdr:rowOff>
    </xdr:to>
    <xdr:grpSp>
      <xdr:nvGrpSpPr>
        <xdr:cNvPr id="38" name="Group 5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>
          <a:grpSpLocks/>
        </xdr:cNvGrpSpPr>
      </xdr:nvGrpSpPr>
      <xdr:grpSpPr bwMode="auto">
        <a:xfrm>
          <a:off x="6029325" y="7772400"/>
          <a:ext cx="314325" cy="47625"/>
          <a:chOff x="158" y="715"/>
          <a:chExt cx="33" cy="5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9525</xdr:colOff>
      <xdr:row>22</xdr:row>
      <xdr:rowOff>38100</xdr:rowOff>
    </xdr:from>
    <xdr:to>
      <xdr:col>18</xdr:col>
      <xdr:colOff>304800</xdr:colOff>
      <xdr:row>22</xdr:row>
      <xdr:rowOff>180975</xdr:rowOff>
    </xdr:to>
    <xdr:sp macro="" textlink="">
      <xdr:nvSpPr>
        <xdr:cNvPr id="41" name="Freeform 5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/>
        </xdr:cNvSpPr>
      </xdr:nvSpPr>
      <xdr:spPr bwMode="auto">
        <a:xfrm>
          <a:off x="5286375" y="76485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22</xdr:row>
      <xdr:rowOff>114300</xdr:rowOff>
    </xdr:from>
    <xdr:to>
      <xdr:col>18</xdr:col>
      <xdr:colOff>0</xdr:colOff>
      <xdr:row>22</xdr:row>
      <xdr:rowOff>114300</xdr:rowOff>
    </xdr:to>
    <xdr:sp macro="" textlink="">
      <xdr:nvSpPr>
        <xdr:cNvPr id="42" name="Line 5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43338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85725</xdr:colOff>
      <xdr:row>17</xdr:row>
      <xdr:rowOff>590550</xdr:rowOff>
    </xdr:from>
    <xdr:to>
      <xdr:col>11</xdr:col>
      <xdr:colOff>257175</xdr:colOff>
      <xdr:row>17</xdr:row>
      <xdr:rowOff>1009650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 rot="5400000">
          <a:off x="3162300" y="5591175"/>
          <a:ext cx="419100" cy="800100"/>
          <a:chOff x="3200400" y="5591175"/>
          <a:chExt cx="419100" cy="800100"/>
        </a:xfrm>
      </xdr:grpSpPr>
      <xdr:grpSp>
        <xdr:nvGrpSpPr>
          <xdr:cNvPr id="43" name="Group 60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3143250" y="6029325"/>
            <a:ext cx="266700" cy="152400"/>
            <a:chOff x="248" y="601"/>
            <a:chExt cx="28" cy="16"/>
          </a:xfrm>
        </xdr:grpSpPr>
        <xdr:sp macro="" textlink="">
          <xdr:nvSpPr>
            <xdr:cNvPr id="44" name="Line 61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" name="Freeform 62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6" name="Line 63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" name="Freeform 64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8" name="Group 65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pSpPr>
            <a:grpSpLocks/>
          </xdr:cNvGrpSpPr>
        </xdr:nvGrpSpPr>
        <xdr:grpSpPr bwMode="auto">
          <a:xfrm rot="5400000">
            <a:off x="3143250" y="5648325"/>
            <a:ext cx="266700" cy="152400"/>
            <a:chOff x="248" y="601"/>
            <a:chExt cx="28" cy="16"/>
          </a:xfrm>
        </xdr:grpSpPr>
        <xdr:sp macro="" textlink="">
          <xdr:nvSpPr>
            <xdr:cNvPr id="49" name="Line 66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48" y="601"/>
              <a:ext cx="1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0" name="Freeform 67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>
              <a:spLocks/>
            </xdr:cNvSpPr>
          </xdr:nvSpPr>
          <xdr:spPr bwMode="auto">
            <a:xfrm>
              <a:off x="264" y="601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1" name="Line 68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2" y="609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" name="Freeform 69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>
              <a:spLocks/>
            </xdr:cNvSpPr>
          </xdr:nvSpPr>
          <xdr:spPr bwMode="auto">
            <a:xfrm>
              <a:off x="268" y="611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" name="Group 70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GrpSpPr>
            <a:grpSpLocks/>
          </xdr:cNvGrpSpPr>
        </xdr:nvGrpSpPr>
        <xdr:grpSpPr bwMode="auto">
          <a:xfrm rot="16200000" flipH="1">
            <a:off x="3409950" y="6181725"/>
            <a:ext cx="161925" cy="257175"/>
            <a:chOff x="471" y="616"/>
            <a:chExt cx="17" cy="27"/>
          </a:xfrm>
        </xdr:grpSpPr>
        <xdr:sp macro="" textlink="">
          <xdr:nvSpPr>
            <xdr:cNvPr id="54" name="Freeform 71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71" y="620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" name="Line 72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>
              <a:spLocks noChangeShapeType="1"/>
            </xdr:cNvSpPr>
          </xdr:nvSpPr>
          <xdr:spPr bwMode="auto">
            <a:xfrm rot="16174775" flipV="1">
              <a:off x="483" y="61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6" name="Freeform 73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>
              <a:spLocks/>
            </xdr:cNvSpPr>
          </xdr:nvSpPr>
          <xdr:spPr bwMode="auto">
            <a:xfrm rot="16174775">
              <a:off x="481" y="617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" name="Line 74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471" y="628"/>
              <a:ext cx="0" cy="15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9525</xdr:colOff>
      <xdr:row>19</xdr:row>
      <xdr:rowOff>38100</xdr:rowOff>
    </xdr:from>
    <xdr:to>
      <xdr:col>10</xdr:col>
      <xdr:colOff>304800</xdr:colOff>
      <xdr:row>19</xdr:row>
      <xdr:rowOff>180975</xdr:rowOff>
    </xdr:to>
    <xdr:sp macro="" textlink="">
      <xdr:nvSpPr>
        <xdr:cNvPr id="62" name="Freeform 9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/>
        </xdr:cNvSpPr>
      </xdr:nvSpPr>
      <xdr:spPr bwMode="auto">
        <a:xfrm>
          <a:off x="2771775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10</xdr:col>
      <xdr:colOff>0</xdr:colOff>
      <xdr:row>19</xdr:row>
      <xdr:rowOff>152400</xdr:rowOff>
    </xdr:to>
    <xdr:grpSp>
      <xdr:nvGrpSpPr>
        <xdr:cNvPr id="63" name="Group 9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628650" cy="47625"/>
          <a:chOff x="158" y="715"/>
          <a:chExt cx="33" cy="5"/>
        </a:xfrm>
      </xdr:grpSpPr>
      <xdr:sp macro="" textlink="">
        <xdr:nvSpPr>
          <xdr:cNvPr id="64" name="Line 95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6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114300</xdr:rowOff>
    </xdr:from>
    <xdr:to>
      <xdr:col>7</xdr:col>
      <xdr:colOff>9525</xdr:colOff>
      <xdr:row>20</xdr:row>
      <xdr:rowOff>114300</xdr:rowOff>
    </xdr:to>
    <xdr:sp macro="" textlink="">
      <xdr:nvSpPr>
        <xdr:cNvPr id="66" name="Line 9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876300" y="7267575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20</xdr:row>
      <xdr:rowOff>38100</xdr:rowOff>
    </xdr:from>
    <xdr:to>
      <xdr:col>7</xdr:col>
      <xdr:colOff>304800</xdr:colOff>
      <xdr:row>20</xdr:row>
      <xdr:rowOff>180975</xdr:rowOff>
    </xdr:to>
    <xdr:sp macro="" textlink="">
      <xdr:nvSpPr>
        <xdr:cNvPr id="67" name="Freeform 9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/>
        </xdr:cNvSpPr>
      </xdr:nvSpPr>
      <xdr:spPr bwMode="auto">
        <a:xfrm>
          <a:off x="1828800" y="71913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304800</xdr:colOff>
      <xdr:row>20</xdr:row>
      <xdr:rowOff>104775</xdr:rowOff>
    </xdr:from>
    <xdr:to>
      <xdr:col>13</xdr:col>
      <xdr:colOff>0</xdr:colOff>
      <xdr:row>20</xdr:row>
      <xdr:rowOff>152400</xdr:rowOff>
    </xdr:to>
    <xdr:grpSp>
      <xdr:nvGrpSpPr>
        <xdr:cNvPr id="68" name="Group 9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>
          <a:grpSpLocks/>
        </xdr:cNvGrpSpPr>
      </xdr:nvGrpSpPr>
      <xdr:grpSpPr bwMode="auto">
        <a:xfrm>
          <a:off x="2562225" y="7334250"/>
          <a:ext cx="1581150" cy="47625"/>
          <a:chOff x="158" y="715"/>
          <a:chExt cx="33" cy="5"/>
        </a:xfrm>
      </xdr:grpSpPr>
      <xdr:sp macro="" textlink="">
        <xdr:nvSpPr>
          <xdr:cNvPr id="69" name="Line 100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101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20</xdr:row>
      <xdr:rowOff>38100</xdr:rowOff>
    </xdr:from>
    <xdr:to>
      <xdr:col>13</xdr:col>
      <xdr:colOff>304800</xdr:colOff>
      <xdr:row>20</xdr:row>
      <xdr:rowOff>180975</xdr:rowOff>
    </xdr:to>
    <xdr:sp macro="" textlink="">
      <xdr:nvSpPr>
        <xdr:cNvPr id="71" name="Freeform 10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/>
        </xdr:cNvSpPr>
      </xdr:nvSpPr>
      <xdr:spPr bwMode="auto">
        <a:xfrm>
          <a:off x="3714750" y="71913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9525</xdr:colOff>
      <xdr:row>20</xdr:row>
      <xdr:rowOff>104775</xdr:rowOff>
    </xdr:from>
    <xdr:to>
      <xdr:col>20</xdr:col>
      <xdr:colOff>0</xdr:colOff>
      <xdr:row>20</xdr:row>
      <xdr:rowOff>152400</xdr:rowOff>
    </xdr:to>
    <xdr:grpSp>
      <xdr:nvGrpSpPr>
        <xdr:cNvPr id="72" name="Group 10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>
          <a:grpSpLocks/>
        </xdr:cNvGrpSpPr>
      </xdr:nvGrpSpPr>
      <xdr:grpSpPr bwMode="auto">
        <a:xfrm>
          <a:off x="4467225" y="7334250"/>
          <a:ext cx="1876425" cy="47625"/>
          <a:chOff x="455" y="811"/>
          <a:chExt cx="99" cy="5"/>
        </a:xfrm>
      </xdr:grpSpPr>
      <xdr:grpSp>
        <xdr:nvGrpSpPr>
          <xdr:cNvPr id="73" name="Group 10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GrpSpPr>
            <a:grpSpLocks/>
          </xdr:cNvGrpSpPr>
        </xdr:nvGrpSpPr>
        <xdr:grpSpPr bwMode="auto">
          <a:xfrm>
            <a:off x="455" y="811"/>
            <a:ext cx="33" cy="5"/>
            <a:chOff x="158" y="715"/>
            <a:chExt cx="33" cy="5"/>
          </a:xfrm>
        </xdr:grpSpPr>
        <xdr:sp macro="" textlink="">
          <xdr:nvSpPr>
            <xdr:cNvPr id="80" name="Line 105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Line 106">
              <a:extLst>
                <a:ext uri="{FF2B5EF4-FFF2-40B4-BE49-F238E27FC236}">
                  <a16:creationId xmlns:a16="http://schemas.microsoft.com/office/drawing/2014/main" id="{00000000-0008-0000-0000-00005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4" name="Group 107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GrpSpPr>
            <a:grpSpLocks/>
          </xdr:cNvGrpSpPr>
        </xdr:nvGrpSpPr>
        <xdr:grpSpPr bwMode="auto">
          <a:xfrm>
            <a:off x="488" y="811"/>
            <a:ext cx="33" cy="5"/>
            <a:chOff x="158" y="715"/>
            <a:chExt cx="33" cy="5"/>
          </a:xfrm>
        </xdr:grpSpPr>
        <xdr:sp macro="" textlink="">
          <xdr:nvSpPr>
            <xdr:cNvPr id="78" name="Line 108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Line 109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5" name="Group 110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>
            <a:grpSpLocks/>
          </xdr:cNvGrpSpPr>
        </xdr:nvGrpSpPr>
        <xdr:grpSpPr bwMode="auto">
          <a:xfrm>
            <a:off x="521" y="811"/>
            <a:ext cx="33" cy="5"/>
            <a:chOff x="158" y="715"/>
            <a:chExt cx="33" cy="5"/>
          </a:xfrm>
        </xdr:grpSpPr>
        <xdr:sp macro="" textlink="">
          <xdr:nvSpPr>
            <xdr:cNvPr id="76" name="Line 111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112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171450</xdr:colOff>
      <xdr:row>23</xdr:row>
      <xdr:rowOff>38100</xdr:rowOff>
    </xdr:from>
    <xdr:to>
      <xdr:col>9</xdr:col>
      <xdr:colOff>133350</xdr:colOff>
      <xdr:row>23</xdr:row>
      <xdr:rowOff>209550</xdr:rowOff>
    </xdr:to>
    <xdr:sp macro="" textlink="">
      <xdr:nvSpPr>
        <xdr:cNvPr id="82" name="Oval 11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/>
        </xdr:cNvSpPr>
      </xdr:nvSpPr>
      <xdr:spPr bwMode="auto">
        <a:xfrm>
          <a:off x="2305050" y="7877175"/>
          <a:ext cx="276225" cy="171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23</xdr:row>
      <xdr:rowOff>123825</xdr:rowOff>
    </xdr:from>
    <xdr:to>
      <xdr:col>9</xdr:col>
      <xdr:colOff>76200</xdr:colOff>
      <xdr:row>23</xdr:row>
      <xdr:rowOff>123825</xdr:rowOff>
    </xdr:to>
    <xdr:sp macro="" textlink="">
      <xdr:nvSpPr>
        <xdr:cNvPr id="83" name="Line 115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2333625" y="7962900"/>
          <a:ext cx="1905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23</xdr:row>
      <xdr:rowOff>85725</xdr:rowOff>
    </xdr:from>
    <xdr:to>
      <xdr:col>9</xdr:col>
      <xdr:colOff>85725</xdr:colOff>
      <xdr:row>23</xdr:row>
      <xdr:rowOff>161925</xdr:rowOff>
    </xdr:to>
    <xdr:sp macro="" textlink="">
      <xdr:nvSpPr>
        <xdr:cNvPr id="84" name="Freeform 11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/>
        </xdr:cNvSpPr>
      </xdr:nvSpPr>
      <xdr:spPr bwMode="auto">
        <a:xfrm>
          <a:off x="2428875" y="7924800"/>
          <a:ext cx="104775" cy="76200"/>
        </a:xfrm>
        <a:custGeom>
          <a:avLst/>
          <a:gdLst>
            <a:gd name="T0" fmla="*/ 0 w 268"/>
            <a:gd name="T1" fmla="*/ 208 h 208"/>
            <a:gd name="T2" fmla="*/ 268 w 268"/>
            <a:gd name="T3" fmla="*/ 107 h 208"/>
            <a:gd name="T4" fmla="*/ 0 w 268"/>
            <a:gd name="T5" fmla="*/ 0 h 20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68" h="208">
              <a:moveTo>
                <a:pt x="0" y="208"/>
              </a:moveTo>
              <a:lnTo>
                <a:pt x="268" y="107"/>
              </a:lnTo>
              <a:lnTo>
                <a:pt x="0" y="0"/>
              </a:lnTo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171450</xdr:colOff>
      <xdr:row>24</xdr:row>
      <xdr:rowOff>28575</xdr:rowOff>
    </xdr:from>
    <xdr:to>
      <xdr:col>11</xdr:col>
      <xdr:colOff>133350</xdr:colOff>
      <xdr:row>24</xdr:row>
      <xdr:rowOff>200025</xdr:rowOff>
    </xdr:to>
    <xdr:grpSp>
      <xdr:nvGrpSpPr>
        <xdr:cNvPr id="85" name="Group 11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>
          <a:grpSpLocks/>
        </xdr:cNvGrpSpPr>
      </xdr:nvGrpSpPr>
      <xdr:grpSpPr bwMode="auto">
        <a:xfrm>
          <a:off x="3371850" y="8172450"/>
          <a:ext cx="276225" cy="171450"/>
          <a:chOff x="226" y="755"/>
          <a:chExt cx="29" cy="18"/>
        </a:xfrm>
      </xdr:grpSpPr>
      <xdr:sp macro="" textlink="">
        <xdr:nvSpPr>
          <xdr:cNvPr id="86" name="Oval 118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7" name="Line 119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120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304800</xdr:colOff>
      <xdr:row>24</xdr:row>
      <xdr:rowOff>114300</xdr:rowOff>
    </xdr:from>
    <xdr:to>
      <xdr:col>10</xdr:col>
      <xdr:colOff>171450</xdr:colOff>
      <xdr:row>24</xdr:row>
      <xdr:rowOff>114300</xdr:rowOff>
    </xdr:to>
    <xdr:sp macro="" textlink="">
      <xdr:nvSpPr>
        <xdr:cNvPr id="89" name="Line 12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2124075" y="8181975"/>
          <a:ext cx="8096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24</xdr:row>
      <xdr:rowOff>114300</xdr:rowOff>
    </xdr:from>
    <xdr:to>
      <xdr:col>13</xdr:col>
      <xdr:colOff>0</xdr:colOff>
      <xdr:row>24</xdr:row>
      <xdr:rowOff>114300</xdr:rowOff>
    </xdr:to>
    <xdr:sp macro="" textlink="">
      <xdr:nvSpPr>
        <xdr:cNvPr id="90" name="Line 12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>
          <a:off x="3209925" y="8181975"/>
          <a:ext cx="4953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91" name="Group 123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2514600" cy="47625"/>
          <a:chOff x="158" y="715"/>
          <a:chExt cx="33" cy="5"/>
        </a:xfrm>
      </xdr:grpSpPr>
      <xdr:sp macro="" textlink="">
        <xdr:nvSpPr>
          <xdr:cNvPr id="92" name="Line 124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125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114300</xdr:rowOff>
    </xdr:from>
    <xdr:to>
      <xdr:col>16</xdr:col>
      <xdr:colOff>9525</xdr:colOff>
      <xdr:row>21</xdr:row>
      <xdr:rowOff>114300</xdr:rowOff>
    </xdr:to>
    <xdr:sp macro="" textlink="">
      <xdr:nvSpPr>
        <xdr:cNvPr id="94" name="Line 12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>
          <a:off x="3400425" y="7496175"/>
          <a:ext cx="1257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47625</xdr:colOff>
      <xdr:row>21</xdr:row>
      <xdr:rowOff>38100</xdr:rowOff>
    </xdr:from>
    <xdr:to>
      <xdr:col>16</xdr:col>
      <xdr:colOff>266700</xdr:colOff>
      <xdr:row>21</xdr:row>
      <xdr:rowOff>190500</xdr:rowOff>
    </xdr:to>
    <xdr:grpSp>
      <xdr:nvGrpSpPr>
        <xdr:cNvPr id="95" name="Group 12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>
          <a:grpSpLocks/>
        </xdr:cNvGrpSpPr>
      </xdr:nvGrpSpPr>
      <xdr:grpSpPr bwMode="auto">
        <a:xfrm>
          <a:off x="5133975" y="7496175"/>
          <a:ext cx="219075" cy="152400"/>
          <a:chOff x="132" y="708"/>
          <a:chExt cx="20" cy="14"/>
        </a:xfrm>
      </xdr:grpSpPr>
      <xdr:sp macro="" textlink="">
        <xdr:nvSpPr>
          <xdr:cNvPr id="96" name="Line 12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129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130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131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21</xdr:row>
      <xdr:rowOff>95250</xdr:rowOff>
    </xdr:from>
    <xdr:to>
      <xdr:col>20</xdr:col>
      <xdr:colOff>0</xdr:colOff>
      <xdr:row>21</xdr:row>
      <xdr:rowOff>142875</xdr:rowOff>
    </xdr:to>
    <xdr:grpSp>
      <xdr:nvGrpSpPr>
        <xdr:cNvPr id="100" name="Group 13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>
          <a:grpSpLocks/>
        </xdr:cNvGrpSpPr>
      </xdr:nvGrpSpPr>
      <xdr:grpSpPr bwMode="auto">
        <a:xfrm>
          <a:off x="5400675" y="7553325"/>
          <a:ext cx="942975" cy="47625"/>
          <a:chOff x="158" y="715"/>
          <a:chExt cx="33" cy="5"/>
        </a:xfrm>
      </xdr:grpSpPr>
      <xdr:sp macro="" textlink="">
        <xdr:nvSpPr>
          <xdr:cNvPr id="101" name="Line 13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34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25</xdr:row>
      <xdr:rowOff>28575</xdr:rowOff>
    </xdr:from>
    <xdr:to>
      <xdr:col>12</xdr:col>
      <xdr:colOff>295275</xdr:colOff>
      <xdr:row>25</xdr:row>
      <xdr:rowOff>200025</xdr:rowOff>
    </xdr:to>
    <xdr:grpSp>
      <xdr:nvGrpSpPr>
        <xdr:cNvPr id="103" name="Group 13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>
          <a:grpSpLocks/>
        </xdr:cNvGrpSpPr>
      </xdr:nvGrpSpPr>
      <xdr:grpSpPr bwMode="auto">
        <a:xfrm rot="10800000">
          <a:off x="3848100" y="8401050"/>
          <a:ext cx="276225" cy="171450"/>
          <a:chOff x="226" y="755"/>
          <a:chExt cx="29" cy="18"/>
        </a:xfrm>
      </xdr:grpSpPr>
      <xdr:sp macro="" textlink="">
        <xdr:nvSpPr>
          <xdr:cNvPr id="104" name="Oval 136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137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138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25</xdr:row>
      <xdr:rowOff>104775</xdr:rowOff>
    </xdr:from>
    <xdr:to>
      <xdr:col>15</xdr:col>
      <xdr:colOff>0</xdr:colOff>
      <xdr:row>25</xdr:row>
      <xdr:rowOff>104775</xdr:rowOff>
    </xdr:to>
    <xdr:sp macro="" textlink="">
      <xdr:nvSpPr>
        <xdr:cNvPr id="107" name="Line 13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 flipV="1">
          <a:off x="3686175" y="8401050"/>
          <a:ext cx="647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25</xdr:row>
      <xdr:rowOff>104775</xdr:rowOff>
    </xdr:from>
    <xdr:to>
      <xdr:col>12</xdr:col>
      <xdr:colOff>19050</xdr:colOff>
      <xdr:row>25</xdr:row>
      <xdr:rowOff>104775</xdr:rowOff>
    </xdr:to>
    <xdr:sp macro="" textlink="">
      <xdr:nvSpPr>
        <xdr:cNvPr id="108" name="Line 14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>
          <a:off x="2438400" y="8401050"/>
          <a:ext cx="971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109" name="Text Box 14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13</xdr:col>
      <xdr:colOff>228600</xdr:colOff>
      <xdr:row>17</xdr:row>
      <xdr:rowOff>1190625</xdr:rowOff>
    </xdr:from>
    <xdr:ext cx="361244" cy="150041"/>
    <xdr:sp macro="" textlink="">
      <xdr:nvSpPr>
        <xdr:cNvPr id="110" name="Text Box 14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4371975" y="63817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219075</xdr:colOff>
      <xdr:row>17</xdr:row>
      <xdr:rowOff>161925</xdr:rowOff>
    </xdr:from>
    <xdr:ext cx="361244" cy="150041"/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4362450" y="53530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142875</xdr:colOff>
      <xdr:row>17</xdr:row>
      <xdr:rowOff>1266825</xdr:rowOff>
    </xdr:from>
    <xdr:ext cx="361244" cy="150041"/>
    <xdr:sp macro="" textlink="">
      <xdr:nvSpPr>
        <xdr:cNvPr id="116" name="Text Box 14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085975" y="64579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4</xdr:col>
      <xdr:colOff>57150</xdr:colOff>
      <xdr:row>17</xdr:row>
      <xdr:rowOff>1152525</xdr:rowOff>
    </xdr:from>
    <xdr:ext cx="361244" cy="150041"/>
    <xdr:sp macro="" textlink="">
      <xdr:nvSpPr>
        <xdr:cNvPr id="117" name="Text Box 14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1371600" y="63436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14</xdr:col>
      <xdr:colOff>114301</xdr:colOff>
      <xdr:row>17</xdr:row>
      <xdr:rowOff>400050</xdr:rowOff>
    </xdr:from>
    <xdr:to>
      <xdr:col>14</xdr:col>
      <xdr:colOff>171451</xdr:colOff>
      <xdr:row>17</xdr:row>
      <xdr:rowOff>1133475</xdr:rowOff>
    </xdr:to>
    <xdr:grpSp>
      <xdr:nvGrpSpPr>
        <xdr:cNvPr id="58" name="Group 8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>
          <a:grpSpLocks/>
        </xdr:cNvGrpSpPr>
      </xdr:nvGrpSpPr>
      <xdr:grpSpPr bwMode="auto">
        <a:xfrm rot="5400000">
          <a:off x="4233863" y="5929313"/>
          <a:ext cx="733425" cy="57150"/>
          <a:chOff x="123" y="549"/>
          <a:chExt cx="77" cy="6"/>
        </a:xfrm>
      </xdr:grpSpPr>
      <xdr:sp macro="" textlink="">
        <xdr:nvSpPr>
          <xdr:cNvPr id="59" name="Line 86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Freeform 87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" name="Freeform 88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276225</xdr:colOff>
      <xdr:row>17</xdr:row>
      <xdr:rowOff>495300</xdr:rowOff>
    </xdr:from>
    <xdr:to>
      <xdr:col>13</xdr:col>
      <xdr:colOff>228600</xdr:colOff>
      <xdr:row>17</xdr:row>
      <xdr:rowOff>647700</xdr:rowOff>
    </xdr:to>
    <xdr:grpSp>
      <xdr:nvGrpSpPr>
        <xdr:cNvPr id="140" name="Group 16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>
          <a:grpSpLocks/>
        </xdr:cNvGrpSpPr>
      </xdr:nvGrpSpPr>
      <xdr:grpSpPr bwMode="auto">
        <a:xfrm>
          <a:off x="4105275" y="5686425"/>
          <a:ext cx="266700" cy="152400"/>
          <a:chOff x="248" y="601"/>
          <a:chExt cx="28" cy="16"/>
        </a:xfrm>
      </xdr:grpSpPr>
      <xdr:sp macro="" textlink="">
        <xdr:nvSpPr>
          <xdr:cNvPr id="141" name="Line 163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Freeform 164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3" name="Line 165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Freeform 166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17</xdr:row>
      <xdr:rowOff>647700</xdr:rowOff>
    </xdr:from>
    <xdr:to>
      <xdr:col>12</xdr:col>
      <xdr:colOff>285750</xdr:colOff>
      <xdr:row>17</xdr:row>
      <xdr:rowOff>904875</xdr:rowOff>
    </xdr:to>
    <xdr:grpSp>
      <xdr:nvGrpSpPr>
        <xdr:cNvPr id="145" name="Group 167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>
          <a:grpSpLocks/>
        </xdr:cNvGrpSpPr>
      </xdr:nvGrpSpPr>
      <xdr:grpSpPr bwMode="auto">
        <a:xfrm flipH="1">
          <a:off x="3952875" y="5838825"/>
          <a:ext cx="161925" cy="257175"/>
          <a:chOff x="471" y="616"/>
          <a:chExt cx="17" cy="27"/>
        </a:xfrm>
      </xdr:grpSpPr>
      <xdr:sp macro="" textlink="">
        <xdr:nvSpPr>
          <xdr:cNvPr id="146" name="Freeform 168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>
            <a:spLocks/>
          </xdr:cNvSpPr>
        </xdr:nvSpPr>
        <xdr:spPr bwMode="auto">
          <a:xfrm rot="16174775">
            <a:off x="471" y="620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7" name="Line 169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Freeform 170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>
            <a:spLocks/>
          </xdr:cNvSpPr>
        </xdr:nvSpPr>
        <xdr:spPr bwMode="auto">
          <a:xfrm rot="16174775">
            <a:off x="481" y="617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9" name="Line 171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304800</xdr:colOff>
      <xdr:row>23</xdr:row>
      <xdr:rowOff>114300</xdr:rowOff>
    </xdr:from>
    <xdr:to>
      <xdr:col>8</xdr:col>
      <xdr:colOff>171450</xdr:colOff>
      <xdr:row>23</xdr:row>
      <xdr:rowOff>114300</xdr:rowOff>
    </xdr:to>
    <xdr:sp macro="" textlink="">
      <xdr:nvSpPr>
        <xdr:cNvPr id="154" name="Line 182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ShapeType="1"/>
        </xdr:cNvSpPr>
      </xdr:nvSpPr>
      <xdr:spPr bwMode="auto">
        <a:xfrm>
          <a:off x="2124075" y="7953375"/>
          <a:ext cx="1809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23</xdr:row>
      <xdr:rowOff>114300</xdr:rowOff>
    </xdr:from>
    <xdr:to>
      <xdr:col>10</xdr:col>
      <xdr:colOff>0</xdr:colOff>
      <xdr:row>23</xdr:row>
      <xdr:rowOff>114300</xdr:rowOff>
    </xdr:to>
    <xdr:sp macro="" textlink="">
      <xdr:nvSpPr>
        <xdr:cNvPr id="155" name="Line 18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ShapeType="1"/>
        </xdr:cNvSpPr>
      </xdr:nvSpPr>
      <xdr:spPr bwMode="auto">
        <a:xfrm>
          <a:off x="2590800" y="7953375"/>
          <a:ext cx="171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76200</xdr:colOff>
      <xdr:row>17</xdr:row>
      <xdr:rowOff>504825</xdr:rowOff>
    </xdr:from>
    <xdr:ext cx="188119" cy="150041"/>
    <xdr:sp macro="" textlink="">
      <xdr:nvSpPr>
        <xdr:cNvPr id="156" name="Text Box 18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3590925" y="5695950"/>
          <a:ext cx="188119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1A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9</xdr:col>
      <xdr:colOff>66675</xdr:colOff>
      <xdr:row>17</xdr:row>
      <xdr:rowOff>523875</xdr:rowOff>
    </xdr:from>
    <xdr:ext cx="188119" cy="150041"/>
    <xdr:sp macro="" textlink="">
      <xdr:nvSpPr>
        <xdr:cNvPr id="157" name="Text Box 185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2952750" y="5715000"/>
          <a:ext cx="188119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2A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9</xdr:col>
      <xdr:colOff>171450</xdr:colOff>
      <xdr:row>17</xdr:row>
      <xdr:rowOff>1019175</xdr:rowOff>
    </xdr:from>
    <xdr:ext cx="188119" cy="150041"/>
    <xdr:sp macro="" textlink="">
      <xdr:nvSpPr>
        <xdr:cNvPr id="158" name="Text Box 18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3057525" y="6210300"/>
          <a:ext cx="188119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3A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8</xdr:col>
      <xdr:colOff>257178</xdr:colOff>
      <xdr:row>9</xdr:row>
      <xdr:rowOff>466726</xdr:rowOff>
    </xdr:from>
    <xdr:to>
      <xdr:col>16</xdr:col>
      <xdr:colOff>171450</xdr:colOff>
      <xdr:row>9</xdr:row>
      <xdr:rowOff>485775</xdr:rowOff>
    </xdr:to>
    <xdr:cxnSp macro="">
      <xdr:nvCxnSpPr>
        <xdr:cNvPr id="166" name="直線矢印コネクタ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 flipV="1">
          <a:off x="2828928" y="2181226"/>
          <a:ext cx="2428872" cy="19049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28575</xdr:colOff>
      <xdr:row>9</xdr:row>
      <xdr:rowOff>542924</xdr:rowOff>
    </xdr:from>
    <xdr:ext cx="436521" cy="250453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4486275" y="2257424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48.6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10</xdr:col>
      <xdr:colOff>238125</xdr:colOff>
      <xdr:row>8</xdr:row>
      <xdr:rowOff>161924</xdr:rowOff>
    </xdr:from>
    <xdr:to>
      <xdr:col>14</xdr:col>
      <xdr:colOff>38100</xdr:colOff>
      <xdr:row>9</xdr:row>
      <xdr:rowOff>1733550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/>
      </xdr:nvCxnSpPr>
      <xdr:spPr>
        <a:xfrm>
          <a:off x="3438525" y="1647824"/>
          <a:ext cx="1057275" cy="1800226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161925</xdr:colOff>
      <xdr:row>9</xdr:row>
      <xdr:rowOff>1181099</xdr:rowOff>
    </xdr:from>
    <xdr:ext cx="436521" cy="250453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3676650" y="2895599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40.7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4</xdr:col>
      <xdr:colOff>28575</xdr:colOff>
      <xdr:row>9</xdr:row>
      <xdr:rowOff>400049</xdr:rowOff>
    </xdr:from>
    <xdr:to>
      <xdr:col>5</xdr:col>
      <xdr:colOff>1502</xdr:colOff>
      <xdr:row>9</xdr:row>
      <xdr:rowOff>688049</xdr:rowOff>
    </xdr:to>
    <xdr:pic>
      <xdr:nvPicPr>
        <xdr:cNvPr id="170" name="図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025" y="21145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285750</xdr:colOff>
      <xdr:row>9</xdr:row>
      <xdr:rowOff>819149</xdr:rowOff>
    </xdr:from>
    <xdr:to>
      <xdr:col>21</xdr:col>
      <xdr:colOff>258677</xdr:colOff>
      <xdr:row>9</xdr:row>
      <xdr:rowOff>1107149</xdr:rowOff>
    </xdr:to>
    <xdr:pic>
      <xdr:nvPicPr>
        <xdr:cNvPr id="171" name="図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25336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6</xdr:row>
      <xdr:rowOff>171449</xdr:rowOff>
    </xdr:from>
    <xdr:to>
      <xdr:col>11</xdr:col>
      <xdr:colOff>306302</xdr:colOff>
      <xdr:row>8</xdr:row>
      <xdr:rowOff>2249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3775" y="12001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12</xdr:row>
      <xdr:rowOff>228599</xdr:rowOff>
    </xdr:from>
    <xdr:to>
      <xdr:col>15</xdr:col>
      <xdr:colOff>11027</xdr:colOff>
      <xdr:row>14</xdr:row>
      <xdr:rowOff>59399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0" y="4276724"/>
          <a:ext cx="287252" cy="288000"/>
        </a:xfrm>
        <a:prstGeom prst="rect">
          <a:avLst/>
        </a:prstGeom>
      </xdr:spPr>
    </xdr:pic>
    <xdr:clientData/>
  </xdr:twoCellAnchor>
  <xdr:twoCellAnchor>
    <xdr:from>
      <xdr:col>5</xdr:col>
      <xdr:colOff>58738</xdr:colOff>
      <xdr:row>17</xdr:row>
      <xdr:rowOff>427037</xdr:rowOff>
    </xdr:from>
    <xdr:to>
      <xdr:col>8</xdr:col>
      <xdr:colOff>125413</xdr:colOff>
      <xdr:row>17</xdr:row>
      <xdr:rowOff>1230312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 rot="5400000">
          <a:off x="1790700" y="5514975"/>
          <a:ext cx="803275" cy="1009650"/>
          <a:chOff x="1790700" y="5514975"/>
          <a:chExt cx="803275" cy="1009650"/>
        </a:xfrm>
      </xdr:grpSpPr>
      <xdr:grpSp>
        <xdr:nvGrpSpPr>
          <xdr:cNvPr id="174" name="Group 25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1432877" y="5872798"/>
            <a:ext cx="1000125" cy="284480"/>
            <a:chOff x="110" y="567"/>
            <a:chExt cx="105" cy="32"/>
          </a:xfrm>
        </xdr:grpSpPr>
        <xdr:sp macro="" textlink="">
          <xdr:nvSpPr>
            <xdr:cNvPr id="175" name="Line 26">
              <a:extLst>
                <a:ext uri="{FF2B5EF4-FFF2-40B4-BE49-F238E27FC236}">
                  <a16:creationId xmlns:a16="http://schemas.microsoft.com/office/drawing/2014/main" id="{00000000-0008-0000-0000-0000A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6" name="Freeform 27">
              <a:extLst>
                <a:ext uri="{FF2B5EF4-FFF2-40B4-BE49-F238E27FC236}">
                  <a16:creationId xmlns:a16="http://schemas.microsoft.com/office/drawing/2014/main" id="{00000000-0008-0000-0000-0000B0000000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7" name="Freeform 28">
              <a:extLst>
                <a:ext uri="{FF2B5EF4-FFF2-40B4-BE49-F238E27FC236}">
                  <a16:creationId xmlns:a16="http://schemas.microsoft.com/office/drawing/2014/main" id="{00000000-0008-0000-0000-0000B1000000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8" name="Line 29">
              <a:extLst>
                <a:ext uri="{FF2B5EF4-FFF2-40B4-BE49-F238E27FC236}">
                  <a16:creationId xmlns:a16="http://schemas.microsoft.com/office/drawing/2014/main" id="{00000000-0008-0000-0000-0000B2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9" name="Freeform 30">
              <a:extLst>
                <a:ext uri="{FF2B5EF4-FFF2-40B4-BE49-F238E27FC236}">
                  <a16:creationId xmlns:a16="http://schemas.microsoft.com/office/drawing/2014/main" id="{00000000-0008-0000-0000-0000B3000000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0" name="Freeform 31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1" name="Line 32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2" name="Freeform 33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83" name="Group 34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/>
          </xdr:cNvGrpSpPr>
        </xdr:nvGrpSpPr>
        <xdr:grpSpPr bwMode="auto">
          <a:xfrm rot="5400000">
            <a:off x="2200592" y="5969318"/>
            <a:ext cx="733425" cy="53340"/>
            <a:chOff x="123" y="549"/>
            <a:chExt cx="77" cy="6"/>
          </a:xfrm>
        </xdr:grpSpPr>
        <xdr:sp macro="" textlink="">
          <xdr:nvSpPr>
            <xdr:cNvPr id="184" name="Line 35">
              <a:extLst>
                <a:ext uri="{FF2B5EF4-FFF2-40B4-BE49-F238E27FC236}">
                  <a16:creationId xmlns:a16="http://schemas.microsoft.com/office/drawing/2014/main" id="{00000000-0008-0000-0000-0000B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5" name="Freeform 36">
              <a:extLst>
                <a:ext uri="{FF2B5EF4-FFF2-40B4-BE49-F238E27FC236}">
                  <a16:creationId xmlns:a16="http://schemas.microsoft.com/office/drawing/2014/main" id="{00000000-0008-0000-0000-0000B9000000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6" name="Freeform 37">
              <a:extLst>
                <a:ext uri="{FF2B5EF4-FFF2-40B4-BE49-F238E27FC236}">
                  <a16:creationId xmlns:a16="http://schemas.microsoft.com/office/drawing/2014/main" id="{00000000-0008-0000-0000-0000BA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87" name="Group 38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/>
          </xdr:cNvGrpSpPr>
        </xdr:nvGrpSpPr>
        <xdr:grpSpPr bwMode="auto">
          <a:xfrm rot="5400000">
            <a:off x="1752917" y="5882323"/>
            <a:ext cx="1000125" cy="284480"/>
            <a:chOff x="110" y="567"/>
            <a:chExt cx="105" cy="32"/>
          </a:xfrm>
        </xdr:grpSpPr>
        <xdr:sp macro="" textlink="">
          <xdr:nvSpPr>
            <xdr:cNvPr id="188" name="Line 39">
              <a:extLst>
                <a:ext uri="{FF2B5EF4-FFF2-40B4-BE49-F238E27FC236}">
                  <a16:creationId xmlns:a16="http://schemas.microsoft.com/office/drawing/2014/main" id="{00000000-0008-0000-0000-0000B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9" name="Freeform 40">
              <a:extLst>
                <a:ext uri="{FF2B5EF4-FFF2-40B4-BE49-F238E27FC236}">
                  <a16:creationId xmlns:a16="http://schemas.microsoft.com/office/drawing/2014/main" id="{00000000-0008-0000-0000-0000BD000000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90" name="Freeform 41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91" name="Line 42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2" name="Freeform 43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93" name="Freeform 44">
              <a:extLst>
                <a:ext uri="{FF2B5EF4-FFF2-40B4-BE49-F238E27FC236}">
                  <a16:creationId xmlns:a16="http://schemas.microsoft.com/office/drawing/2014/main" id="{00000000-0008-0000-0000-0000C1000000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94" name="Line 45">
              <a:extLst>
                <a:ext uri="{FF2B5EF4-FFF2-40B4-BE49-F238E27FC236}">
                  <a16:creationId xmlns:a16="http://schemas.microsoft.com/office/drawing/2014/main" id="{00000000-0008-0000-0000-0000C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5" name="Freeform 46">
              <a:extLst>
                <a:ext uri="{FF2B5EF4-FFF2-40B4-BE49-F238E27FC236}">
                  <a16:creationId xmlns:a16="http://schemas.microsoft.com/office/drawing/2014/main" id="{00000000-0008-0000-0000-0000C3000000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16</xdr:col>
      <xdr:colOff>128588</xdr:colOff>
      <xdr:row>17</xdr:row>
      <xdr:rowOff>261937</xdr:rowOff>
    </xdr:from>
    <xdr:to>
      <xdr:col>19</xdr:col>
      <xdr:colOff>23813</xdr:colOff>
      <xdr:row>17</xdr:row>
      <xdr:rowOff>1262062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 rot="5400000">
          <a:off x="5133975" y="5534025"/>
          <a:ext cx="1000125" cy="838200"/>
          <a:chOff x="5038725" y="5534025"/>
          <a:chExt cx="1000125" cy="838200"/>
        </a:xfrm>
      </xdr:grpSpPr>
      <xdr:grpSp>
        <xdr:nvGrpSpPr>
          <xdr:cNvPr id="196" name="Group 110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GrpSpPr>
            <a:grpSpLocks/>
          </xdr:cNvGrpSpPr>
        </xdr:nvGrpSpPr>
        <xdr:grpSpPr bwMode="auto">
          <a:xfrm>
            <a:off x="5048250" y="5705475"/>
            <a:ext cx="990600" cy="304800"/>
            <a:chOff x="123" y="585"/>
            <a:chExt cx="105" cy="32"/>
          </a:xfrm>
        </xdr:grpSpPr>
        <xdr:sp macro="" textlink="">
          <xdr:nvSpPr>
            <xdr:cNvPr id="197" name="Line 111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3" y="601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8" name="Freeform 112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/>
            </xdr:cNvSpPr>
          </xdr:nvSpPr>
          <xdr:spPr bwMode="auto">
            <a:xfrm>
              <a:off x="221" y="598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grpSp>
          <xdr:nvGrpSpPr>
            <xdr:cNvPr id="199" name="Group 113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3" y="585"/>
              <a:ext cx="11" cy="16"/>
              <a:chOff x="130" y="585"/>
              <a:chExt cx="11" cy="16"/>
            </a:xfrm>
          </xdr:grpSpPr>
          <xdr:sp macro="" textlink="">
            <xdr:nvSpPr>
              <xdr:cNvPr id="204" name="Freeform 114">
                <a:extLst>
                  <a:ext uri="{FF2B5EF4-FFF2-40B4-BE49-F238E27FC236}">
                    <a16:creationId xmlns:a16="http://schemas.microsoft.com/office/drawing/2014/main" id="{00000000-0008-0000-0000-0000CC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30" y="593"/>
                <a:ext cx="7" cy="8"/>
              </a:xfrm>
              <a:custGeom>
                <a:avLst/>
                <a:gdLst>
                  <a:gd name="T0" fmla="*/ 0 w 203"/>
                  <a:gd name="T1" fmla="*/ 0 h 199"/>
                  <a:gd name="T2" fmla="*/ 0 w 203"/>
                  <a:gd name="T3" fmla="*/ 0 h 199"/>
                  <a:gd name="T4" fmla="*/ 0 w 203"/>
                  <a:gd name="T5" fmla="*/ 0 h 199"/>
                  <a:gd name="T6" fmla="*/ 0 w 203"/>
                  <a:gd name="T7" fmla="*/ 0 h 199"/>
                  <a:gd name="T8" fmla="*/ 0 w 203"/>
                  <a:gd name="T9" fmla="*/ 0 h 199"/>
                  <a:gd name="T10" fmla="*/ 0 w 203"/>
                  <a:gd name="T11" fmla="*/ 0 h 199"/>
                  <a:gd name="T12" fmla="*/ 0 w 203"/>
                  <a:gd name="T13" fmla="*/ 0 h 199"/>
                  <a:gd name="T14" fmla="*/ 0 w 203"/>
                  <a:gd name="T15" fmla="*/ 0 h 199"/>
                  <a:gd name="T16" fmla="*/ 0 w 203"/>
                  <a:gd name="T17" fmla="*/ 0 h 199"/>
                  <a:gd name="T18" fmla="*/ 0 w 203"/>
                  <a:gd name="T19" fmla="*/ 0 h 199"/>
                  <a:gd name="T20" fmla="*/ 0 w 203"/>
                  <a:gd name="T21" fmla="*/ 0 h 199"/>
                  <a:gd name="T22" fmla="*/ 0 w 203"/>
                  <a:gd name="T23" fmla="*/ 0 h 199"/>
                  <a:gd name="T24" fmla="*/ 0 w 203"/>
                  <a:gd name="T25" fmla="*/ 0 h 199"/>
                  <a:gd name="T26" fmla="*/ 0 w 203"/>
                  <a:gd name="T27" fmla="*/ 0 h 199"/>
                  <a:gd name="T28" fmla="*/ 0 w 203"/>
                  <a:gd name="T29" fmla="*/ 0 h 199"/>
                  <a:gd name="T30" fmla="*/ 0 w 203"/>
                  <a:gd name="T31" fmla="*/ 0 h 199"/>
                  <a:gd name="T32" fmla="*/ 0 w 203"/>
                  <a:gd name="T33" fmla="*/ 0 h 199"/>
                  <a:gd name="T34" fmla="*/ 0 w 203"/>
                  <a:gd name="T35" fmla="*/ 0 h 199"/>
                  <a:gd name="T36" fmla="*/ 0 w 203"/>
                  <a:gd name="T37" fmla="*/ 0 h 199"/>
                  <a:gd name="T38" fmla="*/ 0 w 203"/>
                  <a:gd name="T39" fmla="*/ 0 h 199"/>
                  <a:gd name="T40" fmla="*/ 0 w 203"/>
                  <a:gd name="T41" fmla="*/ 0 h 199"/>
                  <a:gd name="T42" fmla="*/ 0 w 203"/>
                  <a:gd name="T43" fmla="*/ 0 h 199"/>
                  <a:gd name="T44" fmla="*/ 0 w 203"/>
                  <a:gd name="T45" fmla="*/ 0 h 199"/>
                  <a:gd name="T46" fmla="*/ 0 w 203"/>
                  <a:gd name="T47" fmla="*/ 0 h 199"/>
                  <a:gd name="T48" fmla="*/ 0 w 203"/>
                  <a:gd name="T49" fmla="*/ 0 h 199"/>
                  <a:gd name="T50" fmla="*/ 0 w 203"/>
                  <a:gd name="T51" fmla="*/ 0 h 199"/>
                  <a:gd name="T52" fmla="*/ 0 w 203"/>
                  <a:gd name="T53" fmla="*/ 0 h 199"/>
                  <a:gd name="T54" fmla="*/ 0 w 203"/>
                  <a:gd name="T55" fmla="*/ 0 h 199"/>
                  <a:gd name="T56" fmla="*/ 0 w 203"/>
                  <a:gd name="T57" fmla="*/ 0 h 199"/>
                  <a:gd name="T58" fmla="*/ 0 w 203"/>
                  <a:gd name="T59" fmla="*/ 0 h 199"/>
                  <a:gd name="T60" fmla="*/ 0 w 203"/>
                  <a:gd name="T61" fmla="*/ 0 h 199"/>
                  <a:gd name="T62" fmla="*/ 0 w 203"/>
                  <a:gd name="T63" fmla="*/ 0 h 199"/>
                  <a:gd name="T64" fmla="*/ 0 w 203"/>
                  <a:gd name="T65" fmla="*/ 0 h 199"/>
                  <a:gd name="T66" fmla="*/ 0 w 203"/>
                  <a:gd name="T67" fmla="*/ 0 h 199"/>
                  <a:gd name="T68" fmla="*/ 0 w 203"/>
                  <a:gd name="T69" fmla="*/ 0 h 199"/>
                  <a:gd name="T70" fmla="*/ 0 w 203"/>
                  <a:gd name="T71" fmla="*/ 0 h 199"/>
                  <a:gd name="T72" fmla="*/ 0 w 203"/>
                  <a:gd name="T73" fmla="*/ 0 h 199"/>
                  <a:gd name="T74" fmla="*/ 0 w 203"/>
                  <a:gd name="T75" fmla="*/ 0 h 199"/>
                  <a:gd name="T76" fmla="*/ 0 w 203"/>
                  <a:gd name="T77" fmla="*/ 0 h 199"/>
                  <a:gd name="T78" fmla="*/ 0 w 203"/>
                  <a:gd name="T79" fmla="*/ 0 h 199"/>
                  <a:gd name="T80" fmla="*/ 0 w 203"/>
                  <a:gd name="T81" fmla="*/ 0 h 199"/>
                  <a:gd name="T82" fmla="*/ 0 w 203"/>
                  <a:gd name="T83" fmla="*/ 0 h 199"/>
                  <a:gd name="T84" fmla="*/ 0 w 203"/>
                  <a:gd name="T85" fmla="*/ 0 h 199"/>
                  <a:gd name="T86" fmla="*/ 0 w 203"/>
                  <a:gd name="T87" fmla="*/ 0 h 199"/>
                  <a:gd name="T88" fmla="*/ 0 w 203"/>
                  <a:gd name="T89" fmla="*/ 0 h 199"/>
                  <a:gd name="T90" fmla="*/ 0 w 203"/>
                  <a:gd name="T91" fmla="*/ 0 h 199"/>
                  <a:gd name="T92" fmla="*/ 0 w 203"/>
                  <a:gd name="T93" fmla="*/ 0 h 199"/>
                  <a:gd name="T94" fmla="*/ 0 w 203"/>
                  <a:gd name="T95" fmla="*/ 0 h 199"/>
                  <a:gd name="T96" fmla="*/ 0 w 203"/>
                  <a:gd name="T97" fmla="*/ 0 h 199"/>
                  <a:gd name="T98" fmla="*/ 0 w 203"/>
                  <a:gd name="T99" fmla="*/ 0 h 199"/>
                  <a:gd name="T100" fmla="*/ 0 w 203"/>
                  <a:gd name="T101" fmla="*/ 0 h 199"/>
                  <a:gd name="T102" fmla="*/ 0 w 203"/>
                  <a:gd name="T103" fmla="*/ 0 h 199"/>
                  <a:gd name="T104" fmla="*/ 0 w 203"/>
                  <a:gd name="T105" fmla="*/ 0 h 199"/>
                  <a:gd name="T106" fmla="*/ 0 w 203"/>
                  <a:gd name="T107" fmla="*/ 0 h 199"/>
                  <a:gd name="T108" fmla="*/ 0 w 203"/>
                  <a:gd name="T109" fmla="*/ 0 h 199"/>
                  <a:gd name="T110" fmla="*/ 0 w 203"/>
                  <a:gd name="T111" fmla="*/ 0 h 199"/>
                  <a:gd name="T112" fmla="*/ 0 w 203"/>
                  <a:gd name="T113" fmla="*/ 0 h 199"/>
                  <a:gd name="T114" fmla="*/ 0 w 203"/>
                  <a:gd name="T115" fmla="*/ 0 h 199"/>
                  <a:gd name="T116" fmla="*/ 0 w 203"/>
                  <a:gd name="T117" fmla="*/ 0 h 199"/>
                  <a:gd name="T118" fmla="*/ 0 w 203"/>
                  <a:gd name="T119" fmla="*/ 0 h 199"/>
                  <a:gd name="T120" fmla="*/ 0 w 203"/>
                  <a:gd name="T121" fmla="*/ 0 h 199"/>
                  <a:gd name="T122" fmla="*/ 0 w 203"/>
                  <a:gd name="T123" fmla="*/ 0 h 199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60000 65536"/>
                  <a:gd name="T172" fmla="*/ 0 60000 65536"/>
                  <a:gd name="T173" fmla="*/ 0 60000 65536"/>
                  <a:gd name="T174" fmla="*/ 0 60000 65536"/>
                  <a:gd name="T175" fmla="*/ 0 60000 65536"/>
                  <a:gd name="T176" fmla="*/ 0 60000 65536"/>
                  <a:gd name="T177" fmla="*/ 0 60000 65536"/>
                  <a:gd name="T178" fmla="*/ 0 60000 65536"/>
                  <a:gd name="T179" fmla="*/ 0 60000 65536"/>
                  <a:gd name="T180" fmla="*/ 0 60000 65536"/>
                  <a:gd name="T181" fmla="*/ 0 60000 65536"/>
                  <a:gd name="T182" fmla="*/ 0 60000 65536"/>
                  <a:gd name="T183" fmla="*/ 0 60000 65536"/>
                  <a:gd name="T184" fmla="*/ 0 60000 65536"/>
                  <a:gd name="T185" fmla="*/ 0 60000 65536"/>
                </a:gdLst>
                <a:ahLst/>
                <a:cxnLst>
                  <a:cxn ang="T124">
                    <a:pos x="T0" y="T1"/>
                  </a:cxn>
                  <a:cxn ang="T125">
                    <a:pos x="T2" y="T3"/>
                  </a:cxn>
                  <a:cxn ang="T126">
                    <a:pos x="T4" y="T5"/>
                  </a:cxn>
                  <a:cxn ang="T127">
                    <a:pos x="T6" y="T7"/>
                  </a:cxn>
                  <a:cxn ang="T128">
                    <a:pos x="T8" y="T9"/>
                  </a:cxn>
                  <a:cxn ang="T129">
                    <a:pos x="T10" y="T11"/>
                  </a:cxn>
                  <a:cxn ang="T130">
                    <a:pos x="T12" y="T13"/>
                  </a:cxn>
                  <a:cxn ang="T131">
                    <a:pos x="T14" y="T15"/>
                  </a:cxn>
                  <a:cxn ang="T132">
                    <a:pos x="T16" y="T17"/>
                  </a:cxn>
                  <a:cxn ang="T133">
                    <a:pos x="T18" y="T19"/>
                  </a:cxn>
                  <a:cxn ang="T134">
                    <a:pos x="T20" y="T21"/>
                  </a:cxn>
                  <a:cxn ang="T135">
                    <a:pos x="T22" y="T23"/>
                  </a:cxn>
                  <a:cxn ang="T136">
                    <a:pos x="T24" y="T25"/>
                  </a:cxn>
                  <a:cxn ang="T137">
                    <a:pos x="T26" y="T27"/>
                  </a:cxn>
                  <a:cxn ang="T138">
                    <a:pos x="T28" y="T29"/>
                  </a:cxn>
                  <a:cxn ang="T139">
                    <a:pos x="T30" y="T31"/>
                  </a:cxn>
                  <a:cxn ang="T140">
                    <a:pos x="T32" y="T33"/>
                  </a:cxn>
                  <a:cxn ang="T141">
                    <a:pos x="T34" y="T35"/>
                  </a:cxn>
                  <a:cxn ang="T142">
                    <a:pos x="T36" y="T37"/>
                  </a:cxn>
                  <a:cxn ang="T143">
                    <a:pos x="T38" y="T39"/>
                  </a:cxn>
                  <a:cxn ang="T144">
                    <a:pos x="T40" y="T41"/>
                  </a:cxn>
                  <a:cxn ang="T145">
                    <a:pos x="T42" y="T43"/>
                  </a:cxn>
                  <a:cxn ang="T146">
                    <a:pos x="T44" y="T45"/>
                  </a:cxn>
                  <a:cxn ang="T147">
                    <a:pos x="T46" y="T47"/>
                  </a:cxn>
                  <a:cxn ang="T148">
                    <a:pos x="T48" y="T49"/>
                  </a:cxn>
                  <a:cxn ang="T149">
                    <a:pos x="T50" y="T51"/>
                  </a:cxn>
                  <a:cxn ang="T150">
                    <a:pos x="T52" y="T53"/>
                  </a:cxn>
                  <a:cxn ang="T151">
                    <a:pos x="T54" y="T55"/>
                  </a:cxn>
                  <a:cxn ang="T152">
                    <a:pos x="T56" y="T57"/>
                  </a:cxn>
                  <a:cxn ang="T153">
                    <a:pos x="T58" y="T59"/>
                  </a:cxn>
                  <a:cxn ang="T154">
                    <a:pos x="T60" y="T61"/>
                  </a:cxn>
                  <a:cxn ang="T155">
                    <a:pos x="T62" y="T63"/>
                  </a:cxn>
                  <a:cxn ang="T156">
                    <a:pos x="T64" y="T65"/>
                  </a:cxn>
                  <a:cxn ang="T157">
                    <a:pos x="T66" y="T67"/>
                  </a:cxn>
                  <a:cxn ang="T158">
                    <a:pos x="T68" y="T69"/>
                  </a:cxn>
                  <a:cxn ang="T159">
                    <a:pos x="T70" y="T71"/>
                  </a:cxn>
                  <a:cxn ang="T160">
                    <a:pos x="T72" y="T73"/>
                  </a:cxn>
                  <a:cxn ang="T161">
                    <a:pos x="T74" y="T75"/>
                  </a:cxn>
                  <a:cxn ang="T162">
                    <a:pos x="T76" y="T77"/>
                  </a:cxn>
                  <a:cxn ang="T163">
                    <a:pos x="T78" y="T79"/>
                  </a:cxn>
                  <a:cxn ang="T164">
                    <a:pos x="T80" y="T81"/>
                  </a:cxn>
                  <a:cxn ang="T165">
                    <a:pos x="T82" y="T83"/>
                  </a:cxn>
                  <a:cxn ang="T166">
                    <a:pos x="T84" y="T85"/>
                  </a:cxn>
                  <a:cxn ang="T167">
                    <a:pos x="T86" y="T87"/>
                  </a:cxn>
                  <a:cxn ang="T168">
                    <a:pos x="T88" y="T89"/>
                  </a:cxn>
                  <a:cxn ang="T169">
                    <a:pos x="T90" y="T91"/>
                  </a:cxn>
                  <a:cxn ang="T170">
                    <a:pos x="T92" y="T93"/>
                  </a:cxn>
                  <a:cxn ang="T171">
                    <a:pos x="T94" y="T95"/>
                  </a:cxn>
                  <a:cxn ang="T172">
                    <a:pos x="T96" y="T97"/>
                  </a:cxn>
                  <a:cxn ang="T173">
                    <a:pos x="T98" y="T99"/>
                  </a:cxn>
                  <a:cxn ang="T174">
                    <a:pos x="T100" y="T101"/>
                  </a:cxn>
                  <a:cxn ang="T175">
                    <a:pos x="T102" y="T103"/>
                  </a:cxn>
                  <a:cxn ang="T176">
                    <a:pos x="T104" y="T105"/>
                  </a:cxn>
                  <a:cxn ang="T177">
                    <a:pos x="T106" y="T107"/>
                  </a:cxn>
                  <a:cxn ang="T178">
                    <a:pos x="T108" y="T109"/>
                  </a:cxn>
                  <a:cxn ang="T179">
                    <a:pos x="T110" y="T111"/>
                  </a:cxn>
                  <a:cxn ang="T180">
                    <a:pos x="T112" y="T113"/>
                  </a:cxn>
                  <a:cxn ang="T181">
                    <a:pos x="T114" y="T115"/>
                  </a:cxn>
                  <a:cxn ang="T182">
                    <a:pos x="T116" y="T117"/>
                  </a:cxn>
                  <a:cxn ang="T183">
                    <a:pos x="T118" y="T119"/>
                  </a:cxn>
                  <a:cxn ang="T184">
                    <a:pos x="T120" y="T121"/>
                  </a:cxn>
                  <a:cxn ang="T185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05" name="Line 115">
                <a:extLst>
                  <a:ext uri="{FF2B5EF4-FFF2-40B4-BE49-F238E27FC236}">
                    <a16:creationId xmlns:a16="http://schemas.microsoft.com/office/drawing/2014/main" id="{00000000-0008-0000-0000-0000C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7" y="585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06" name="Freeform 116">
                <a:extLst>
                  <a:ext uri="{FF2B5EF4-FFF2-40B4-BE49-F238E27FC236}">
                    <a16:creationId xmlns:a16="http://schemas.microsoft.com/office/drawing/2014/main" id="{00000000-0008-0000-0000-0000CE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33" y="585"/>
                <a:ext cx="8" cy="7"/>
              </a:xfrm>
              <a:custGeom>
                <a:avLst/>
                <a:gdLst>
                  <a:gd name="T0" fmla="*/ 0 w 207"/>
                  <a:gd name="T1" fmla="*/ 0 h 176"/>
                  <a:gd name="T2" fmla="*/ 0 w 207"/>
                  <a:gd name="T3" fmla="*/ 0 h 176"/>
                  <a:gd name="T4" fmla="*/ 0 w 207"/>
                  <a:gd name="T5" fmla="*/ 0 h 176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00" name="Group 117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8" y="601"/>
              <a:ext cx="12" cy="16"/>
              <a:chOff x="141" y="601"/>
              <a:chExt cx="12" cy="16"/>
            </a:xfrm>
          </xdr:grpSpPr>
          <xdr:sp macro="" textlink="">
            <xdr:nvSpPr>
              <xdr:cNvPr id="201" name="Freeform 118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1" y="601"/>
                <a:ext cx="8" cy="7"/>
              </a:xfrm>
              <a:custGeom>
                <a:avLst/>
                <a:gdLst>
                  <a:gd name="T0" fmla="*/ 0 w 201"/>
                  <a:gd name="T1" fmla="*/ 0 h 202"/>
                  <a:gd name="T2" fmla="*/ 0 w 201"/>
                  <a:gd name="T3" fmla="*/ 0 h 202"/>
                  <a:gd name="T4" fmla="*/ 0 w 201"/>
                  <a:gd name="T5" fmla="*/ 0 h 202"/>
                  <a:gd name="T6" fmla="*/ 0 w 201"/>
                  <a:gd name="T7" fmla="*/ 0 h 202"/>
                  <a:gd name="T8" fmla="*/ 0 w 201"/>
                  <a:gd name="T9" fmla="*/ 0 h 202"/>
                  <a:gd name="T10" fmla="*/ 0 w 201"/>
                  <a:gd name="T11" fmla="*/ 0 h 202"/>
                  <a:gd name="T12" fmla="*/ 0 w 201"/>
                  <a:gd name="T13" fmla="*/ 0 h 202"/>
                  <a:gd name="T14" fmla="*/ 0 w 201"/>
                  <a:gd name="T15" fmla="*/ 0 h 202"/>
                  <a:gd name="T16" fmla="*/ 0 w 201"/>
                  <a:gd name="T17" fmla="*/ 0 h 202"/>
                  <a:gd name="T18" fmla="*/ 0 w 201"/>
                  <a:gd name="T19" fmla="*/ 0 h 202"/>
                  <a:gd name="T20" fmla="*/ 0 w 201"/>
                  <a:gd name="T21" fmla="*/ 0 h 202"/>
                  <a:gd name="T22" fmla="*/ 0 w 201"/>
                  <a:gd name="T23" fmla="*/ 0 h 202"/>
                  <a:gd name="T24" fmla="*/ 0 w 201"/>
                  <a:gd name="T25" fmla="*/ 0 h 202"/>
                  <a:gd name="T26" fmla="*/ 0 w 201"/>
                  <a:gd name="T27" fmla="*/ 0 h 202"/>
                  <a:gd name="T28" fmla="*/ 0 w 201"/>
                  <a:gd name="T29" fmla="*/ 0 h 202"/>
                  <a:gd name="T30" fmla="*/ 0 w 201"/>
                  <a:gd name="T31" fmla="*/ 0 h 202"/>
                  <a:gd name="T32" fmla="*/ 0 w 201"/>
                  <a:gd name="T33" fmla="*/ 0 h 202"/>
                  <a:gd name="T34" fmla="*/ 0 w 201"/>
                  <a:gd name="T35" fmla="*/ 0 h 202"/>
                  <a:gd name="T36" fmla="*/ 0 w 201"/>
                  <a:gd name="T37" fmla="*/ 0 h 202"/>
                  <a:gd name="T38" fmla="*/ 0 w 201"/>
                  <a:gd name="T39" fmla="*/ 0 h 202"/>
                  <a:gd name="T40" fmla="*/ 0 w 201"/>
                  <a:gd name="T41" fmla="*/ 0 h 202"/>
                  <a:gd name="T42" fmla="*/ 0 w 201"/>
                  <a:gd name="T43" fmla="*/ 0 h 202"/>
                  <a:gd name="T44" fmla="*/ 0 w 201"/>
                  <a:gd name="T45" fmla="*/ 0 h 202"/>
                  <a:gd name="T46" fmla="*/ 0 w 201"/>
                  <a:gd name="T47" fmla="*/ 0 h 202"/>
                  <a:gd name="T48" fmla="*/ 0 w 201"/>
                  <a:gd name="T49" fmla="*/ 0 h 202"/>
                  <a:gd name="T50" fmla="*/ 0 w 201"/>
                  <a:gd name="T51" fmla="*/ 0 h 202"/>
                  <a:gd name="T52" fmla="*/ 0 w 201"/>
                  <a:gd name="T53" fmla="*/ 0 h 202"/>
                  <a:gd name="T54" fmla="*/ 0 w 201"/>
                  <a:gd name="T55" fmla="*/ 0 h 202"/>
                  <a:gd name="T56" fmla="*/ 0 w 201"/>
                  <a:gd name="T57" fmla="*/ 0 h 202"/>
                  <a:gd name="T58" fmla="*/ 0 w 201"/>
                  <a:gd name="T59" fmla="*/ 0 h 202"/>
                  <a:gd name="T60" fmla="*/ 0 w 201"/>
                  <a:gd name="T61" fmla="*/ 0 h 202"/>
                  <a:gd name="T62" fmla="*/ 0 w 201"/>
                  <a:gd name="T63" fmla="*/ 0 h 202"/>
                  <a:gd name="T64" fmla="*/ 0 w 201"/>
                  <a:gd name="T65" fmla="*/ 0 h 202"/>
                  <a:gd name="T66" fmla="*/ 0 w 201"/>
                  <a:gd name="T67" fmla="*/ 0 h 202"/>
                  <a:gd name="T68" fmla="*/ 0 w 201"/>
                  <a:gd name="T69" fmla="*/ 0 h 202"/>
                  <a:gd name="T70" fmla="*/ 0 w 201"/>
                  <a:gd name="T71" fmla="*/ 0 h 202"/>
                  <a:gd name="T72" fmla="*/ 0 w 201"/>
                  <a:gd name="T73" fmla="*/ 0 h 202"/>
                  <a:gd name="T74" fmla="*/ 0 w 201"/>
                  <a:gd name="T75" fmla="*/ 0 h 202"/>
                  <a:gd name="T76" fmla="*/ 0 w 201"/>
                  <a:gd name="T77" fmla="*/ 0 h 202"/>
                  <a:gd name="T78" fmla="*/ 0 w 201"/>
                  <a:gd name="T79" fmla="*/ 0 h 202"/>
                  <a:gd name="T80" fmla="*/ 0 w 201"/>
                  <a:gd name="T81" fmla="*/ 0 h 202"/>
                  <a:gd name="T82" fmla="*/ 0 w 201"/>
                  <a:gd name="T83" fmla="*/ 0 h 202"/>
                  <a:gd name="T84" fmla="*/ 0 w 201"/>
                  <a:gd name="T85" fmla="*/ 0 h 202"/>
                  <a:gd name="T86" fmla="*/ 0 w 201"/>
                  <a:gd name="T87" fmla="*/ 0 h 202"/>
                  <a:gd name="T88" fmla="*/ 0 w 201"/>
                  <a:gd name="T89" fmla="*/ 0 h 202"/>
                  <a:gd name="T90" fmla="*/ 0 w 201"/>
                  <a:gd name="T91" fmla="*/ 0 h 202"/>
                  <a:gd name="T92" fmla="*/ 0 w 201"/>
                  <a:gd name="T93" fmla="*/ 0 h 202"/>
                  <a:gd name="T94" fmla="*/ 0 w 201"/>
                  <a:gd name="T95" fmla="*/ 0 h 202"/>
                  <a:gd name="T96" fmla="*/ 0 w 201"/>
                  <a:gd name="T97" fmla="*/ 0 h 202"/>
                  <a:gd name="T98" fmla="*/ 0 w 201"/>
                  <a:gd name="T99" fmla="*/ 0 h 202"/>
                  <a:gd name="T100" fmla="*/ 0 w 201"/>
                  <a:gd name="T101" fmla="*/ 0 h 202"/>
                  <a:gd name="T102" fmla="*/ 0 w 201"/>
                  <a:gd name="T103" fmla="*/ 0 h 202"/>
                  <a:gd name="T104" fmla="*/ 0 w 201"/>
                  <a:gd name="T105" fmla="*/ 0 h 202"/>
                  <a:gd name="T106" fmla="*/ 0 w 201"/>
                  <a:gd name="T107" fmla="*/ 0 h 202"/>
                  <a:gd name="T108" fmla="*/ 0 w 201"/>
                  <a:gd name="T109" fmla="*/ 0 h 202"/>
                  <a:gd name="T110" fmla="*/ 0 w 201"/>
                  <a:gd name="T111" fmla="*/ 0 h 202"/>
                  <a:gd name="T112" fmla="*/ 0 w 201"/>
                  <a:gd name="T113" fmla="*/ 0 h 202"/>
                  <a:gd name="T114" fmla="*/ 0 w 201"/>
                  <a:gd name="T115" fmla="*/ 0 h 202"/>
                  <a:gd name="T116" fmla="*/ 0 w 201"/>
                  <a:gd name="T117" fmla="*/ 0 h 202"/>
                  <a:gd name="T118" fmla="*/ 0 w 201"/>
                  <a:gd name="T119" fmla="*/ 0 h 202"/>
                  <a:gd name="T120" fmla="*/ 0 w 201"/>
                  <a:gd name="T121" fmla="*/ 0 h 202"/>
                  <a:gd name="T122" fmla="*/ 0 w 201"/>
                  <a:gd name="T123" fmla="*/ 0 h 202"/>
                  <a:gd name="T124" fmla="*/ 0 w 201"/>
                  <a:gd name="T125" fmla="*/ 0 h 202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60000 65536"/>
                  <a:gd name="T172" fmla="*/ 0 60000 65536"/>
                  <a:gd name="T173" fmla="*/ 0 60000 65536"/>
                  <a:gd name="T174" fmla="*/ 0 60000 65536"/>
                  <a:gd name="T175" fmla="*/ 0 60000 65536"/>
                  <a:gd name="T176" fmla="*/ 0 60000 65536"/>
                  <a:gd name="T177" fmla="*/ 0 60000 65536"/>
                  <a:gd name="T178" fmla="*/ 0 60000 65536"/>
                  <a:gd name="T179" fmla="*/ 0 60000 65536"/>
                  <a:gd name="T180" fmla="*/ 0 60000 65536"/>
                  <a:gd name="T181" fmla="*/ 0 60000 65536"/>
                  <a:gd name="T182" fmla="*/ 0 60000 65536"/>
                  <a:gd name="T183" fmla="*/ 0 60000 65536"/>
                  <a:gd name="T184" fmla="*/ 0 60000 65536"/>
                  <a:gd name="T185" fmla="*/ 0 60000 65536"/>
                  <a:gd name="T186" fmla="*/ 0 60000 65536"/>
                  <a:gd name="T187" fmla="*/ 0 60000 65536"/>
                  <a:gd name="T188" fmla="*/ 0 60000 65536"/>
                </a:gdLst>
                <a:ahLst/>
                <a:cxnLst>
                  <a:cxn ang="T126">
                    <a:pos x="T0" y="T1"/>
                  </a:cxn>
                  <a:cxn ang="T127">
                    <a:pos x="T2" y="T3"/>
                  </a:cxn>
                  <a:cxn ang="T128">
                    <a:pos x="T4" y="T5"/>
                  </a:cxn>
                  <a:cxn ang="T129">
                    <a:pos x="T6" y="T7"/>
                  </a:cxn>
                  <a:cxn ang="T130">
                    <a:pos x="T8" y="T9"/>
                  </a:cxn>
                  <a:cxn ang="T131">
                    <a:pos x="T10" y="T11"/>
                  </a:cxn>
                  <a:cxn ang="T132">
                    <a:pos x="T12" y="T13"/>
                  </a:cxn>
                  <a:cxn ang="T133">
                    <a:pos x="T14" y="T15"/>
                  </a:cxn>
                  <a:cxn ang="T134">
                    <a:pos x="T16" y="T17"/>
                  </a:cxn>
                  <a:cxn ang="T135">
                    <a:pos x="T18" y="T19"/>
                  </a:cxn>
                  <a:cxn ang="T136">
                    <a:pos x="T20" y="T21"/>
                  </a:cxn>
                  <a:cxn ang="T137">
                    <a:pos x="T22" y="T23"/>
                  </a:cxn>
                  <a:cxn ang="T138">
                    <a:pos x="T24" y="T25"/>
                  </a:cxn>
                  <a:cxn ang="T139">
                    <a:pos x="T26" y="T27"/>
                  </a:cxn>
                  <a:cxn ang="T140">
                    <a:pos x="T28" y="T29"/>
                  </a:cxn>
                  <a:cxn ang="T141">
                    <a:pos x="T30" y="T31"/>
                  </a:cxn>
                  <a:cxn ang="T142">
                    <a:pos x="T32" y="T33"/>
                  </a:cxn>
                  <a:cxn ang="T143">
                    <a:pos x="T34" y="T35"/>
                  </a:cxn>
                  <a:cxn ang="T144">
                    <a:pos x="T36" y="T37"/>
                  </a:cxn>
                  <a:cxn ang="T145">
                    <a:pos x="T38" y="T39"/>
                  </a:cxn>
                  <a:cxn ang="T146">
                    <a:pos x="T40" y="T41"/>
                  </a:cxn>
                  <a:cxn ang="T147">
                    <a:pos x="T42" y="T43"/>
                  </a:cxn>
                  <a:cxn ang="T148">
                    <a:pos x="T44" y="T45"/>
                  </a:cxn>
                  <a:cxn ang="T149">
                    <a:pos x="T46" y="T47"/>
                  </a:cxn>
                  <a:cxn ang="T150">
                    <a:pos x="T48" y="T49"/>
                  </a:cxn>
                  <a:cxn ang="T151">
                    <a:pos x="T50" y="T51"/>
                  </a:cxn>
                  <a:cxn ang="T152">
                    <a:pos x="T52" y="T53"/>
                  </a:cxn>
                  <a:cxn ang="T153">
                    <a:pos x="T54" y="T55"/>
                  </a:cxn>
                  <a:cxn ang="T154">
                    <a:pos x="T56" y="T57"/>
                  </a:cxn>
                  <a:cxn ang="T155">
                    <a:pos x="T58" y="T59"/>
                  </a:cxn>
                  <a:cxn ang="T156">
                    <a:pos x="T60" y="T61"/>
                  </a:cxn>
                  <a:cxn ang="T157">
                    <a:pos x="T62" y="T63"/>
                  </a:cxn>
                  <a:cxn ang="T158">
                    <a:pos x="T64" y="T65"/>
                  </a:cxn>
                  <a:cxn ang="T159">
                    <a:pos x="T66" y="T67"/>
                  </a:cxn>
                  <a:cxn ang="T160">
                    <a:pos x="T68" y="T69"/>
                  </a:cxn>
                  <a:cxn ang="T161">
                    <a:pos x="T70" y="T71"/>
                  </a:cxn>
                  <a:cxn ang="T162">
                    <a:pos x="T72" y="T73"/>
                  </a:cxn>
                  <a:cxn ang="T163">
                    <a:pos x="T74" y="T75"/>
                  </a:cxn>
                  <a:cxn ang="T164">
                    <a:pos x="T76" y="T77"/>
                  </a:cxn>
                  <a:cxn ang="T165">
                    <a:pos x="T78" y="T79"/>
                  </a:cxn>
                  <a:cxn ang="T166">
                    <a:pos x="T80" y="T81"/>
                  </a:cxn>
                  <a:cxn ang="T167">
                    <a:pos x="T82" y="T83"/>
                  </a:cxn>
                  <a:cxn ang="T168">
                    <a:pos x="T84" y="T85"/>
                  </a:cxn>
                  <a:cxn ang="T169">
                    <a:pos x="T86" y="T87"/>
                  </a:cxn>
                  <a:cxn ang="T170">
                    <a:pos x="T88" y="T89"/>
                  </a:cxn>
                  <a:cxn ang="T171">
                    <a:pos x="T90" y="T91"/>
                  </a:cxn>
                  <a:cxn ang="T172">
                    <a:pos x="T92" y="T93"/>
                  </a:cxn>
                  <a:cxn ang="T173">
                    <a:pos x="T94" y="T95"/>
                  </a:cxn>
                  <a:cxn ang="T174">
                    <a:pos x="T96" y="T97"/>
                  </a:cxn>
                  <a:cxn ang="T175">
                    <a:pos x="T98" y="T99"/>
                  </a:cxn>
                  <a:cxn ang="T176">
                    <a:pos x="T100" y="T101"/>
                  </a:cxn>
                  <a:cxn ang="T177">
                    <a:pos x="T102" y="T103"/>
                  </a:cxn>
                  <a:cxn ang="T178">
                    <a:pos x="T104" y="T105"/>
                  </a:cxn>
                  <a:cxn ang="T179">
                    <a:pos x="T106" y="T107"/>
                  </a:cxn>
                  <a:cxn ang="T180">
                    <a:pos x="T108" y="T109"/>
                  </a:cxn>
                  <a:cxn ang="T181">
                    <a:pos x="T110" y="T111"/>
                  </a:cxn>
                  <a:cxn ang="T182">
                    <a:pos x="T112" y="T113"/>
                  </a:cxn>
                  <a:cxn ang="T183">
                    <a:pos x="T114" y="T115"/>
                  </a:cxn>
                  <a:cxn ang="T184">
                    <a:pos x="T116" y="T117"/>
                  </a:cxn>
                  <a:cxn ang="T185">
                    <a:pos x="T118" y="T119"/>
                  </a:cxn>
                  <a:cxn ang="T186">
                    <a:pos x="T120" y="T121"/>
                  </a:cxn>
                  <a:cxn ang="T187">
                    <a:pos x="T122" y="T123"/>
                  </a:cxn>
                  <a:cxn ang="T188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02" name="Line 119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9" y="608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03" name="Freeform 120">
                <a:extLst>
                  <a:ext uri="{FF2B5EF4-FFF2-40B4-BE49-F238E27FC236}">
                    <a16:creationId xmlns:a16="http://schemas.microsoft.com/office/drawing/2014/main" id="{00000000-0008-0000-0000-0000CB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610"/>
                <a:ext cx="8" cy="7"/>
              </a:xfrm>
              <a:custGeom>
                <a:avLst/>
                <a:gdLst>
                  <a:gd name="T0" fmla="*/ 0 w 208"/>
                  <a:gd name="T1" fmla="*/ 0 h 177"/>
                  <a:gd name="T2" fmla="*/ 0 w 208"/>
                  <a:gd name="T3" fmla="*/ 0 h 177"/>
                  <a:gd name="T4" fmla="*/ 0 w 208"/>
                  <a:gd name="T5" fmla="*/ 0 h 177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grpSp>
        <xdr:nvGrpSpPr>
          <xdr:cNvPr id="207" name="Group 121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GrpSpPr>
            <a:grpSpLocks/>
          </xdr:cNvGrpSpPr>
        </xdr:nvGrpSpPr>
        <xdr:grpSpPr bwMode="auto">
          <a:xfrm>
            <a:off x="5162550" y="5534025"/>
            <a:ext cx="704850" cy="57150"/>
            <a:chOff x="123" y="549"/>
            <a:chExt cx="77" cy="6"/>
          </a:xfrm>
        </xdr:grpSpPr>
        <xdr:sp macro="" textlink="">
          <xdr:nvSpPr>
            <xdr:cNvPr id="208" name="Line 122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" name="Freeform 123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" name="Freeform 124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1" name="Group 125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GrpSpPr>
            <a:grpSpLocks/>
          </xdr:cNvGrpSpPr>
        </xdr:nvGrpSpPr>
        <xdr:grpSpPr bwMode="auto">
          <a:xfrm>
            <a:off x="5038725" y="6076950"/>
            <a:ext cx="990600" cy="295275"/>
            <a:chOff x="122" y="624"/>
            <a:chExt cx="105" cy="31"/>
          </a:xfrm>
        </xdr:grpSpPr>
        <xdr:sp macro="" textlink="">
          <xdr:nvSpPr>
            <xdr:cNvPr id="212" name="Line 126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123" y="63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3" name="Freeform 127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2" y="636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" name="Freeform 128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202" y="639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5" name="Line 129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202" y="64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6" name="Freeform 130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98" y="648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7" name="Freeform 131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86" y="632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8" name="Line 132">
              <a:extLst>
                <a:ext uri="{FF2B5EF4-FFF2-40B4-BE49-F238E27FC236}">
                  <a16:creationId xmlns:a16="http://schemas.microsoft.com/office/drawing/2014/main" id="{00000000-0008-0000-0000-0000DA00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186" y="62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9" name="Freeform 133">
              <a:extLst>
                <a:ext uri="{FF2B5EF4-FFF2-40B4-BE49-F238E27FC236}">
                  <a16:creationId xmlns:a16="http://schemas.microsoft.com/office/drawing/2014/main" id="{00000000-0008-0000-0000-0000DB000000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82" y="624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20</xdr:col>
      <xdr:colOff>257175</xdr:colOff>
      <xdr:row>17</xdr:row>
      <xdr:rowOff>1104900</xdr:rowOff>
    </xdr:from>
    <xdr:ext cx="1015715" cy="666750"/>
    <xdr:sp macro="" textlink="">
      <xdr:nvSpPr>
        <xdr:cNvPr id="10" name="Text Box 9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6600825" y="629602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EC6680S-26330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16</xdr:row>
      <xdr:rowOff>95250</xdr:rowOff>
    </xdr:from>
    <xdr:to>
      <xdr:col>20</xdr:col>
      <xdr:colOff>0</xdr:colOff>
      <xdr:row>16</xdr:row>
      <xdr:rowOff>142875</xdr:rowOff>
    </xdr:to>
    <xdr:grpSp>
      <xdr:nvGrpSpPr>
        <xdr:cNvPr id="1027" name="Group 3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4400550" cy="47625"/>
          <a:chOff x="158" y="715"/>
          <a:chExt cx="33" cy="5"/>
        </a:xfrm>
      </xdr:grpSpPr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00000000-0008-0000-0100-000004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219075</xdr:colOff>
      <xdr:row>15</xdr:row>
      <xdr:rowOff>533400</xdr:rowOff>
    </xdr:from>
    <xdr:to>
      <xdr:col>18</xdr:col>
      <xdr:colOff>285750</xdr:colOff>
      <xdr:row>15</xdr:row>
      <xdr:rowOff>838200</xdr:rowOff>
    </xdr:to>
    <xdr:grpSp>
      <xdr:nvGrpSpPr>
        <xdr:cNvPr id="1032" name="Group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GrpSpPr>
          <a:grpSpLocks/>
        </xdr:cNvGrpSpPr>
      </xdr:nvGrpSpPr>
      <xdr:grpSpPr bwMode="auto">
        <a:xfrm rot="5400000">
          <a:off x="4905375" y="5295900"/>
          <a:ext cx="304800" cy="1009650"/>
          <a:chOff x="499" y="571"/>
          <a:chExt cx="32" cy="106"/>
        </a:xfrm>
      </xdr:grpSpPr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00000000-0008-0000-0100-00000904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63" y="62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>
            <a:spLocks/>
          </xdr:cNvSpPr>
        </xdr:nvSpPr>
        <xdr:spPr bwMode="auto">
          <a:xfrm rot="-5400000">
            <a:off x="511" y="57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5" name="Freeform 11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>
            <a:spLocks/>
          </xdr:cNvSpPr>
        </xdr:nvSpPr>
        <xdr:spPr bwMode="auto">
          <a:xfrm rot="-5400000">
            <a:off x="507" y="64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503" y="64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Freeform 13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>
            <a:spLocks/>
          </xdr:cNvSpPr>
        </xdr:nvSpPr>
        <xdr:spPr bwMode="auto">
          <a:xfrm rot="-5400000">
            <a:off x="499" y="641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8" name="Freeform 14">
            <a:extLst>
              <a:ext uri="{FF2B5EF4-FFF2-40B4-BE49-F238E27FC236}">
                <a16:creationId xmlns:a16="http://schemas.microsoft.com/office/drawing/2014/main" id="{00000000-0008-0000-0100-00000E040000}"/>
              </a:ext>
            </a:extLst>
          </xdr:cNvPr>
          <xdr:cNvSpPr>
            <a:spLocks/>
          </xdr:cNvSpPr>
        </xdr:nvSpPr>
        <xdr:spPr bwMode="auto">
          <a:xfrm rot="-5400000">
            <a:off x="515" y="634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526" y="6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Freeform 16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>
            <a:spLocks/>
          </xdr:cNvSpPr>
        </xdr:nvSpPr>
        <xdr:spPr bwMode="auto">
          <a:xfrm rot="-5400000">
            <a:off x="524" y="630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209550</xdr:colOff>
      <xdr:row>15</xdr:row>
      <xdr:rowOff>857250</xdr:rowOff>
    </xdr:from>
    <xdr:to>
      <xdr:col>18</xdr:col>
      <xdr:colOff>276225</xdr:colOff>
      <xdr:row>15</xdr:row>
      <xdr:rowOff>1162050</xdr:rowOff>
    </xdr:to>
    <xdr:grpSp>
      <xdr:nvGrpSpPr>
        <xdr:cNvPr id="1053" name="Group 2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>
          <a:grpSpLocks/>
        </xdr:cNvGrpSpPr>
      </xdr:nvGrpSpPr>
      <xdr:grpSpPr bwMode="auto">
        <a:xfrm rot="5400000">
          <a:off x="4895850" y="5619750"/>
          <a:ext cx="304800" cy="1009650"/>
          <a:chOff x="543" y="573"/>
          <a:chExt cx="32" cy="106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07" y="62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>
            <a:spLocks/>
          </xdr:cNvSpPr>
        </xdr:nvSpPr>
        <xdr:spPr bwMode="auto">
          <a:xfrm rot="5400000" flipV="1">
            <a:off x="555" y="673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6" name="Freeform 32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>
            <a:spLocks/>
          </xdr:cNvSpPr>
        </xdr:nvSpPr>
        <xdr:spPr bwMode="auto">
          <a:xfrm rot="5400000" flipV="1">
            <a:off x="551" y="614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547" y="61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00000000-0008-0000-0100-000022040000}"/>
              </a:ext>
            </a:extLst>
          </xdr:cNvPr>
          <xdr:cNvSpPr>
            <a:spLocks/>
          </xdr:cNvSpPr>
        </xdr:nvSpPr>
        <xdr:spPr bwMode="auto">
          <a:xfrm rot="5400000" flipV="1">
            <a:off x="543" y="61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>
            <a:spLocks/>
          </xdr:cNvSpPr>
        </xdr:nvSpPr>
        <xdr:spPr bwMode="auto">
          <a:xfrm rot="5400000" flipV="1">
            <a:off x="559" y="60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70" y="60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>
            <a:spLocks/>
          </xdr:cNvSpPr>
        </xdr:nvSpPr>
        <xdr:spPr bwMode="auto">
          <a:xfrm rot="5400000" flipV="1">
            <a:off x="568" y="60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9525</xdr:colOff>
      <xdr:row>17</xdr:row>
      <xdr:rowOff>114300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17</xdr:row>
      <xdr:rowOff>95250</xdr:rowOff>
    </xdr:from>
    <xdr:to>
      <xdr:col>20</xdr:col>
      <xdr:colOff>0</xdr:colOff>
      <xdr:row>17</xdr:row>
      <xdr:rowOff>142875</xdr:rowOff>
    </xdr:to>
    <xdr:grpSp>
      <xdr:nvGrpSpPr>
        <xdr:cNvPr id="1067" name="Group 43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GrpSpPr>
          <a:grpSpLocks/>
        </xdr:cNvGrpSpPr>
      </xdr:nvGrpSpPr>
      <xdr:grpSpPr bwMode="auto">
        <a:xfrm>
          <a:off x="3086100" y="7019925"/>
          <a:ext cx="2819400" cy="47625"/>
          <a:chOff x="158" y="715"/>
          <a:chExt cx="33" cy="5"/>
        </a:xfrm>
      </xdr:grpSpPr>
      <xdr:sp macro="" textlink="">
        <xdr:nvSpPr>
          <xdr:cNvPr id="1068" name="Line 44">
            <a:extLst>
              <a:ext uri="{FF2B5EF4-FFF2-40B4-BE49-F238E27FC236}">
                <a16:creationId xmlns:a16="http://schemas.microsoft.com/office/drawing/2014/main" id="{00000000-0008-0000-0100-00002C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45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70" name="Freeform 46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71" name="Group 47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Line 50">
            <a:extLst>
              <a:ext uri="{FF2B5EF4-FFF2-40B4-BE49-F238E27FC236}">
                <a16:creationId xmlns:a16="http://schemas.microsoft.com/office/drawing/2014/main" id="{00000000-0008-0000-0100-00003204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5" name="Line 51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85725</xdr:rowOff>
    </xdr:from>
    <xdr:to>
      <xdr:col>15</xdr:col>
      <xdr:colOff>9525</xdr:colOff>
      <xdr:row>20</xdr:row>
      <xdr:rowOff>133350</xdr:rowOff>
    </xdr:to>
    <xdr:grpSp>
      <xdr:nvGrpSpPr>
        <xdr:cNvPr id="1076" name="Group 52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GrpSpPr>
          <a:grpSpLocks/>
        </xdr:cNvGrpSpPr>
      </xdr:nvGrpSpPr>
      <xdr:grpSpPr bwMode="auto">
        <a:xfrm>
          <a:off x="876300" y="7696200"/>
          <a:ext cx="3467100" cy="47625"/>
          <a:chOff x="158" y="715"/>
          <a:chExt cx="33" cy="5"/>
        </a:xfrm>
      </xdr:grpSpPr>
      <xdr:sp macro="" textlink="">
        <xdr:nvSpPr>
          <xdr:cNvPr id="1077" name="Line 53">
            <a:extLst>
              <a:ext uri="{FF2B5EF4-FFF2-40B4-BE49-F238E27FC236}">
                <a16:creationId xmlns:a16="http://schemas.microsoft.com/office/drawing/2014/main" id="{00000000-0008-0000-0100-000035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0</xdr:colOff>
      <xdr:row>20</xdr:row>
      <xdr:rowOff>85725</xdr:rowOff>
    </xdr:from>
    <xdr:to>
      <xdr:col>20</xdr:col>
      <xdr:colOff>0</xdr:colOff>
      <xdr:row>20</xdr:row>
      <xdr:rowOff>133350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GrpSpPr>
          <a:grpSpLocks/>
        </xdr:cNvGrpSpPr>
      </xdr:nvGrpSpPr>
      <xdr:grpSpPr bwMode="auto">
        <a:xfrm>
          <a:off x="5591175" y="7696200"/>
          <a:ext cx="314325" cy="47625"/>
          <a:chOff x="158" y="715"/>
          <a:chExt cx="33" cy="5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00000000-0008-0000-0100-000038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Line 57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9525</xdr:colOff>
      <xdr:row>20</xdr:row>
      <xdr:rowOff>38100</xdr:rowOff>
    </xdr:from>
    <xdr:to>
      <xdr:col>18</xdr:col>
      <xdr:colOff>304800</xdr:colOff>
      <xdr:row>20</xdr:row>
      <xdr:rowOff>180975</xdr:rowOff>
    </xdr:to>
    <xdr:sp macro="" textlink="">
      <xdr:nvSpPr>
        <xdr:cNvPr id="1082" name="Freeform 58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/>
        </xdr:cNvSpPr>
      </xdr:nvSpPr>
      <xdr:spPr bwMode="auto">
        <a:xfrm>
          <a:off x="5286375" y="76485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114300</xdr:rowOff>
    </xdr:from>
    <xdr:to>
      <xdr:col>18</xdr:col>
      <xdr:colOff>0</xdr:colOff>
      <xdr:row>20</xdr:row>
      <xdr:rowOff>114300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ShapeType="1"/>
        </xdr:cNvSpPr>
      </xdr:nvSpPr>
      <xdr:spPr bwMode="auto">
        <a:xfrm>
          <a:off x="43338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</xdr:colOff>
      <xdr:row>15</xdr:row>
      <xdr:rowOff>1028700</xdr:rowOff>
    </xdr:from>
    <xdr:to>
      <xdr:col>10</xdr:col>
      <xdr:colOff>209550</xdr:colOff>
      <xdr:row>15</xdr:row>
      <xdr:rowOff>1295400</xdr:rowOff>
    </xdr:to>
    <xdr:grpSp>
      <xdr:nvGrpSpPr>
        <xdr:cNvPr id="1084" name="Group 6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GrpSpPr>
          <a:grpSpLocks/>
        </xdr:cNvGrpSpPr>
      </xdr:nvGrpSpPr>
      <xdr:grpSpPr bwMode="auto">
        <a:xfrm rot="16200000">
          <a:off x="2762250" y="6200775"/>
          <a:ext cx="266700" cy="152400"/>
          <a:chOff x="248" y="601"/>
          <a:chExt cx="28" cy="16"/>
        </a:xfrm>
      </xdr:grpSpPr>
      <xdr:sp macro="" textlink="">
        <xdr:nvSpPr>
          <xdr:cNvPr id="1085" name="Line 61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" name="Freeform 62">
            <a:extLst>
              <a:ext uri="{FF2B5EF4-FFF2-40B4-BE49-F238E27FC236}">
                <a16:creationId xmlns:a16="http://schemas.microsoft.com/office/drawing/2014/main" id="{00000000-0008-0000-0100-00003E04000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7" name="Line 63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" name="Freeform 64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57150</xdr:colOff>
      <xdr:row>15</xdr:row>
      <xdr:rowOff>400050</xdr:rowOff>
    </xdr:from>
    <xdr:to>
      <xdr:col>10</xdr:col>
      <xdr:colOff>209550</xdr:colOff>
      <xdr:row>15</xdr:row>
      <xdr:rowOff>666750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>
          <a:grpSpLocks/>
        </xdr:cNvGrpSpPr>
      </xdr:nvGrpSpPr>
      <xdr:grpSpPr bwMode="auto">
        <a:xfrm rot="5400000">
          <a:off x="2762250" y="5572125"/>
          <a:ext cx="266700" cy="152400"/>
          <a:chOff x="248" y="601"/>
          <a:chExt cx="28" cy="16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00000000-0008-0000-0100-00004404000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Freeform 69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1162050</xdr:rowOff>
    </xdr:from>
    <xdr:to>
      <xdr:col>11</xdr:col>
      <xdr:colOff>104775</xdr:colOff>
      <xdr:row>15</xdr:row>
      <xdr:rowOff>1323975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GrpSpPr>
          <a:grpSpLocks/>
        </xdr:cNvGrpSpPr>
      </xdr:nvGrpSpPr>
      <xdr:grpSpPr bwMode="auto">
        <a:xfrm rot="16200000" flipH="1">
          <a:off x="2971800" y="6229350"/>
          <a:ext cx="161925" cy="257175"/>
          <a:chOff x="471" y="616"/>
          <a:chExt cx="17" cy="27"/>
        </a:xfrm>
      </xdr:grpSpPr>
      <xdr:sp macro="" textlink="">
        <xdr:nvSpPr>
          <xdr:cNvPr id="1095" name="Freeform 71">
            <a:extLst>
              <a:ext uri="{FF2B5EF4-FFF2-40B4-BE49-F238E27FC236}">
                <a16:creationId xmlns:a16="http://schemas.microsoft.com/office/drawing/2014/main" id="{00000000-0008-0000-0100-000047040000}"/>
              </a:ext>
            </a:extLst>
          </xdr:cNvPr>
          <xdr:cNvSpPr>
            <a:spLocks/>
          </xdr:cNvSpPr>
        </xdr:nvSpPr>
        <xdr:spPr bwMode="auto">
          <a:xfrm rot="16174775">
            <a:off x="471" y="620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>
            <a:spLocks/>
          </xdr:cNvSpPr>
        </xdr:nvSpPr>
        <xdr:spPr bwMode="auto">
          <a:xfrm rot="16174775">
            <a:off x="481" y="617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00000000-0008-0000-0100-00004A04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523875</xdr:rowOff>
    </xdr:from>
    <xdr:to>
      <xdr:col>14</xdr:col>
      <xdr:colOff>219075</xdr:colOff>
      <xdr:row>15</xdr:row>
      <xdr:rowOff>581025</xdr:rowOff>
    </xdr:to>
    <xdr:grpSp>
      <xdr:nvGrpSpPr>
        <xdr:cNvPr id="1109" name="Group 85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GrpSpPr>
          <a:grpSpLocks/>
        </xdr:cNvGrpSpPr>
      </xdr:nvGrpSpPr>
      <xdr:grpSpPr bwMode="auto">
        <a:xfrm>
          <a:off x="3505200" y="5638800"/>
          <a:ext cx="733425" cy="57150"/>
          <a:chOff x="123" y="549"/>
          <a:chExt cx="77" cy="6"/>
        </a:xfrm>
      </xdr:grpSpPr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00000000-0008-0000-0100-00005604000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17</xdr:row>
      <xdr:rowOff>38100</xdr:rowOff>
    </xdr:from>
    <xdr:to>
      <xdr:col>10</xdr:col>
      <xdr:colOff>304800</xdr:colOff>
      <xdr:row>17</xdr:row>
      <xdr:rowOff>180975</xdr:rowOff>
    </xdr:to>
    <xdr:sp macro="" textlink="">
      <xdr:nvSpPr>
        <xdr:cNvPr id="1117" name="Freeform 93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/>
        </xdr:cNvSpPr>
      </xdr:nvSpPr>
      <xdr:spPr bwMode="auto">
        <a:xfrm>
          <a:off x="2771775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10</xdr:col>
      <xdr:colOff>0</xdr:colOff>
      <xdr:row>17</xdr:row>
      <xdr:rowOff>152400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628650" cy="47625"/>
          <a:chOff x="158" y="715"/>
          <a:chExt cx="33" cy="5"/>
        </a:xfrm>
      </xdr:grpSpPr>
      <xdr:sp macro="" textlink="">
        <xdr:nvSpPr>
          <xdr:cNvPr id="1119" name="Line 95">
            <a:extLst>
              <a:ext uri="{FF2B5EF4-FFF2-40B4-BE49-F238E27FC236}">
                <a16:creationId xmlns:a16="http://schemas.microsoft.com/office/drawing/2014/main" id="{00000000-0008-0000-0100-00005F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Line 96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9525</xdr:colOff>
      <xdr:row>18</xdr:row>
      <xdr:rowOff>114300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ShapeType="1"/>
        </xdr:cNvSpPr>
      </xdr:nvSpPr>
      <xdr:spPr bwMode="auto">
        <a:xfrm>
          <a:off x="876300" y="7267575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18</xdr:row>
      <xdr:rowOff>38100</xdr:rowOff>
    </xdr:from>
    <xdr:to>
      <xdr:col>7</xdr:col>
      <xdr:colOff>304800</xdr:colOff>
      <xdr:row>18</xdr:row>
      <xdr:rowOff>180975</xdr:rowOff>
    </xdr:to>
    <xdr:sp macro="" textlink="">
      <xdr:nvSpPr>
        <xdr:cNvPr id="1122" name="Freeform 98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/>
        </xdr:cNvSpPr>
      </xdr:nvSpPr>
      <xdr:spPr bwMode="auto">
        <a:xfrm>
          <a:off x="1828800" y="71913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304800</xdr:colOff>
      <xdr:row>18</xdr:row>
      <xdr:rowOff>104775</xdr:rowOff>
    </xdr:from>
    <xdr:to>
      <xdr:col>13</xdr:col>
      <xdr:colOff>0</xdr:colOff>
      <xdr:row>18</xdr:row>
      <xdr:rowOff>152400</xdr:rowOff>
    </xdr:to>
    <xdr:grpSp>
      <xdr:nvGrpSpPr>
        <xdr:cNvPr id="1123" name="Group 9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GrpSpPr>
          <a:grpSpLocks/>
        </xdr:cNvGrpSpPr>
      </xdr:nvGrpSpPr>
      <xdr:grpSpPr bwMode="auto">
        <a:xfrm>
          <a:off x="2124075" y="7258050"/>
          <a:ext cx="1581150" cy="47625"/>
          <a:chOff x="158" y="715"/>
          <a:chExt cx="33" cy="5"/>
        </a:xfrm>
      </xdr:grpSpPr>
      <xdr:sp macro="" textlink="">
        <xdr:nvSpPr>
          <xdr:cNvPr id="1124" name="Line 100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5" name="Line 101">
            <a:extLst>
              <a:ext uri="{FF2B5EF4-FFF2-40B4-BE49-F238E27FC236}">
                <a16:creationId xmlns:a16="http://schemas.microsoft.com/office/drawing/2014/main" id="{00000000-0008-0000-0100-000065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18</xdr:row>
      <xdr:rowOff>38100</xdr:rowOff>
    </xdr:from>
    <xdr:to>
      <xdr:col>13</xdr:col>
      <xdr:colOff>304800</xdr:colOff>
      <xdr:row>18</xdr:row>
      <xdr:rowOff>180975</xdr:rowOff>
    </xdr:to>
    <xdr:sp macro="" textlink="">
      <xdr:nvSpPr>
        <xdr:cNvPr id="1126" name="Freeform 102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/>
        </xdr:cNvSpPr>
      </xdr:nvSpPr>
      <xdr:spPr bwMode="auto">
        <a:xfrm>
          <a:off x="3714750" y="71913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9525</xdr:colOff>
      <xdr:row>18</xdr:row>
      <xdr:rowOff>104775</xdr:rowOff>
    </xdr:from>
    <xdr:to>
      <xdr:col>20</xdr:col>
      <xdr:colOff>0</xdr:colOff>
      <xdr:row>18</xdr:row>
      <xdr:rowOff>152400</xdr:rowOff>
    </xdr:to>
    <xdr:grpSp>
      <xdr:nvGrpSpPr>
        <xdr:cNvPr id="1127" name="Group 103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GrpSpPr>
          <a:grpSpLocks/>
        </xdr:cNvGrpSpPr>
      </xdr:nvGrpSpPr>
      <xdr:grpSpPr bwMode="auto">
        <a:xfrm>
          <a:off x="4029075" y="7258050"/>
          <a:ext cx="1876425" cy="47625"/>
          <a:chOff x="455" y="811"/>
          <a:chExt cx="99" cy="5"/>
        </a:xfrm>
      </xdr:grpSpPr>
      <xdr:grpSp>
        <xdr:nvGrpSpPr>
          <xdr:cNvPr id="1128" name="Group 104">
            <a:extLst>
              <a:ext uri="{FF2B5EF4-FFF2-40B4-BE49-F238E27FC236}">
                <a16:creationId xmlns:a16="http://schemas.microsoft.com/office/drawing/2014/main" id="{00000000-0008-0000-0100-000068040000}"/>
              </a:ext>
            </a:extLst>
          </xdr:cNvPr>
          <xdr:cNvGrpSpPr>
            <a:grpSpLocks/>
          </xdr:cNvGrpSpPr>
        </xdr:nvGrpSpPr>
        <xdr:grpSpPr bwMode="auto">
          <a:xfrm>
            <a:off x="455" y="811"/>
            <a:ext cx="33" cy="5"/>
            <a:chOff x="158" y="715"/>
            <a:chExt cx="33" cy="5"/>
          </a:xfrm>
        </xdr:grpSpPr>
        <xdr:sp macro="" textlink="">
          <xdr:nvSpPr>
            <xdr:cNvPr id="1129" name="Line 105">
              <a:extLs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" name="Line 106">
              <a:extLs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131" name="Group 107">
            <a:extLst>
              <a:ext uri="{FF2B5EF4-FFF2-40B4-BE49-F238E27FC236}">
                <a16:creationId xmlns:a16="http://schemas.microsoft.com/office/drawing/2014/main" id="{00000000-0008-0000-0100-00006B040000}"/>
              </a:ext>
            </a:extLst>
          </xdr:cNvPr>
          <xdr:cNvGrpSpPr>
            <a:grpSpLocks/>
          </xdr:cNvGrpSpPr>
        </xdr:nvGrpSpPr>
        <xdr:grpSpPr bwMode="auto">
          <a:xfrm>
            <a:off x="488" y="811"/>
            <a:ext cx="33" cy="5"/>
            <a:chOff x="158" y="715"/>
            <a:chExt cx="33" cy="5"/>
          </a:xfrm>
        </xdr:grpSpPr>
        <xdr:sp macro="" textlink="">
          <xdr:nvSpPr>
            <xdr:cNvPr id="1132" name="Line 108">
              <a:extLs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3" name="Line 109">
              <a:extLs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134" name="Group 110">
            <a:extLst>
              <a:ext uri="{FF2B5EF4-FFF2-40B4-BE49-F238E27FC236}">
                <a16:creationId xmlns:a16="http://schemas.microsoft.com/office/drawing/2014/main" id="{00000000-0008-0000-0100-00006E040000}"/>
              </a:ext>
            </a:extLst>
          </xdr:cNvPr>
          <xdr:cNvGrpSpPr>
            <a:grpSpLocks/>
          </xdr:cNvGrpSpPr>
        </xdr:nvGrpSpPr>
        <xdr:grpSpPr bwMode="auto">
          <a:xfrm>
            <a:off x="521" y="811"/>
            <a:ext cx="33" cy="5"/>
            <a:chOff x="158" y="715"/>
            <a:chExt cx="33" cy="5"/>
          </a:xfrm>
        </xdr:grpSpPr>
        <xdr:sp macro="" textlink="">
          <xdr:nvSpPr>
            <xdr:cNvPr id="1135" name="Line 111">
              <a:extLs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6" name="Line 112">
              <a:extLs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171450</xdr:colOff>
      <xdr:row>21</xdr:row>
      <xdr:rowOff>38100</xdr:rowOff>
    </xdr:from>
    <xdr:to>
      <xdr:col>9</xdr:col>
      <xdr:colOff>133350</xdr:colOff>
      <xdr:row>21</xdr:row>
      <xdr:rowOff>209550</xdr:rowOff>
    </xdr:to>
    <xdr:sp macro="" textlink="">
      <xdr:nvSpPr>
        <xdr:cNvPr id="1138" name="Oval 114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rrowheads="1"/>
        </xdr:cNvSpPr>
      </xdr:nvSpPr>
      <xdr:spPr bwMode="auto">
        <a:xfrm>
          <a:off x="2305050" y="7877175"/>
          <a:ext cx="276225" cy="171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21</xdr:row>
      <xdr:rowOff>123825</xdr:rowOff>
    </xdr:from>
    <xdr:to>
      <xdr:col>9</xdr:col>
      <xdr:colOff>76200</xdr:colOff>
      <xdr:row>21</xdr:row>
      <xdr:rowOff>123825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ShapeType="1"/>
        </xdr:cNvSpPr>
      </xdr:nvSpPr>
      <xdr:spPr bwMode="auto">
        <a:xfrm>
          <a:off x="2333625" y="7962900"/>
          <a:ext cx="1905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21</xdr:row>
      <xdr:rowOff>85725</xdr:rowOff>
    </xdr:from>
    <xdr:to>
      <xdr:col>9</xdr:col>
      <xdr:colOff>85725</xdr:colOff>
      <xdr:row>21</xdr:row>
      <xdr:rowOff>161925</xdr:rowOff>
    </xdr:to>
    <xdr:sp macro="" textlink="">
      <xdr:nvSpPr>
        <xdr:cNvPr id="1140" name="Freeform 116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/>
        </xdr:cNvSpPr>
      </xdr:nvSpPr>
      <xdr:spPr bwMode="auto">
        <a:xfrm>
          <a:off x="2428875" y="7924800"/>
          <a:ext cx="104775" cy="76200"/>
        </a:xfrm>
        <a:custGeom>
          <a:avLst/>
          <a:gdLst>
            <a:gd name="T0" fmla="*/ 0 w 268"/>
            <a:gd name="T1" fmla="*/ 208 h 208"/>
            <a:gd name="T2" fmla="*/ 268 w 268"/>
            <a:gd name="T3" fmla="*/ 107 h 208"/>
            <a:gd name="T4" fmla="*/ 0 w 268"/>
            <a:gd name="T5" fmla="*/ 0 h 20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68" h="208">
              <a:moveTo>
                <a:pt x="0" y="208"/>
              </a:moveTo>
              <a:lnTo>
                <a:pt x="268" y="107"/>
              </a:lnTo>
              <a:lnTo>
                <a:pt x="0" y="0"/>
              </a:lnTo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171450</xdr:colOff>
      <xdr:row>22</xdr:row>
      <xdr:rowOff>28575</xdr:rowOff>
    </xdr:from>
    <xdr:to>
      <xdr:col>11</xdr:col>
      <xdr:colOff>133350</xdr:colOff>
      <xdr:row>22</xdr:row>
      <xdr:rowOff>200025</xdr:rowOff>
    </xdr:to>
    <xdr:grpSp>
      <xdr:nvGrpSpPr>
        <xdr:cNvPr id="1141" name="Group 117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GrpSpPr>
          <a:grpSpLocks/>
        </xdr:cNvGrpSpPr>
      </xdr:nvGrpSpPr>
      <xdr:grpSpPr bwMode="auto">
        <a:xfrm>
          <a:off x="2933700" y="8096250"/>
          <a:ext cx="276225" cy="171450"/>
          <a:chOff x="226" y="755"/>
          <a:chExt cx="29" cy="18"/>
        </a:xfrm>
      </xdr:grpSpPr>
      <xdr:sp macro="" textlink="">
        <xdr:nvSpPr>
          <xdr:cNvPr id="1142" name="Oval 118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3" name="Line 119">
            <a:extLst>
              <a:ext uri="{FF2B5EF4-FFF2-40B4-BE49-F238E27FC236}">
                <a16:creationId xmlns:a16="http://schemas.microsoft.com/office/drawing/2014/main" id="{00000000-0008-0000-0100-00007704000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4" name="Freeform 120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304800</xdr:colOff>
      <xdr:row>22</xdr:row>
      <xdr:rowOff>114300</xdr:rowOff>
    </xdr:from>
    <xdr:to>
      <xdr:col>10</xdr:col>
      <xdr:colOff>171450</xdr:colOff>
      <xdr:row>22</xdr:row>
      <xdr:rowOff>114300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ShapeType="1"/>
        </xdr:cNvSpPr>
      </xdr:nvSpPr>
      <xdr:spPr bwMode="auto">
        <a:xfrm>
          <a:off x="2124075" y="8181975"/>
          <a:ext cx="8096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22</xdr:row>
      <xdr:rowOff>114300</xdr:rowOff>
    </xdr:from>
    <xdr:to>
      <xdr:col>13</xdr:col>
      <xdr:colOff>0</xdr:colOff>
      <xdr:row>22</xdr:row>
      <xdr:rowOff>114300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ShapeType="1"/>
        </xdr:cNvSpPr>
      </xdr:nvSpPr>
      <xdr:spPr bwMode="auto">
        <a:xfrm>
          <a:off x="3209925" y="8181975"/>
          <a:ext cx="4953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12</xdr:col>
      <xdr:colOff>0</xdr:colOff>
      <xdr:row>19</xdr:row>
      <xdr:rowOff>142875</xdr:rowOff>
    </xdr:to>
    <xdr:grpSp>
      <xdr:nvGrpSpPr>
        <xdr:cNvPr id="1147" name="Group 123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514600" cy="47625"/>
          <a:chOff x="158" y="715"/>
          <a:chExt cx="33" cy="5"/>
        </a:xfrm>
      </xdr:grpSpPr>
      <xdr:sp macro="" textlink="">
        <xdr:nvSpPr>
          <xdr:cNvPr id="1148" name="Line 124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Line 125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114300</xdr:rowOff>
    </xdr:from>
    <xdr:to>
      <xdr:col>16</xdr:col>
      <xdr:colOff>9525</xdr:colOff>
      <xdr:row>19</xdr:row>
      <xdr:rowOff>114300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ShapeType="1"/>
        </xdr:cNvSpPr>
      </xdr:nvSpPr>
      <xdr:spPr bwMode="auto">
        <a:xfrm>
          <a:off x="3400425" y="7496175"/>
          <a:ext cx="1257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47625</xdr:colOff>
      <xdr:row>19</xdr:row>
      <xdr:rowOff>38100</xdr:rowOff>
    </xdr:from>
    <xdr:to>
      <xdr:col>16</xdr:col>
      <xdr:colOff>266700</xdr:colOff>
      <xdr:row>19</xdr:row>
      <xdr:rowOff>190500</xdr:rowOff>
    </xdr:to>
    <xdr:grpSp>
      <xdr:nvGrpSpPr>
        <xdr:cNvPr id="1151" name="Group 127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>
          <a:grpSpLocks/>
        </xdr:cNvGrpSpPr>
      </xdr:nvGrpSpPr>
      <xdr:grpSpPr bwMode="auto">
        <a:xfrm>
          <a:off x="4695825" y="7419975"/>
          <a:ext cx="219075" cy="152400"/>
          <a:chOff x="132" y="708"/>
          <a:chExt cx="20" cy="14"/>
        </a:xfrm>
      </xdr:grpSpPr>
      <xdr:sp macro="" textlink="">
        <xdr:nvSpPr>
          <xdr:cNvPr id="1152" name="Line 128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Line 129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4" name="Line 130">
            <a:extLst>
              <a:ext uri="{FF2B5EF4-FFF2-40B4-BE49-F238E27FC236}">
                <a16:creationId xmlns:a16="http://schemas.microsoft.com/office/drawing/2014/main" id="{00000000-0008-0000-0100-00008204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5" name="Line 131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19</xdr:row>
      <xdr:rowOff>95250</xdr:rowOff>
    </xdr:from>
    <xdr:to>
      <xdr:col>20</xdr:col>
      <xdr:colOff>0</xdr:colOff>
      <xdr:row>19</xdr:row>
      <xdr:rowOff>142875</xdr:rowOff>
    </xdr:to>
    <xdr:grpSp>
      <xdr:nvGrpSpPr>
        <xdr:cNvPr id="1156" name="Group 132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GrpSpPr>
          <a:grpSpLocks/>
        </xdr:cNvGrpSpPr>
      </xdr:nvGrpSpPr>
      <xdr:grpSpPr bwMode="auto">
        <a:xfrm>
          <a:off x="4962525" y="7477125"/>
          <a:ext cx="942975" cy="47625"/>
          <a:chOff x="158" y="715"/>
          <a:chExt cx="33" cy="5"/>
        </a:xfrm>
      </xdr:grpSpPr>
      <xdr:sp macro="" textlink="">
        <xdr:nvSpPr>
          <xdr:cNvPr id="1157" name="Line 133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Line 134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23</xdr:row>
      <xdr:rowOff>28575</xdr:rowOff>
    </xdr:from>
    <xdr:to>
      <xdr:col>12</xdr:col>
      <xdr:colOff>295275</xdr:colOff>
      <xdr:row>23</xdr:row>
      <xdr:rowOff>200025</xdr:rowOff>
    </xdr:to>
    <xdr:grpSp>
      <xdr:nvGrpSpPr>
        <xdr:cNvPr id="1159" name="Group 135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>
          <a:grpSpLocks/>
        </xdr:cNvGrpSpPr>
      </xdr:nvGrpSpPr>
      <xdr:grpSpPr bwMode="auto">
        <a:xfrm rot="10800000">
          <a:off x="3409950" y="8324850"/>
          <a:ext cx="276225" cy="171450"/>
          <a:chOff x="226" y="755"/>
          <a:chExt cx="29" cy="18"/>
        </a:xfrm>
      </xdr:grpSpPr>
      <xdr:sp macro="" textlink="">
        <xdr:nvSpPr>
          <xdr:cNvPr id="1160" name="Oval 136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1" name="Line 137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" name="Freeform 138">
            <a:extLst>
              <a:ext uri="{FF2B5EF4-FFF2-40B4-BE49-F238E27FC236}">
                <a16:creationId xmlns:a16="http://schemas.microsoft.com/office/drawing/2014/main" id="{00000000-0008-0000-0100-00008A04000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23</xdr:row>
      <xdr:rowOff>104775</xdr:rowOff>
    </xdr:from>
    <xdr:to>
      <xdr:col>15</xdr:col>
      <xdr:colOff>0</xdr:colOff>
      <xdr:row>23</xdr:row>
      <xdr:rowOff>104775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ShapeType="1"/>
        </xdr:cNvSpPr>
      </xdr:nvSpPr>
      <xdr:spPr bwMode="auto">
        <a:xfrm flipV="1">
          <a:off x="3686175" y="8401050"/>
          <a:ext cx="647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23</xdr:row>
      <xdr:rowOff>104775</xdr:rowOff>
    </xdr:from>
    <xdr:to>
      <xdr:col>12</xdr:col>
      <xdr:colOff>19050</xdr:colOff>
      <xdr:row>23</xdr:row>
      <xdr:rowOff>104775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ShapeType="1"/>
        </xdr:cNvSpPr>
      </xdr:nvSpPr>
      <xdr:spPr bwMode="auto">
        <a:xfrm>
          <a:off x="2438400" y="8401050"/>
          <a:ext cx="971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10</xdr:row>
      <xdr:rowOff>114300</xdr:rowOff>
    </xdr:from>
    <xdr:to>
      <xdr:col>6</xdr:col>
      <xdr:colOff>200025</xdr:colOff>
      <xdr:row>13</xdr:row>
      <xdr:rowOff>9525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38100</xdr:colOff>
      <xdr:row>15</xdr:row>
      <xdr:rowOff>361950</xdr:rowOff>
    </xdr:from>
    <xdr:to>
      <xdr:col>14</xdr:col>
      <xdr:colOff>76200</xdr:colOff>
      <xdr:row>15</xdr:row>
      <xdr:rowOff>523875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 txBox="1">
          <a:spLocks noChangeArrowheads="1"/>
        </xdr:cNvSpPr>
      </xdr:nvSpPr>
      <xdr:spPr bwMode="auto">
        <a:xfrm>
          <a:off x="3743325" y="54768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22.5m</a:t>
          </a:r>
        </a:p>
      </xdr:txBody>
    </xdr:sp>
    <xdr:clientData/>
  </xdr:twoCellAnchor>
  <xdr:twoCellAnchor>
    <xdr:from>
      <xdr:col>13</xdr:col>
      <xdr:colOff>276225</xdr:colOff>
      <xdr:row>15</xdr:row>
      <xdr:rowOff>228600</xdr:rowOff>
    </xdr:from>
    <xdr:to>
      <xdr:col>15</xdr:col>
      <xdr:colOff>0</xdr:colOff>
      <xdr:row>15</xdr:row>
      <xdr:rowOff>390525</xdr:rowOff>
    </xdr:to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 txBox="1">
          <a:spLocks noChangeArrowheads="1"/>
        </xdr:cNvSpPr>
      </xdr:nvSpPr>
      <xdr:spPr bwMode="auto">
        <a:xfrm>
          <a:off x="3981450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歩灯２</a:t>
          </a:r>
        </a:p>
      </xdr:txBody>
    </xdr:sp>
    <xdr:clientData/>
  </xdr:twoCellAnchor>
  <xdr:twoCellAnchor>
    <xdr:from>
      <xdr:col>7</xdr:col>
      <xdr:colOff>200025</xdr:colOff>
      <xdr:row>15</xdr:row>
      <xdr:rowOff>447675</xdr:rowOff>
    </xdr:from>
    <xdr:to>
      <xdr:col>7</xdr:col>
      <xdr:colOff>257175</xdr:colOff>
      <xdr:row>15</xdr:row>
      <xdr:rowOff>1190625</xdr:rowOff>
    </xdr:to>
    <xdr:grpSp>
      <xdr:nvGrpSpPr>
        <xdr:cNvPr id="1113" name="Group 8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>
          <a:grpSpLocks/>
        </xdr:cNvGrpSpPr>
      </xdr:nvGrpSpPr>
      <xdr:grpSpPr bwMode="auto">
        <a:xfrm rot="5400000">
          <a:off x="1676400" y="5905500"/>
          <a:ext cx="742950" cy="57150"/>
          <a:chOff x="123" y="549"/>
          <a:chExt cx="77" cy="6"/>
        </a:xfrm>
      </xdr:grpSpPr>
      <xdr:sp macro="" textlink="">
        <xdr:nvSpPr>
          <xdr:cNvPr id="1114" name="Line 90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5" name="Freeform 91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6" name="Freeform 92">
            <a:extLst>
              <a:ext uri="{FF2B5EF4-FFF2-40B4-BE49-F238E27FC236}">
                <a16:creationId xmlns:a16="http://schemas.microsoft.com/office/drawing/2014/main" id="{00000000-0008-0000-0100-00005C04000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304800</xdr:colOff>
      <xdr:row>15</xdr:row>
      <xdr:rowOff>1085850</xdr:rowOff>
    </xdr:from>
    <xdr:to>
      <xdr:col>9</xdr:col>
      <xdr:colOff>28575</xdr:colOff>
      <xdr:row>15</xdr:row>
      <xdr:rowOff>1247775</xdr:rowOff>
    </xdr:to>
    <xdr:sp macro="" textlink="">
      <xdr:nvSpPr>
        <xdr:cNvPr id="1168" name="Text Box 144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 txBox="1">
          <a:spLocks noChangeArrowheads="1"/>
        </xdr:cNvSpPr>
      </xdr:nvSpPr>
      <xdr:spPr bwMode="auto">
        <a:xfrm>
          <a:off x="2124075" y="62007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21.7m</a:t>
          </a:r>
        </a:p>
      </xdr:txBody>
    </xdr:sp>
    <xdr:clientData/>
  </xdr:twoCellAnchor>
  <xdr:twoCellAnchor>
    <xdr:from>
      <xdr:col>6</xdr:col>
      <xdr:colOff>209550</xdr:colOff>
      <xdr:row>15</xdr:row>
      <xdr:rowOff>1304925</xdr:rowOff>
    </xdr:from>
    <xdr:to>
      <xdr:col>7</xdr:col>
      <xdr:colOff>257175</xdr:colOff>
      <xdr:row>15</xdr:row>
      <xdr:rowOff>1466850</xdr:rowOff>
    </xdr:to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 txBox="1">
          <a:spLocks noChangeArrowheads="1"/>
        </xdr:cNvSpPr>
      </xdr:nvSpPr>
      <xdr:spPr bwMode="auto">
        <a:xfrm>
          <a:off x="1714500" y="6419850"/>
          <a:ext cx="3619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歩灯２</a:t>
          </a:r>
        </a:p>
      </xdr:txBody>
    </xdr:sp>
    <xdr:clientData/>
  </xdr:twoCellAnchor>
  <xdr:twoCellAnchor>
    <xdr:from>
      <xdr:col>5</xdr:col>
      <xdr:colOff>0</xdr:colOff>
      <xdr:row>15</xdr:row>
      <xdr:rowOff>209550</xdr:rowOff>
    </xdr:from>
    <xdr:to>
      <xdr:col>6</xdr:col>
      <xdr:colOff>9525</xdr:colOff>
      <xdr:row>15</xdr:row>
      <xdr:rowOff>1257300</xdr:rowOff>
    </xdr:to>
    <xdr:grpSp>
      <xdr:nvGrpSpPr>
        <xdr:cNvPr id="1184" name="Group 160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GrpSpPr>
          <a:grpSpLocks/>
        </xdr:cNvGrpSpPr>
      </xdr:nvGrpSpPr>
      <xdr:grpSpPr bwMode="auto">
        <a:xfrm rot="16200000">
          <a:off x="828675" y="5686425"/>
          <a:ext cx="1047750" cy="323850"/>
          <a:chOff x="105" y="581"/>
          <a:chExt cx="110" cy="34"/>
        </a:xfrm>
      </xdr:grpSpPr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00000000-0008-0000-0100-00001804000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5" y="597"/>
            <a:ext cx="10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Freeform 25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>
            <a:spLocks/>
          </xdr:cNvSpPr>
        </xdr:nvSpPr>
        <xdr:spPr bwMode="auto">
          <a:xfrm rot="10800000" flipH="1">
            <a:off x="208" y="594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173" name="Group 149">
            <a:extLst>
              <a:ext uri="{FF2B5EF4-FFF2-40B4-BE49-F238E27FC236}">
                <a16:creationId xmlns:a16="http://schemas.microsoft.com/office/drawing/2014/main" id="{00000000-0008-0000-0100-000095040000}"/>
              </a:ext>
            </a:extLst>
          </xdr:cNvPr>
          <xdr:cNvGrpSpPr>
            <a:grpSpLocks/>
          </xdr:cNvGrpSpPr>
        </xdr:nvGrpSpPr>
        <xdr:grpSpPr bwMode="auto">
          <a:xfrm>
            <a:off x="150" y="581"/>
            <a:ext cx="13" cy="16"/>
            <a:chOff x="156" y="581"/>
            <a:chExt cx="9" cy="16"/>
          </a:xfrm>
        </xdr:grpSpPr>
        <xdr:sp macro="" textlink="">
          <xdr:nvSpPr>
            <xdr:cNvPr id="1050" name="Freeform 26">
              <a:extLs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56" y="590"/>
              <a:ext cx="6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" name="Line 27">
              <a:extLs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H="1">
              <a:off x="162" y="582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2" name="Freeform 28">
              <a:extLs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59" y="581"/>
              <a:ext cx="6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74" name="Group 150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GrpSpPr>
            <a:grpSpLocks/>
          </xdr:cNvGrpSpPr>
        </xdr:nvGrpSpPr>
        <xdr:grpSpPr bwMode="auto">
          <a:xfrm flipV="1">
            <a:off x="149" y="597"/>
            <a:ext cx="17" cy="18"/>
            <a:chOff x="156" y="581"/>
            <a:chExt cx="9" cy="16"/>
          </a:xfrm>
        </xdr:grpSpPr>
        <xdr:sp macro="" textlink="">
          <xdr:nvSpPr>
            <xdr:cNvPr id="1175" name="Freeform 151">
              <a:extLs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56" y="590"/>
              <a:ext cx="6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" name="Line 152">
              <a:extLs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H="1">
              <a:off x="162" y="582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7" name="Freeform 153">
              <a:extLs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59" y="581"/>
              <a:ext cx="6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6</xdr:col>
      <xdr:colOff>38100</xdr:colOff>
      <xdr:row>15</xdr:row>
      <xdr:rowOff>276225</xdr:rowOff>
    </xdr:from>
    <xdr:to>
      <xdr:col>7</xdr:col>
      <xdr:colOff>76200</xdr:colOff>
      <xdr:row>15</xdr:row>
      <xdr:rowOff>1304925</xdr:rowOff>
    </xdr:to>
    <xdr:grpSp>
      <xdr:nvGrpSpPr>
        <xdr:cNvPr id="1185" name="Group 161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GrpSpPr>
          <a:grpSpLocks/>
        </xdr:cNvGrpSpPr>
      </xdr:nvGrpSpPr>
      <xdr:grpSpPr bwMode="auto">
        <a:xfrm rot="16200000">
          <a:off x="1204913" y="5729287"/>
          <a:ext cx="1028700" cy="352425"/>
          <a:chOff x="101" y="619"/>
          <a:chExt cx="108" cy="37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2" y="640"/>
            <a:ext cx="10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Freeform 19">
            <a:extLst>
              <a:ext uri="{FF2B5EF4-FFF2-40B4-BE49-F238E27FC236}">
                <a16:creationId xmlns:a16="http://schemas.microsoft.com/office/drawing/2014/main" id="{00000000-0008-0000-0100-000013040000}"/>
              </a:ext>
            </a:extLst>
          </xdr:cNvPr>
          <xdr:cNvSpPr>
            <a:spLocks/>
          </xdr:cNvSpPr>
        </xdr:nvSpPr>
        <xdr:spPr bwMode="auto">
          <a:xfrm rot="-10800000">
            <a:off x="101" y="63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178" name="Group 154">
            <a:extLst>
              <a:ext uri="{FF2B5EF4-FFF2-40B4-BE49-F238E27FC236}">
                <a16:creationId xmlns:a16="http://schemas.microsoft.com/office/drawing/2014/main" id="{00000000-0008-0000-0100-00009A040000}"/>
              </a:ext>
            </a:extLst>
          </xdr:cNvPr>
          <xdr:cNvGrpSpPr>
            <a:grpSpLocks/>
          </xdr:cNvGrpSpPr>
        </xdr:nvGrpSpPr>
        <xdr:grpSpPr bwMode="auto">
          <a:xfrm>
            <a:off x="162" y="640"/>
            <a:ext cx="11" cy="16"/>
            <a:chOff x="164" y="637"/>
            <a:chExt cx="8" cy="16"/>
          </a:xfrm>
        </xdr:grpSpPr>
        <xdr:sp macro="" textlink="">
          <xdr:nvSpPr>
            <xdr:cNvPr id="1044" name="Freeform 20">
              <a:extLs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7" y="637"/>
              <a:ext cx="5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" name="Line 21">
              <a:extLs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67" y="64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6" name="Freeform 22">
              <a:extLs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4" y="645"/>
              <a:ext cx="5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79" name="Group 155">
            <a:extLst>
              <a:ext uri="{FF2B5EF4-FFF2-40B4-BE49-F238E27FC236}">
                <a16:creationId xmlns:a16="http://schemas.microsoft.com/office/drawing/2014/main" id="{00000000-0008-0000-0100-00009B040000}"/>
              </a:ext>
            </a:extLst>
          </xdr:cNvPr>
          <xdr:cNvGrpSpPr>
            <a:grpSpLocks/>
          </xdr:cNvGrpSpPr>
        </xdr:nvGrpSpPr>
        <xdr:grpSpPr bwMode="auto">
          <a:xfrm flipV="1">
            <a:off x="159" y="619"/>
            <a:ext cx="17" cy="21"/>
            <a:chOff x="164" y="637"/>
            <a:chExt cx="8" cy="16"/>
          </a:xfrm>
        </xdr:grpSpPr>
        <xdr:sp macro="" textlink="">
          <xdr:nvSpPr>
            <xdr:cNvPr id="1180" name="Freeform 156">
              <a:extLs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7" y="637"/>
              <a:ext cx="5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" name="Line 157">
              <a:extLs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67" y="64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2" name="Freeform 158">
              <a:extLs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4" y="645"/>
              <a:ext cx="5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12</xdr:col>
      <xdr:colOff>209550</xdr:colOff>
      <xdr:row>15</xdr:row>
      <xdr:rowOff>990600</xdr:rowOff>
    </xdr:from>
    <xdr:to>
      <xdr:col>13</xdr:col>
      <xdr:colOff>47625</xdr:colOff>
      <xdr:row>15</xdr:row>
      <xdr:rowOff>1257300</xdr:rowOff>
    </xdr:to>
    <xdr:grpSp>
      <xdr:nvGrpSpPr>
        <xdr:cNvPr id="1186" name="Group 162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GrpSpPr>
          <a:grpSpLocks/>
        </xdr:cNvGrpSpPr>
      </xdr:nvGrpSpPr>
      <xdr:grpSpPr bwMode="auto">
        <a:xfrm rot="16200000">
          <a:off x="3543300" y="6162675"/>
          <a:ext cx="266700" cy="152400"/>
          <a:chOff x="248" y="601"/>
          <a:chExt cx="28" cy="16"/>
        </a:xfrm>
      </xdr:grpSpPr>
      <xdr:sp macro="" textlink="">
        <xdr:nvSpPr>
          <xdr:cNvPr id="1187" name="Line 163">
            <a:extLst>
              <a:ext uri="{FF2B5EF4-FFF2-40B4-BE49-F238E27FC236}">
                <a16:creationId xmlns:a16="http://schemas.microsoft.com/office/drawing/2014/main" id="{00000000-0008-0000-0100-0000A304000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8" name="Freeform 164">
            <a:extLst>
              <a:ext uri="{FF2B5EF4-FFF2-40B4-BE49-F238E27FC236}">
                <a16:creationId xmlns:a16="http://schemas.microsoft.com/office/drawing/2014/main" id="{00000000-0008-0000-0100-0000A404000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" name="Line 165">
            <a:extLst>
              <a:ext uri="{FF2B5EF4-FFF2-40B4-BE49-F238E27FC236}">
                <a16:creationId xmlns:a16="http://schemas.microsoft.com/office/drawing/2014/main" id="{00000000-0008-0000-0100-0000A504000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0" name="Freeform 166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15</xdr:row>
      <xdr:rowOff>1123950</xdr:rowOff>
    </xdr:from>
    <xdr:to>
      <xdr:col>13</xdr:col>
      <xdr:colOff>257175</xdr:colOff>
      <xdr:row>15</xdr:row>
      <xdr:rowOff>1285875</xdr:rowOff>
    </xdr:to>
    <xdr:grpSp>
      <xdr:nvGrpSpPr>
        <xdr:cNvPr id="1191" name="Group 167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GrpSpPr>
          <a:grpSpLocks/>
        </xdr:cNvGrpSpPr>
      </xdr:nvGrpSpPr>
      <xdr:grpSpPr bwMode="auto">
        <a:xfrm rot="16200000" flipH="1">
          <a:off x="3752850" y="6191250"/>
          <a:ext cx="161925" cy="257175"/>
          <a:chOff x="471" y="616"/>
          <a:chExt cx="17" cy="27"/>
        </a:xfrm>
      </xdr:grpSpPr>
      <xdr:sp macro="" textlink="">
        <xdr:nvSpPr>
          <xdr:cNvPr id="1192" name="Freeform 168">
            <a:extLst>
              <a:ext uri="{FF2B5EF4-FFF2-40B4-BE49-F238E27FC236}">
                <a16:creationId xmlns:a16="http://schemas.microsoft.com/office/drawing/2014/main" id="{00000000-0008-0000-0100-0000A8040000}"/>
              </a:ext>
            </a:extLst>
          </xdr:cNvPr>
          <xdr:cNvSpPr>
            <a:spLocks/>
          </xdr:cNvSpPr>
        </xdr:nvSpPr>
        <xdr:spPr bwMode="auto">
          <a:xfrm rot="16174775">
            <a:off x="471" y="620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" name="Line 169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4" name="Freeform 170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>
            <a:spLocks/>
          </xdr:cNvSpPr>
        </xdr:nvSpPr>
        <xdr:spPr bwMode="auto">
          <a:xfrm rot="16174775">
            <a:off x="481" y="617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5" name="Line 171">
            <a:extLst>
              <a:ext uri="{FF2B5EF4-FFF2-40B4-BE49-F238E27FC236}">
                <a16:creationId xmlns:a16="http://schemas.microsoft.com/office/drawing/2014/main" id="{00000000-0008-0000-0100-0000AB04000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19050</xdr:colOff>
      <xdr:row>15</xdr:row>
      <xdr:rowOff>342900</xdr:rowOff>
    </xdr:from>
    <xdr:to>
      <xdr:col>18</xdr:col>
      <xdr:colOff>123825</xdr:colOff>
      <xdr:row>15</xdr:row>
      <xdr:rowOff>400050</xdr:rowOff>
    </xdr:to>
    <xdr:grpSp>
      <xdr:nvGrpSpPr>
        <xdr:cNvPr id="1196" name="Group 172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GrpSpPr>
          <a:grpSpLocks/>
        </xdr:cNvGrpSpPr>
      </xdr:nvGrpSpPr>
      <xdr:grpSpPr bwMode="auto">
        <a:xfrm>
          <a:off x="4667250" y="5457825"/>
          <a:ext cx="733425" cy="57150"/>
          <a:chOff x="123" y="549"/>
          <a:chExt cx="77" cy="6"/>
        </a:xfrm>
      </xdr:grpSpPr>
      <xdr:sp macro="" textlink="">
        <xdr:nvSpPr>
          <xdr:cNvPr id="1197" name="Line 173">
            <a:extLst>
              <a:ext uri="{FF2B5EF4-FFF2-40B4-BE49-F238E27FC236}">
                <a16:creationId xmlns:a16="http://schemas.microsoft.com/office/drawing/2014/main" id="{00000000-0008-0000-0100-0000AD04000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8" name="Freeform 174">
            <a:extLst>
              <a:ext uri="{FF2B5EF4-FFF2-40B4-BE49-F238E27FC236}">
                <a16:creationId xmlns:a16="http://schemas.microsoft.com/office/drawing/2014/main" id="{00000000-0008-0000-0100-0000AE04000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9" name="Freeform 175">
            <a:extLst>
              <a:ext uri="{FF2B5EF4-FFF2-40B4-BE49-F238E27FC236}">
                <a16:creationId xmlns:a16="http://schemas.microsoft.com/office/drawing/2014/main" id="{00000000-0008-0000-0100-0000AF04000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304800</xdr:colOff>
      <xdr:row>21</xdr:row>
      <xdr:rowOff>114300</xdr:rowOff>
    </xdr:from>
    <xdr:to>
      <xdr:col>8</xdr:col>
      <xdr:colOff>171450</xdr:colOff>
      <xdr:row>21</xdr:row>
      <xdr:rowOff>114300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ShapeType="1"/>
        </xdr:cNvSpPr>
      </xdr:nvSpPr>
      <xdr:spPr bwMode="auto">
        <a:xfrm>
          <a:off x="2124075" y="7953375"/>
          <a:ext cx="1809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21</xdr:row>
      <xdr:rowOff>114300</xdr:rowOff>
    </xdr:from>
    <xdr:to>
      <xdr:col>10</xdr:col>
      <xdr:colOff>0</xdr:colOff>
      <xdr:row>21</xdr:row>
      <xdr:rowOff>114300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ShapeType="1"/>
        </xdr:cNvSpPr>
      </xdr:nvSpPr>
      <xdr:spPr bwMode="auto">
        <a:xfrm>
          <a:off x="2590800" y="7953375"/>
          <a:ext cx="171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15</xdr:row>
      <xdr:rowOff>285750</xdr:rowOff>
    </xdr:from>
    <xdr:to>
      <xdr:col>10</xdr:col>
      <xdr:colOff>219075</xdr:colOff>
      <xdr:row>15</xdr:row>
      <xdr:rowOff>428625</xdr:rowOff>
    </xdr:to>
    <xdr:sp macro="" textlink="">
      <xdr:nvSpPr>
        <xdr:cNvPr id="1208" name="Text Box 184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 txBox="1">
          <a:spLocks noChangeArrowheads="1"/>
        </xdr:cNvSpPr>
      </xdr:nvSpPr>
      <xdr:spPr bwMode="auto">
        <a:xfrm>
          <a:off x="2714625" y="5400675"/>
          <a:ext cx="2667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１Ａ</a:t>
          </a:r>
        </a:p>
      </xdr:txBody>
    </xdr:sp>
    <xdr:clientData/>
  </xdr:twoCellAnchor>
  <xdr:twoCellAnchor>
    <xdr:from>
      <xdr:col>9</xdr:col>
      <xdr:colOff>133350</xdr:colOff>
      <xdr:row>15</xdr:row>
      <xdr:rowOff>971550</xdr:rowOff>
    </xdr:from>
    <xdr:to>
      <xdr:col>10</xdr:col>
      <xdr:colOff>85725</xdr:colOff>
      <xdr:row>15</xdr:row>
      <xdr:rowOff>1114425</xdr:rowOff>
    </xdr:to>
    <xdr:sp macro="" textlink="">
      <xdr:nvSpPr>
        <xdr:cNvPr id="1209" name="Text Box 185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 txBox="1">
          <a:spLocks noChangeArrowheads="1"/>
        </xdr:cNvSpPr>
      </xdr:nvSpPr>
      <xdr:spPr bwMode="auto">
        <a:xfrm>
          <a:off x="2581275" y="6086475"/>
          <a:ext cx="2667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２Ａ</a:t>
          </a:r>
        </a:p>
      </xdr:txBody>
    </xdr:sp>
    <xdr:clientData/>
  </xdr:twoCellAnchor>
  <xdr:twoCellAnchor>
    <xdr:from>
      <xdr:col>10</xdr:col>
      <xdr:colOff>285750</xdr:colOff>
      <xdr:row>15</xdr:row>
      <xdr:rowOff>1247775</xdr:rowOff>
    </xdr:from>
    <xdr:to>
      <xdr:col>11</xdr:col>
      <xdr:colOff>238125</xdr:colOff>
      <xdr:row>15</xdr:row>
      <xdr:rowOff>1390650</xdr:rowOff>
    </xdr:to>
    <xdr:sp macro="" textlink="">
      <xdr:nvSpPr>
        <xdr:cNvPr id="1210" name="Text Box 186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 txBox="1">
          <a:spLocks noChangeArrowheads="1"/>
        </xdr:cNvSpPr>
      </xdr:nvSpPr>
      <xdr:spPr bwMode="auto">
        <a:xfrm>
          <a:off x="3048000" y="6362700"/>
          <a:ext cx="2667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３Ａ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219075</xdr:rowOff>
        </xdr:from>
        <xdr:to>
          <xdr:col>16</xdr:col>
          <xdr:colOff>209550</xdr:colOff>
          <xdr:row>11</xdr:row>
          <xdr:rowOff>104775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285750</xdr:colOff>
      <xdr:row>4</xdr:row>
      <xdr:rowOff>0</xdr:rowOff>
    </xdr:from>
    <xdr:to>
      <xdr:col>21</xdr:col>
      <xdr:colOff>190500</xdr:colOff>
      <xdr:row>7</xdr:row>
      <xdr:rowOff>9525</xdr:rowOff>
    </xdr:to>
    <xdr:pic>
      <xdr:nvPicPr>
        <xdr:cNvPr id="1212" name="Picture 188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9525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66675</xdr:colOff>
      <xdr:row>15</xdr:row>
      <xdr:rowOff>371475</xdr:rowOff>
    </xdr:from>
    <xdr:to>
      <xdr:col>22</xdr:col>
      <xdr:colOff>285750</xdr:colOff>
      <xdr:row>15</xdr:row>
      <xdr:rowOff>1066800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54864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U18" sqref="U18"/>
    </sheetView>
  </sheetViews>
  <sheetFormatPr defaultRowHeight="12" x14ac:dyDescent="0.15"/>
  <cols>
    <col min="1" max="1" width="7.5" style="53" bestFit="1" customWidth="1"/>
    <col min="2" max="2" width="2.25" style="71" bestFit="1" customWidth="1"/>
    <col min="3" max="3" width="5.25" style="71" bestFit="1" customWidth="1"/>
    <col min="4" max="4" width="2.25" style="74" bestFit="1" customWidth="1"/>
    <col min="5" max="24" width="4.125" style="37" customWidth="1"/>
    <col min="25" max="16384" width="9" style="37"/>
  </cols>
  <sheetData>
    <row r="1" spans="1:30" ht="15" customHeight="1" x14ac:dyDescent="0.15">
      <c r="A1" s="77" t="s">
        <v>0</v>
      </c>
      <c r="B1" s="109"/>
      <c r="C1" s="109"/>
      <c r="D1" s="109"/>
      <c r="E1" s="78"/>
      <c r="F1" s="123" t="s">
        <v>59</v>
      </c>
      <c r="G1" s="124"/>
      <c r="H1" s="106" t="s">
        <v>58</v>
      </c>
      <c r="I1" s="106"/>
      <c r="J1" s="106"/>
      <c r="K1" s="106"/>
      <c r="L1" s="109" t="s">
        <v>61</v>
      </c>
      <c r="M1" s="78"/>
      <c r="N1" s="112" t="s">
        <v>54</v>
      </c>
      <c r="O1" s="78"/>
      <c r="P1" s="113">
        <v>46057</v>
      </c>
      <c r="Q1" s="114"/>
      <c r="R1" s="114"/>
      <c r="S1" s="115"/>
      <c r="T1" s="108" t="s">
        <v>3</v>
      </c>
      <c r="U1" s="108"/>
      <c r="V1" s="108" t="s">
        <v>69</v>
      </c>
      <c r="W1" s="108"/>
      <c r="X1" s="108"/>
    </row>
    <row r="2" spans="1:30" ht="7.5" customHeight="1" x14ac:dyDescent="0.15">
      <c r="A2" s="122"/>
      <c r="B2" s="110"/>
      <c r="C2" s="110"/>
      <c r="D2" s="110"/>
      <c r="E2" s="111"/>
      <c r="F2" s="125"/>
      <c r="G2" s="126"/>
      <c r="H2" s="107"/>
      <c r="I2" s="107"/>
      <c r="J2" s="107"/>
      <c r="K2" s="107"/>
      <c r="L2" s="110"/>
      <c r="M2" s="111"/>
      <c r="N2" s="87"/>
      <c r="O2" s="89"/>
      <c r="P2" s="116"/>
      <c r="Q2" s="117"/>
      <c r="R2" s="117"/>
      <c r="S2" s="118"/>
      <c r="T2" s="77" t="s">
        <v>6</v>
      </c>
      <c r="U2" s="78"/>
      <c r="V2" s="81">
        <v>45992</v>
      </c>
      <c r="W2" s="82"/>
      <c r="X2" s="83"/>
    </row>
    <row r="3" spans="1:30" ht="7.5" customHeight="1" x14ac:dyDescent="0.15">
      <c r="A3" s="87" t="s">
        <v>4</v>
      </c>
      <c r="B3" s="88"/>
      <c r="C3" s="88"/>
      <c r="D3" s="88"/>
      <c r="E3" s="89"/>
      <c r="F3" s="91" t="s">
        <v>60</v>
      </c>
      <c r="G3" s="92"/>
      <c r="H3" s="95" t="s">
        <v>58</v>
      </c>
      <c r="I3" s="95"/>
      <c r="J3" s="95"/>
      <c r="K3" s="95"/>
      <c r="L3" s="97" t="s">
        <v>55</v>
      </c>
      <c r="M3" s="98"/>
      <c r="N3" s="87"/>
      <c r="O3" s="89"/>
      <c r="P3" s="101">
        <v>0.23125000000000001</v>
      </c>
      <c r="Q3" s="102"/>
      <c r="R3" s="102"/>
      <c r="S3" s="105" t="s">
        <v>52</v>
      </c>
      <c r="T3" s="79"/>
      <c r="U3" s="80"/>
      <c r="V3" s="84"/>
      <c r="W3" s="85"/>
      <c r="X3" s="86"/>
    </row>
    <row r="4" spans="1:30" ht="15" customHeight="1" x14ac:dyDescent="0.15">
      <c r="A4" s="79"/>
      <c r="B4" s="90"/>
      <c r="C4" s="90"/>
      <c r="D4" s="90"/>
      <c r="E4" s="80"/>
      <c r="F4" s="93"/>
      <c r="G4" s="94"/>
      <c r="H4" s="96"/>
      <c r="I4" s="96"/>
      <c r="J4" s="96"/>
      <c r="K4" s="96"/>
      <c r="L4" s="99"/>
      <c r="M4" s="100"/>
      <c r="N4" s="79"/>
      <c r="O4" s="80"/>
      <c r="P4" s="103"/>
      <c r="Q4" s="104"/>
      <c r="R4" s="104"/>
      <c r="S4" s="80"/>
      <c r="T4" s="108" t="s">
        <v>56</v>
      </c>
      <c r="U4" s="108"/>
      <c r="V4" s="108" t="s">
        <v>68</v>
      </c>
      <c r="W4" s="108"/>
      <c r="X4" s="108"/>
      <c r="Z4" s="38" t="s">
        <v>57</v>
      </c>
      <c r="AA4" s="39">
        <v>1698</v>
      </c>
    </row>
    <row r="5" spans="1:30" ht="18" customHeight="1" x14ac:dyDescent="0.15">
      <c r="A5" s="140"/>
      <c r="B5" s="141"/>
      <c r="C5" s="141"/>
      <c r="D5" s="141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1"/>
    </row>
    <row r="6" spans="1:30" ht="18" customHeight="1" x14ac:dyDescent="0.15">
      <c r="A6" s="137"/>
      <c r="B6" s="138"/>
      <c r="C6" s="138"/>
      <c r="D6" s="138"/>
      <c r="X6" s="52"/>
    </row>
    <row r="7" spans="1:30" ht="18" customHeight="1" x14ac:dyDescent="0.15">
      <c r="A7" s="137"/>
      <c r="B7" s="138"/>
      <c r="C7" s="138"/>
      <c r="D7" s="138"/>
      <c r="X7" s="52"/>
    </row>
    <row r="8" spans="1:30" ht="18" customHeight="1" x14ac:dyDescent="0.15">
      <c r="A8" s="137"/>
      <c r="B8" s="138"/>
      <c r="C8" s="138"/>
      <c r="D8" s="138"/>
      <c r="X8" s="52"/>
    </row>
    <row r="9" spans="1:30" ht="18" customHeight="1" x14ac:dyDescent="0.15">
      <c r="A9" s="137"/>
      <c r="B9" s="138"/>
      <c r="C9" s="138"/>
      <c r="D9" s="138"/>
      <c r="X9" s="52"/>
    </row>
    <row r="10" spans="1:30" ht="147.75" customHeight="1" x14ac:dyDescent="0.15">
      <c r="A10" s="137"/>
      <c r="B10" s="138"/>
      <c r="C10" s="138"/>
      <c r="D10" s="138"/>
      <c r="X10" s="52"/>
    </row>
    <row r="11" spans="1:30" ht="18" customHeight="1" x14ac:dyDescent="0.15">
      <c r="A11" s="137"/>
      <c r="B11" s="138"/>
      <c r="C11" s="138"/>
      <c r="D11" s="138"/>
      <c r="X11" s="52"/>
    </row>
    <row r="12" spans="1:30" ht="18" customHeight="1" x14ac:dyDescent="0.15">
      <c r="A12" s="137"/>
      <c r="B12" s="138"/>
      <c r="C12" s="138"/>
      <c r="D12" s="138"/>
      <c r="X12" s="52"/>
    </row>
    <row r="13" spans="1:30" ht="18" customHeight="1" x14ac:dyDescent="0.15">
      <c r="A13" s="130"/>
      <c r="B13" s="131"/>
      <c r="C13" s="139"/>
      <c r="D13" s="139"/>
      <c r="E13" s="53"/>
      <c r="F13" s="53"/>
      <c r="G13" s="53"/>
      <c r="H13" s="53"/>
      <c r="I13" s="53"/>
      <c r="X13" s="52"/>
    </row>
    <row r="14" spans="1:30" ht="18" customHeight="1" x14ac:dyDescent="0.15">
      <c r="A14" s="130"/>
      <c r="B14" s="131"/>
      <c r="C14" s="132"/>
      <c r="D14" s="132"/>
      <c r="X14" s="52"/>
      <c r="Z14" s="37">
        <v>50</v>
      </c>
      <c r="AA14" s="37">
        <f>Z14/3.6</f>
        <v>13.888888888888889</v>
      </c>
      <c r="AC14" s="75">
        <v>48.6</v>
      </c>
      <c r="AD14" s="75">
        <f>AC14/AA14</f>
        <v>3.4992000000000001</v>
      </c>
    </row>
    <row r="15" spans="1:30" ht="18" customHeight="1" x14ac:dyDescent="0.15">
      <c r="A15" s="133"/>
      <c r="B15" s="134"/>
      <c r="C15" s="135"/>
      <c r="D15" s="135"/>
      <c r="E15" s="54"/>
      <c r="F15" s="54"/>
      <c r="G15" s="54"/>
      <c r="H15" s="54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76"/>
      <c r="Z15" s="37">
        <v>40</v>
      </c>
      <c r="AA15" s="37">
        <f>Z15/3.6</f>
        <v>11.111111111111111</v>
      </c>
      <c r="AC15" s="75">
        <v>40.700000000000003</v>
      </c>
      <c r="AD15" s="75">
        <f>AC15/AA15</f>
        <v>3.6630000000000003</v>
      </c>
    </row>
    <row r="16" spans="1:30" s="49" customFormat="1" ht="18" customHeight="1" x14ac:dyDescent="0.15">
      <c r="A16" s="136" t="s">
        <v>7</v>
      </c>
      <c r="B16" s="136"/>
      <c r="C16" s="136"/>
      <c r="D16" s="136"/>
      <c r="E16" s="56">
        <v>1</v>
      </c>
      <c r="F16" s="56">
        <v>2</v>
      </c>
      <c r="G16" s="56">
        <v>3</v>
      </c>
      <c r="H16" s="56">
        <v>4</v>
      </c>
      <c r="I16" s="56">
        <v>5</v>
      </c>
      <c r="J16" s="56">
        <v>6</v>
      </c>
      <c r="K16" s="56">
        <v>7</v>
      </c>
      <c r="L16" s="56">
        <v>8</v>
      </c>
      <c r="M16" s="56">
        <v>9</v>
      </c>
      <c r="N16" s="56">
        <v>10</v>
      </c>
      <c r="O16" s="56">
        <v>11</v>
      </c>
      <c r="P16" s="56">
        <v>12</v>
      </c>
      <c r="Q16" s="56">
        <v>13</v>
      </c>
      <c r="R16" s="57">
        <v>14</v>
      </c>
      <c r="S16" s="56">
        <v>15</v>
      </c>
      <c r="T16" s="56">
        <v>16</v>
      </c>
      <c r="U16" s="56">
        <v>17</v>
      </c>
      <c r="V16" s="56">
        <v>18</v>
      </c>
      <c r="W16" s="56">
        <v>19</v>
      </c>
      <c r="X16" s="56">
        <v>20</v>
      </c>
    </row>
    <row r="17" spans="1:25" s="53" customFormat="1" ht="18" customHeight="1" x14ac:dyDescent="0.15">
      <c r="A17" s="136" t="s">
        <v>8</v>
      </c>
      <c r="B17" s="136"/>
      <c r="C17" s="136"/>
      <c r="D17" s="136"/>
      <c r="E17" s="58" t="s">
        <v>9</v>
      </c>
      <c r="F17" s="58" t="s">
        <v>10</v>
      </c>
      <c r="G17" s="58" t="s">
        <v>11</v>
      </c>
      <c r="H17" s="58" t="s">
        <v>12</v>
      </c>
      <c r="I17" s="58" t="s">
        <v>51</v>
      </c>
      <c r="J17" s="58" t="s">
        <v>13</v>
      </c>
      <c r="K17" s="58" t="s">
        <v>14</v>
      </c>
      <c r="L17" s="58" t="s">
        <v>15</v>
      </c>
      <c r="M17" s="58" t="s">
        <v>16</v>
      </c>
      <c r="N17" s="58" t="s">
        <v>17</v>
      </c>
      <c r="O17" s="58" t="s">
        <v>18</v>
      </c>
      <c r="P17" s="58" t="s">
        <v>19</v>
      </c>
      <c r="Q17" s="58" t="s">
        <v>20</v>
      </c>
      <c r="R17" s="58" t="s">
        <v>21</v>
      </c>
      <c r="S17" s="58" t="s">
        <v>22</v>
      </c>
      <c r="T17" s="58" t="s">
        <v>23</v>
      </c>
      <c r="U17" s="58"/>
      <c r="V17" s="59"/>
      <c r="W17" s="59"/>
      <c r="X17" s="59"/>
    </row>
    <row r="18" spans="1:25" s="53" customFormat="1" ht="125.1" customHeight="1" x14ac:dyDescent="0.15">
      <c r="A18" s="119"/>
      <c r="B18" s="120"/>
      <c r="C18" s="120"/>
      <c r="D18" s="121"/>
      <c r="E18" s="60"/>
      <c r="F18" s="61"/>
      <c r="G18" s="61"/>
      <c r="H18" s="61"/>
      <c r="I18" s="61"/>
      <c r="J18" s="60"/>
      <c r="K18" s="61"/>
      <c r="L18" s="62"/>
      <c r="M18" s="61"/>
      <c r="N18" s="61"/>
      <c r="O18" s="62"/>
      <c r="P18" s="60"/>
      <c r="Q18" s="61"/>
      <c r="R18" s="61"/>
      <c r="S18" s="61"/>
      <c r="T18" s="62"/>
      <c r="U18" s="61"/>
      <c r="V18" s="61"/>
      <c r="W18" s="61"/>
      <c r="X18" s="62"/>
      <c r="Y18" s="63"/>
    </row>
    <row r="19" spans="1:25" ht="18" customHeight="1" x14ac:dyDescent="0.15">
      <c r="A19" s="119" t="s">
        <v>64</v>
      </c>
      <c r="B19" s="120"/>
      <c r="C19" s="120" t="s">
        <v>25</v>
      </c>
      <c r="D19" s="121"/>
      <c r="E19" s="64"/>
      <c r="F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45"/>
      <c r="W19" s="45"/>
      <c r="X19" s="45"/>
    </row>
    <row r="20" spans="1:25" ht="18" customHeight="1" x14ac:dyDescent="0.15">
      <c r="A20" s="119" t="s">
        <v>26</v>
      </c>
      <c r="B20" s="120"/>
      <c r="C20" s="120" t="s">
        <v>27</v>
      </c>
      <c r="D20" s="121"/>
      <c r="E20" s="64"/>
      <c r="F20" s="64"/>
      <c r="G20" s="45"/>
      <c r="H20" s="64"/>
      <c r="I20" s="4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45"/>
      <c r="W20" s="45"/>
      <c r="X20" s="45"/>
    </row>
    <row r="21" spans="1:25" ht="18" customHeight="1" x14ac:dyDescent="0.15">
      <c r="A21" s="119" t="s">
        <v>41</v>
      </c>
      <c r="B21" s="120"/>
      <c r="C21" s="120" t="s">
        <v>46</v>
      </c>
      <c r="D21" s="121"/>
      <c r="E21" s="65"/>
      <c r="F21" s="65"/>
      <c r="H21" s="65"/>
      <c r="I21" s="6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5" ht="18" customHeight="1" x14ac:dyDescent="0.15">
      <c r="A22" s="119" t="s">
        <v>28</v>
      </c>
      <c r="B22" s="120"/>
      <c r="C22" s="120" t="s">
        <v>29</v>
      </c>
      <c r="D22" s="121"/>
      <c r="E22" s="45"/>
      <c r="F22" s="45"/>
      <c r="G22" s="45"/>
      <c r="H22" s="45"/>
      <c r="I22" s="45"/>
      <c r="J22" s="45"/>
      <c r="K22" s="45"/>
      <c r="L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5" ht="18" customHeight="1" x14ac:dyDescent="0.15">
      <c r="A23" s="119" t="s">
        <v>42</v>
      </c>
      <c r="B23" s="120"/>
      <c r="C23" s="120" t="s">
        <v>47</v>
      </c>
      <c r="D23" s="121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5" ht="18" customHeight="1" x14ac:dyDescent="0.15">
      <c r="A24" s="119" t="s">
        <v>65</v>
      </c>
      <c r="B24" s="120"/>
      <c r="C24" s="120" t="s">
        <v>48</v>
      </c>
      <c r="D24" s="121"/>
      <c r="E24" s="45"/>
      <c r="F24" s="45"/>
      <c r="G24" s="45"/>
      <c r="H24" s="45"/>
      <c r="I24" s="66"/>
      <c r="J24" s="67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5" ht="18" customHeight="1" x14ac:dyDescent="0.15">
      <c r="A25" s="119" t="s">
        <v>66</v>
      </c>
      <c r="B25" s="120"/>
      <c r="C25" s="120" t="s">
        <v>49</v>
      </c>
      <c r="D25" s="121"/>
      <c r="E25" s="64"/>
      <c r="F25" s="64"/>
      <c r="G25" s="64"/>
      <c r="H25" s="64"/>
      <c r="I25" s="68"/>
      <c r="J25" s="69"/>
      <c r="K25" s="69"/>
      <c r="L25" s="69"/>
      <c r="M25" s="67"/>
      <c r="N25" s="64"/>
      <c r="O25" s="64"/>
      <c r="P25" s="64"/>
      <c r="Q25" s="64"/>
      <c r="R25" s="64"/>
      <c r="S25" s="64"/>
      <c r="T25" s="64"/>
      <c r="U25" s="64"/>
      <c r="V25" s="45"/>
      <c r="W25" s="45"/>
      <c r="X25" s="45"/>
    </row>
    <row r="26" spans="1:25" ht="18" customHeight="1" x14ac:dyDescent="0.15">
      <c r="A26" s="119" t="s">
        <v>67</v>
      </c>
      <c r="B26" s="120"/>
      <c r="C26" s="120" t="s">
        <v>50</v>
      </c>
      <c r="D26" s="121"/>
      <c r="E26" s="45"/>
      <c r="F26" s="45"/>
      <c r="G26" s="45"/>
      <c r="H26" s="45"/>
      <c r="I26" s="45"/>
      <c r="J26" s="66"/>
      <c r="K26" s="69"/>
      <c r="L26" s="69"/>
      <c r="M26" s="69"/>
      <c r="N26" s="69"/>
      <c r="O26" s="67"/>
      <c r="P26" s="45"/>
      <c r="Q26" s="45"/>
      <c r="R26" s="45"/>
      <c r="S26" s="45"/>
      <c r="T26" s="45"/>
      <c r="U26" s="45"/>
      <c r="V26" s="45"/>
      <c r="W26" s="45"/>
      <c r="X26" s="45"/>
    </row>
    <row r="27" spans="1:25" ht="18" customHeight="1" x14ac:dyDescent="0.15">
      <c r="A27" s="119"/>
      <c r="B27" s="120"/>
      <c r="C27" s="120"/>
      <c r="D27" s="121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25" ht="18" customHeight="1" x14ac:dyDescent="0.15">
      <c r="A28" s="127"/>
      <c r="B28" s="128"/>
      <c r="C28" s="128"/>
      <c r="D28" s="129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25" ht="18" customHeight="1" x14ac:dyDescent="0.15">
      <c r="A29" s="127"/>
      <c r="B29" s="128"/>
      <c r="C29" s="128"/>
      <c r="D29" s="129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5" ht="18" customHeight="1" x14ac:dyDescent="0.15">
      <c r="A30" s="127"/>
      <c r="B30" s="128"/>
      <c r="C30" s="128"/>
      <c r="D30" s="129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25" ht="18" customHeight="1" x14ac:dyDescent="0.15">
      <c r="A31" s="127"/>
      <c r="B31" s="128"/>
      <c r="C31" s="128"/>
      <c r="D31" s="129"/>
      <c r="E31" s="45"/>
      <c r="F31" s="45"/>
      <c r="G31" s="70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spans="1:25" ht="18" customHeight="1" x14ac:dyDescent="0.15">
      <c r="A32" s="127"/>
      <c r="B32" s="128"/>
      <c r="C32" s="128"/>
      <c r="D32" s="129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spans="1:27" ht="18" customHeight="1" x14ac:dyDescent="0.15">
      <c r="A33" s="40" t="s">
        <v>62</v>
      </c>
      <c r="B33" s="41"/>
      <c r="C33" s="42"/>
      <c r="D33" s="72"/>
      <c r="E33" s="43">
        <v>109</v>
      </c>
      <c r="F33" s="43"/>
      <c r="G33" s="43"/>
      <c r="H33" s="43"/>
      <c r="I33" s="43"/>
      <c r="J33" s="43">
        <v>109</v>
      </c>
      <c r="K33" s="43"/>
      <c r="L33" s="44"/>
      <c r="M33" s="43">
        <v>109</v>
      </c>
      <c r="N33" s="43"/>
      <c r="O33" s="43"/>
      <c r="P33" s="43">
        <v>109</v>
      </c>
      <c r="Q33" s="43"/>
      <c r="R33" s="43"/>
      <c r="S33" s="45"/>
      <c r="T33" s="45"/>
      <c r="U33" s="45"/>
      <c r="V33" s="45"/>
      <c r="W33" s="45"/>
      <c r="X33" s="45"/>
    </row>
    <row r="34" spans="1:27" ht="18" customHeight="1" x14ac:dyDescent="0.15">
      <c r="A34" s="46" t="s">
        <v>63</v>
      </c>
      <c r="B34" s="47" t="s">
        <v>31</v>
      </c>
      <c r="C34" s="48">
        <f>SUM(E34:X34)</f>
        <v>80</v>
      </c>
      <c r="D34" s="73" t="s">
        <v>32</v>
      </c>
      <c r="E34" s="43">
        <v>20</v>
      </c>
      <c r="F34" s="43">
        <v>7</v>
      </c>
      <c r="G34" s="43">
        <v>2</v>
      </c>
      <c r="H34" s="43">
        <v>3</v>
      </c>
      <c r="I34" s="43">
        <v>3</v>
      </c>
      <c r="J34" s="43">
        <v>5</v>
      </c>
      <c r="K34" s="43">
        <v>2</v>
      </c>
      <c r="L34" s="43">
        <v>3</v>
      </c>
      <c r="M34" s="43">
        <v>5</v>
      </c>
      <c r="N34" s="43">
        <v>2</v>
      </c>
      <c r="O34" s="43">
        <v>3</v>
      </c>
      <c r="P34" s="43">
        <v>8</v>
      </c>
      <c r="Q34" s="43">
        <v>8</v>
      </c>
      <c r="R34" s="43">
        <v>2</v>
      </c>
      <c r="S34" s="43">
        <v>3</v>
      </c>
      <c r="T34" s="43">
        <v>4</v>
      </c>
      <c r="U34" s="45"/>
      <c r="V34" s="45"/>
      <c r="W34" s="45"/>
      <c r="X34" s="45"/>
      <c r="Z34" s="49">
        <v>150</v>
      </c>
      <c r="AA34" s="49">
        <f>Z34-INT(Z34/8)-3</f>
        <v>129</v>
      </c>
    </row>
    <row r="35" spans="1:27" ht="18" customHeight="1" x14ac:dyDescent="0.15">
      <c r="A35" s="46" t="s">
        <v>30</v>
      </c>
      <c r="B35" s="47" t="s">
        <v>31</v>
      </c>
      <c r="C35" s="48">
        <f>SUM(E35:X35)</f>
        <v>150</v>
      </c>
      <c r="D35" s="73" t="s">
        <v>32</v>
      </c>
      <c r="E35" s="56">
        <v>83</v>
      </c>
      <c r="F35" s="56">
        <v>7</v>
      </c>
      <c r="G35" s="56">
        <v>2</v>
      </c>
      <c r="H35" s="56">
        <v>3</v>
      </c>
      <c r="I35" s="56">
        <v>3</v>
      </c>
      <c r="J35" s="56">
        <v>7</v>
      </c>
      <c r="K35" s="56">
        <v>2</v>
      </c>
      <c r="L35" s="56">
        <v>3</v>
      </c>
      <c r="M35" s="56">
        <v>6</v>
      </c>
      <c r="N35" s="56">
        <v>2</v>
      </c>
      <c r="O35" s="56">
        <v>3</v>
      </c>
      <c r="P35" s="56">
        <v>12</v>
      </c>
      <c r="Q35" s="56">
        <v>8</v>
      </c>
      <c r="R35" s="56">
        <v>2</v>
      </c>
      <c r="S35" s="56">
        <v>3</v>
      </c>
      <c r="T35" s="56">
        <v>4</v>
      </c>
      <c r="U35" s="56"/>
      <c r="V35" s="56"/>
      <c r="W35" s="56"/>
      <c r="X35" s="56"/>
      <c r="Z35" s="49">
        <v>150</v>
      </c>
      <c r="AA35" s="49">
        <f>Z35-INT(Z35/8)-3</f>
        <v>129</v>
      </c>
    </row>
    <row r="36" spans="1:27" ht="18" customHeight="1" x14ac:dyDescent="0.15">
      <c r="A36" s="119" t="s">
        <v>33</v>
      </c>
      <c r="B36" s="120"/>
      <c r="C36" s="120"/>
      <c r="D36" s="121"/>
      <c r="E36" s="56">
        <v>110</v>
      </c>
      <c r="F36" s="56">
        <v>110</v>
      </c>
      <c r="G36" s="56">
        <v>110</v>
      </c>
      <c r="H36" s="56">
        <v>10</v>
      </c>
      <c r="I36" s="56">
        <v>110</v>
      </c>
      <c r="J36" s="56">
        <v>110</v>
      </c>
      <c r="K36" s="56">
        <v>10</v>
      </c>
      <c r="L36" s="56">
        <v>10</v>
      </c>
      <c r="M36" s="56">
        <v>110</v>
      </c>
      <c r="N36" s="56">
        <v>10</v>
      </c>
      <c r="O36" s="56">
        <v>10</v>
      </c>
      <c r="P36" s="56">
        <v>110</v>
      </c>
      <c r="Q36" s="56">
        <v>110</v>
      </c>
      <c r="R36" s="56">
        <v>110</v>
      </c>
      <c r="S36" s="56">
        <v>10</v>
      </c>
      <c r="T36" s="56">
        <v>10</v>
      </c>
      <c r="U36" s="56"/>
      <c r="V36" s="56"/>
      <c r="W36" s="56"/>
      <c r="X36" s="56"/>
    </row>
    <row r="37" spans="1:27" ht="18" customHeight="1" x14ac:dyDescent="0.15">
      <c r="A37" s="119" t="s">
        <v>34</v>
      </c>
      <c r="B37" s="120"/>
      <c r="C37" s="120"/>
      <c r="D37" s="121"/>
      <c r="E37" s="56">
        <v>6</v>
      </c>
      <c r="F37" s="56">
        <v>0.95</v>
      </c>
      <c r="G37" s="56">
        <v>0.95</v>
      </c>
      <c r="H37" s="56">
        <v>0.95</v>
      </c>
      <c r="I37" s="56">
        <v>0.95</v>
      </c>
      <c r="J37" s="56">
        <v>0.95</v>
      </c>
      <c r="K37" s="56">
        <v>0.95</v>
      </c>
      <c r="L37" s="56">
        <v>0.95</v>
      </c>
      <c r="M37" s="56">
        <v>0.95</v>
      </c>
      <c r="N37" s="56">
        <v>0.95</v>
      </c>
      <c r="O37" s="56">
        <v>0.95</v>
      </c>
      <c r="P37" s="56">
        <v>6</v>
      </c>
      <c r="Q37" s="56">
        <v>0.95</v>
      </c>
      <c r="R37" s="56">
        <v>0.95</v>
      </c>
      <c r="S37" s="56">
        <v>0.95</v>
      </c>
      <c r="T37" s="56">
        <v>0.95</v>
      </c>
      <c r="U37" s="56"/>
      <c r="V37" s="56"/>
      <c r="W37" s="56"/>
      <c r="X37" s="56"/>
    </row>
    <row r="38" spans="1:27" ht="18" customHeight="1" x14ac:dyDescent="0.15">
      <c r="A38" s="119" t="s">
        <v>35</v>
      </c>
      <c r="B38" s="120"/>
      <c r="C38" s="120"/>
      <c r="D38" s="121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P1:S2"/>
    <mergeCell ref="T1:U1"/>
  </mergeCells>
  <phoneticPr fontId="2"/>
  <pageMargins left="0.78740157480314965" right="0" top="0.39370078740157483" bottom="0" header="0.23622047244094491" footer="0.31496062992125984"/>
  <pageSetup paperSize="9" scale="9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9"/>
  <dimension ref="A1:Y36"/>
  <sheetViews>
    <sheetView topLeftCell="A9" zoomScaleNormal="100" workbookViewId="0">
      <selection sqref="A1:E1"/>
    </sheetView>
  </sheetViews>
  <sheetFormatPr defaultRowHeight="11.25" x14ac:dyDescent="0.15"/>
  <cols>
    <col min="1" max="1" width="5.125" style="31" customWidth="1"/>
    <col min="2" max="2" width="0.875" style="31" customWidth="1"/>
    <col min="3" max="3" width="4.625" style="31" customWidth="1"/>
    <col min="4" max="4" width="0.875" style="31" customWidth="1"/>
    <col min="5" max="24" width="4.125" style="3" customWidth="1"/>
    <col min="25" max="16384" width="9" style="3"/>
  </cols>
  <sheetData>
    <row r="1" spans="1:25" ht="20.100000000000001" customHeight="1" x14ac:dyDescent="0.15">
      <c r="A1" s="148" t="s">
        <v>0</v>
      </c>
      <c r="B1" s="148"/>
      <c r="C1" s="148"/>
      <c r="D1" s="148"/>
      <c r="E1" s="148"/>
      <c r="F1" s="149" t="s">
        <v>38</v>
      </c>
      <c r="G1" s="150"/>
      <c r="H1" s="162" t="s">
        <v>1</v>
      </c>
      <c r="I1" s="163"/>
      <c r="J1" s="163"/>
      <c r="K1" s="163"/>
      <c r="L1" s="163"/>
      <c r="M1" s="163"/>
      <c r="N1" s="164" t="s">
        <v>2</v>
      </c>
      <c r="O1" s="164"/>
      <c r="P1" s="143">
        <v>38042</v>
      </c>
      <c r="Q1" s="144"/>
      <c r="R1" s="144"/>
      <c r="S1" s="144"/>
      <c r="T1" s="161" t="s">
        <v>3</v>
      </c>
      <c r="U1" s="161"/>
      <c r="V1" s="154" t="s">
        <v>53</v>
      </c>
      <c r="W1" s="154"/>
      <c r="X1" s="154"/>
    </row>
    <row r="2" spans="1:25" ht="20.100000000000001" customHeight="1" x14ac:dyDescent="0.15">
      <c r="A2" s="155" t="s">
        <v>4</v>
      </c>
      <c r="B2" s="155"/>
      <c r="C2" s="155"/>
      <c r="D2" s="155"/>
      <c r="E2" s="155"/>
      <c r="F2" s="156" t="s">
        <v>39</v>
      </c>
      <c r="G2" s="157"/>
      <c r="H2" s="32" t="s">
        <v>1</v>
      </c>
      <c r="I2" s="32"/>
      <c r="J2" s="32"/>
      <c r="K2" s="32"/>
      <c r="L2" s="33" t="s">
        <v>40</v>
      </c>
      <c r="M2" s="34"/>
      <c r="N2" s="155" t="s">
        <v>5</v>
      </c>
      <c r="O2" s="155"/>
      <c r="P2" s="158">
        <v>0.6875</v>
      </c>
      <c r="Q2" s="159"/>
      <c r="R2" s="160"/>
      <c r="S2" s="36" t="s">
        <v>52</v>
      </c>
      <c r="T2" s="161" t="s">
        <v>6</v>
      </c>
      <c r="U2" s="161"/>
      <c r="V2" s="154">
        <v>2004.1</v>
      </c>
      <c r="W2" s="154"/>
      <c r="X2" s="154"/>
    </row>
    <row r="3" spans="1:25" ht="18" customHeight="1" x14ac:dyDescent="0.15">
      <c r="A3" s="151"/>
      <c r="B3" s="152"/>
      <c r="C3" s="152"/>
      <c r="D3" s="15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3"/>
      <c r="B4" s="142"/>
      <c r="C4" s="142"/>
      <c r="D4" s="142"/>
      <c r="X4" s="8"/>
    </row>
    <row r="5" spans="1:25" ht="18" customHeight="1" x14ac:dyDescent="0.15">
      <c r="A5" s="153"/>
      <c r="B5" s="142"/>
      <c r="C5" s="142"/>
      <c r="D5" s="142"/>
      <c r="X5" s="8"/>
    </row>
    <row r="6" spans="1:25" ht="18" customHeight="1" x14ac:dyDescent="0.15">
      <c r="A6" s="153"/>
      <c r="B6" s="142"/>
      <c r="C6" s="142"/>
      <c r="D6" s="142"/>
      <c r="X6" s="8"/>
    </row>
    <row r="7" spans="1:25" ht="18" customHeight="1" x14ac:dyDescent="0.15">
      <c r="A7" s="153"/>
      <c r="B7" s="142"/>
      <c r="C7" s="142"/>
      <c r="D7" s="142"/>
      <c r="X7" s="8"/>
    </row>
    <row r="8" spans="1:25" ht="147.75" customHeight="1" x14ac:dyDescent="0.15">
      <c r="A8" s="153"/>
      <c r="B8" s="142"/>
      <c r="C8" s="142"/>
      <c r="D8" s="142"/>
      <c r="X8" s="8"/>
    </row>
    <row r="9" spans="1:25" ht="18" customHeight="1" x14ac:dyDescent="0.15">
      <c r="A9" s="153"/>
      <c r="B9" s="142"/>
      <c r="C9" s="142"/>
      <c r="D9" s="142"/>
      <c r="X9" s="8"/>
    </row>
    <row r="10" spans="1:25" ht="18" customHeight="1" x14ac:dyDescent="0.15">
      <c r="A10" s="153"/>
      <c r="B10" s="142"/>
      <c r="C10" s="142"/>
      <c r="D10" s="142"/>
      <c r="X10" s="8"/>
    </row>
    <row r="11" spans="1:25" ht="18" customHeight="1" x14ac:dyDescent="0.15">
      <c r="A11" s="165"/>
      <c r="B11" s="166"/>
      <c r="C11" s="169"/>
      <c r="D11" s="169"/>
      <c r="E11" s="9"/>
      <c r="F11" s="9"/>
      <c r="G11" s="9"/>
      <c r="H11" s="9"/>
      <c r="I11" s="9"/>
      <c r="X11" s="8"/>
    </row>
    <row r="12" spans="1:25" ht="18" customHeight="1" x14ac:dyDescent="0.15">
      <c r="A12" s="165"/>
      <c r="B12" s="166"/>
      <c r="C12" s="167"/>
      <c r="D12" s="167"/>
      <c r="X12" s="8"/>
    </row>
    <row r="13" spans="1:25" ht="18" customHeight="1" x14ac:dyDescent="0.15">
      <c r="A13" s="157"/>
      <c r="B13" s="170"/>
      <c r="C13" s="168"/>
      <c r="D13" s="168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4"/>
    </row>
    <row r="14" spans="1:25" s="13" customFormat="1" ht="18" customHeight="1" x14ac:dyDescent="0.15">
      <c r="A14" s="174" t="s">
        <v>7</v>
      </c>
      <c r="B14" s="174"/>
      <c r="C14" s="174"/>
      <c r="D14" s="17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9" customFormat="1" ht="18" customHeight="1" x14ac:dyDescent="0.15">
      <c r="A15" s="174" t="s">
        <v>8</v>
      </c>
      <c r="B15" s="174"/>
      <c r="C15" s="174"/>
      <c r="D15" s="174"/>
      <c r="E15" s="14" t="s">
        <v>9</v>
      </c>
      <c r="F15" s="14" t="s">
        <v>10</v>
      </c>
      <c r="G15" s="14" t="s">
        <v>11</v>
      </c>
      <c r="H15" s="14" t="s">
        <v>12</v>
      </c>
      <c r="I15" s="14" t="s">
        <v>51</v>
      </c>
      <c r="J15" s="14" t="s">
        <v>13</v>
      </c>
      <c r="K15" s="14" t="s">
        <v>14</v>
      </c>
      <c r="L15" s="14" t="s">
        <v>15</v>
      </c>
      <c r="M15" s="14" t="s">
        <v>16</v>
      </c>
      <c r="N15" s="14" t="s">
        <v>17</v>
      </c>
      <c r="O15" s="14" t="s">
        <v>18</v>
      </c>
      <c r="P15" s="14" t="s">
        <v>19</v>
      </c>
      <c r="Q15" s="14" t="s">
        <v>20</v>
      </c>
      <c r="R15" s="14" t="s">
        <v>21</v>
      </c>
      <c r="S15" s="14" t="s">
        <v>22</v>
      </c>
      <c r="T15" s="14" t="s">
        <v>23</v>
      </c>
      <c r="U15" s="14"/>
      <c r="V15" s="15"/>
      <c r="W15" s="15"/>
      <c r="X15" s="15"/>
    </row>
    <row r="16" spans="1:25" s="9" customFormat="1" ht="125.1" customHeight="1" x14ac:dyDescent="0.15">
      <c r="A16" s="145"/>
      <c r="B16" s="146"/>
      <c r="C16" s="146"/>
      <c r="D16" s="147"/>
      <c r="E16" s="16"/>
      <c r="F16" s="17"/>
      <c r="G16" s="17"/>
      <c r="H16" s="17"/>
      <c r="I16" s="17"/>
      <c r="J16" s="16"/>
      <c r="K16" s="17"/>
      <c r="L16" s="18"/>
      <c r="M16" s="17"/>
      <c r="N16" s="17"/>
      <c r="O16" s="18"/>
      <c r="P16" s="16"/>
      <c r="Q16" s="17"/>
      <c r="R16" s="17"/>
      <c r="S16" s="17"/>
      <c r="T16" s="18"/>
      <c r="U16" s="17"/>
      <c r="V16" s="17"/>
      <c r="W16" s="17"/>
      <c r="X16" s="18"/>
      <c r="Y16" s="19"/>
    </row>
    <row r="17" spans="1:24" ht="18" customHeight="1" x14ac:dyDescent="0.15">
      <c r="A17" s="145" t="s">
        <v>24</v>
      </c>
      <c r="B17" s="146"/>
      <c r="C17" s="146" t="s">
        <v>25</v>
      </c>
      <c r="D17" s="147"/>
      <c r="E17" s="20"/>
      <c r="F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1"/>
      <c r="W17" s="21"/>
      <c r="X17" s="21"/>
    </row>
    <row r="18" spans="1:24" ht="18" customHeight="1" x14ac:dyDescent="0.15">
      <c r="A18" s="145" t="s">
        <v>26</v>
      </c>
      <c r="B18" s="146"/>
      <c r="C18" s="146" t="s">
        <v>27</v>
      </c>
      <c r="D18" s="147"/>
      <c r="E18" s="20"/>
      <c r="F18" s="20"/>
      <c r="G18" s="21"/>
      <c r="H18" s="20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1"/>
      <c r="W18" s="21"/>
      <c r="X18" s="21"/>
    </row>
    <row r="19" spans="1:24" ht="18" customHeight="1" x14ac:dyDescent="0.15">
      <c r="A19" s="145" t="s">
        <v>41</v>
      </c>
      <c r="B19" s="146"/>
      <c r="C19" s="146" t="s">
        <v>46</v>
      </c>
      <c r="D19" s="147"/>
      <c r="E19" s="22"/>
      <c r="F19" s="22"/>
      <c r="H19" s="22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45" t="s">
        <v>28</v>
      </c>
      <c r="B20" s="146"/>
      <c r="C20" s="146" t="s">
        <v>29</v>
      </c>
      <c r="D20" s="147"/>
      <c r="E20" s="21"/>
      <c r="F20" s="21"/>
      <c r="G20" s="21"/>
      <c r="H20" s="21"/>
      <c r="I20" s="21"/>
      <c r="J20" s="21"/>
      <c r="K20" s="21"/>
      <c r="L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8" customHeight="1" x14ac:dyDescent="0.15">
      <c r="A21" s="145" t="s">
        <v>42</v>
      </c>
      <c r="B21" s="146"/>
      <c r="C21" s="146" t="s">
        <v>47</v>
      </c>
      <c r="D21" s="147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45" t="s">
        <v>43</v>
      </c>
      <c r="B22" s="146"/>
      <c r="C22" s="146" t="s">
        <v>48</v>
      </c>
      <c r="D22" s="147"/>
      <c r="E22" s="21"/>
      <c r="F22" s="21"/>
      <c r="G22" s="21"/>
      <c r="H22" s="21"/>
      <c r="I22" s="23"/>
      <c r="J22" s="25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45" t="s">
        <v>45</v>
      </c>
      <c r="B23" s="146"/>
      <c r="C23" s="146" t="s">
        <v>49</v>
      </c>
      <c r="D23" s="147"/>
      <c r="E23" s="20"/>
      <c r="F23" s="20"/>
      <c r="G23" s="20"/>
      <c r="H23" s="20"/>
      <c r="I23" s="35"/>
      <c r="J23" s="24"/>
      <c r="K23" s="24"/>
      <c r="L23" s="24"/>
      <c r="M23" s="25"/>
      <c r="N23" s="20"/>
      <c r="O23" s="20"/>
      <c r="P23" s="20"/>
      <c r="Q23" s="20"/>
      <c r="R23" s="20"/>
      <c r="S23" s="20"/>
      <c r="T23" s="20"/>
      <c r="U23" s="20"/>
      <c r="V23" s="21"/>
      <c r="W23" s="21"/>
      <c r="X23" s="21"/>
    </row>
    <row r="24" spans="1:24" ht="18" customHeight="1" x14ac:dyDescent="0.15">
      <c r="A24" s="145" t="s">
        <v>44</v>
      </c>
      <c r="B24" s="146"/>
      <c r="C24" s="146" t="s">
        <v>50</v>
      </c>
      <c r="D24" s="147"/>
      <c r="E24" s="21"/>
      <c r="F24" s="21"/>
      <c r="G24" s="21"/>
      <c r="H24" s="21"/>
      <c r="I24" s="21"/>
      <c r="J24" s="23"/>
      <c r="K24" s="24"/>
      <c r="L24" s="24"/>
      <c r="M24" s="24"/>
      <c r="N24" s="24"/>
      <c r="O24" s="25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45"/>
      <c r="B25" s="146"/>
      <c r="C25" s="146"/>
      <c r="D25" s="14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71"/>
      <c r="B26" s="172"/>
      <c r="C26" s="172"/>
      <c r="D26" s="17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71"/>
      <c r="B27" s="172"/>
      <c r="C27" s="172"/>
      <c r="D27" s="17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71"/>
      <c r="B28" s="172"/>
      <c r="C28" s="172"/>
      <c r="D28" s="17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71"/>
      <c r="B29" s="172"/>
      <c r="C29" s="172"/>
      <c r="D29" s="173"/>
      <c r="E29" s="21"/>
      <c r="F29" s="21"/>
      <c r="G29" s="2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71"/>
      <c r="B30" s="172"/>
      <c r="C30" s="172"/>
      <c r="D30" s="17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75"/>
      <c r="B31" s="176"/>
      <c r="C31" s="176"/>
      <c r="D31" s="177"/>
      <c r="E31" s="21"/>
      <c r="F31" s="21"/>
      <c r="G31" s="21"/>
      <c r="H31" s="1"/>
      <c r="I31" s="1"/>
      <c r="J31" s="21"/>
      <c r="K31" s="21"/>
      <c r="L31" s="21"/>
      <c r="M31" s="21"/>
      <c r="N31" s="1"/>
      <c r="O31" s="2"/>
      <c r="P31" s="2"/>
      <c r="Q31" s="2"/>
      <c r="R31" s="21"/>
      <c r="S31" s="21"/>
      <c r="T31" s="21"/>
      <c r="U31" s="21"/>
      <c r="V31" s="21"/>
      <c r="W31" s="21"/>
      <c r="X31" s="21"/>
    </row>
    <row r="32" spans="1:24" ht="18" customHeight="1" x14ac:dyDescent="0.15">
      <c r="A32" s="27"/>
      <c r="B32" s="28"/>
      <c r="C32" s="29"/>
      <c r="D32" s="3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1"/>
      <c r="S32" s="21"/>
      <c r="T32" s="21"/>
      <c r="U32" s="21"/>
      <c r="V32" s="21"/>
      <c r="W32" s="21"/>
      <c r="X32" s="21"/>
    </row>
    <row r="33" spans="1:24" ht="18" customHeight="1" x14ac:dyDescent="0.15">
      <c r="A33" s="27" t="s">
        <v>30</v>
      </c>
      <c r="B33" s="28" t="s">
        <v>31</v>
      </c>
      <c r="C33" s="29">
        <f>SUM(E33:X33)</f>
        <v>150</v>
      </c>
      <c r="D33" s="30" t="s">
        <v>32</v>
      </c>
      <c r="E33" s="1">
        <v>79</v>
      </c>
      <c r="F33" s="1">
        <v>7</v>
      </c>
      <c r="G33" s="1">
        <v>2</v>
      </c>
      <c r="H33" s="1">
        <v>3</v>
      </c>
      <c r="I33" s="1">
        <v>3</v>
      </c>
      <c r="J33" s="1">
        <v>8</v>
      </c>
      <c r="K33" s="1">
        <v>2</v>
      </c>
      <c r="L33" s="1">
        <v>3</v>
      </c>
      <c r="M33" s="1">
        <v>8</v>
      </c>
      <c r="N33" s="1">
        <v>2</v>
      </c>
      <c r="O33" s="1">
        <v>3</v>
      </c>
      <c r="P33" s="1">
        <v>13</v>
      </c>
      <c r="Q33" s="1">
        <v>8</v>
      </c>
      <c r="R33" s="1">
        <v>2</v>
      </c>
      <c r="S33" s="1">
        <v>3</v>
      </c>
      <c r="T33" s="1">
        <v>4</v>
      </c>
      <c r="U33" s="1"/>
      <c r="V33" s="1"/>
      <c r="W33" s="1"/>
      <c r="X33" s="1"/>
    </row>
    <row r="34" spans="1:24" ht="18" customHeight="1" x14ac:dyDescent="0.15">
      <c r="A34" s="175" t="s">
        <v>33</v>
      </c>
      <c r="B34" s="176"/>
      <c r="C34" s="176"/>
      <c r="D34" s="177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110</v>
      </c>
      <c r="K34" s="5">
        <v>10</v>
      </c>
      <c r="L34" s="5">
        <v>10</v>
      </c>
      <c r="M34" s="5">
        <v>110</v>
      </c>
      <c r="N34" s="5">
        <v>10</v>
      </c>
      <c r="O34" s="5">
        <v>10</v>
      </c>
      <c r="P34" s="5">
        <v>110</v>
      </c>
      <c r="Q34" s="5">
        <v>110</v>
      </c>
      <c r="R34" s="5">
        <v>110</v>
      </c>
      <c r="S34" s="5">
        <v>10</v>
      </c>
      <c r="T34" s="5">
        <v>10</v>
      </c>
      <c r="U34" s="5"/>
      <c r="V34" s="5"/>
      <c r="W34" s="5"/>
      <c r="X34" s="5"/>
    </row>
    <row r="35" spans="1:24" ht="18" customHeight="1" x14ac:dyDescent="0.15">
      <c r="A35" s="175" t="s">
        <v>34</v>
      </c>
      <c r="B35" s="176"/>
      <c r="C35" s="176"/>
      <c r="D35" s="177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0.95</v>
      </c>
      <c r="M35" s="5">
        <v>0.95</v>
      </c>
      <c r="N35" s="5">
        <v>0.95</v>
      </c>
      <c r="O35" s="5">
        <v>0.95</v>
      </c>
      <c r="P35" s="5">
        <v>6</v>
      </c>
      <c r="Q35" s="5">
        <v>0.95</v>
      </c>
      <c r="R35" s="5">
        <v>0.95</v>
      </c>
      <c r="S35" s="5">
        <v>0.95</v>
      </c>
      <c r="T35" s="5">
        <v>0.95</v>
      </c>
      <c r="U35" s="5"/>
      <c r="V35" s="5"/>
      <c r="W35" s="5"/>
      <c r="X35" s="5"/>
    </row>
    <row r="36" spans="1:24" ht="18" customHeight="1" x14ac:dyDescent="0.15">
      <c r="A36" s="175" t="s">
        <v>35</v>
      </c>
      <c r="B36" s="176"/>
      <c r="C36" s="176"/>
      <c r="D36" s="177"/>
      <c r="E36" s="5" t="s">
        <v>36</v>
      </c>
      <c r="F36" s="5" t="s">
        <v>37</v>
      </c>
      <c r="G36" s="5" t="s">
        <v>37</v>
      </c>
      <c r="H36" s="5" t="s">
        <v>37</v>
      </c>
      <c r="I36" s="5" t="s">
        <v>37</v>
      </c>
      <c r="J36" s="5" t="s">
        <v>37</v>
      </c>
      <c r="K36" s="5" t="s">
        <v>37</v>
      </c>
      <c r="L36" s="5" t="s">
        <v>37</v>
      </c>
      <c r="M36" s="5" t="s">
        <v>37</v>
      </c>
      <c r="N36" s="5" t="s">
        <v>37</v>
      </c>
      <c r="O36" s="5" t="s">
        <v>37</v>
      </c>
      <c r="P36" s="5" t="s">
        <v>37</v>
      </c>
      <c r="Q36" s="5" t="s">
        <v>36</v>
      </c>
      <c r="R36" s="5" t="s">
        <v>36</v>
      </c>
      <c r="S36" s="5" t="s">
        <v>36</v>
      </c>
      <c r="T36" s="5" t="s">
        <v>36</v>
      </c>
      <c r="U36" s="5"/>
      <c r="V36" s="5"/>
      <c r="W36" s="5"/>
      <c r="X36" s="5"/>
    </row>
  </sheetData>
  <mergeCells count="71">
    <mergeCell ref="C28:D28"/>
    <mergeCell ref="A20:B20"/>
    <mergeCell ref="C20:D20"/>
    <mergeCell ref="A21:B21"/>
    <mergeCell ref="C21:D21"/>
    <mergeCell ref="A23:B23"/>
    <mergeCell ref="C23:D23"/>
    <mergeCell ref="A22:B22"/>
    <mergeCell ref="C22:D22"/>
    <mergeCell ref="A24:B24"/>
    <mergeCell ref="C24:D24"/>
    <mergeCell ref="C27:D27"/>
    <mergeCell ref="A28:B28"/>
    <mergeCell ref="A27:B27"/>
    <mergeCell ref="A36:D36"/>
    <mergeCell ref="A31:B31"/>
    <mergeCell ref="C31:D31"/>
    <mergeCell ref="C29:D29"/>
    <mergeCell ref="A34:D34"/>
    <mergeCell ref="C30:D30"/>
    <mergeCell ref="A29:B29"/>
    <mergeCell ref="A35:D35"/>
    <mergeCell ref="A30:B30"/>
    <mergeCell ref="A14:D14"/>
    <mergeCell ref="A15:D15"/>
    <mergeCell ref="A16:D16"/>
    <mergeCell ref="A17:B17"/>
    <mergeCell ref="C17:D17"/>
    <mergeCell ref="A18:B18"/>
    <mergeCell ref="C18:D18"/>
    <mergeCell ref="C25:D25"/>
    <mergeCell ref="A26:B26"/>
    <mergeCell ref="C26:D26"/>
    <mergeCell ref="A25:B25"/>
    <mergeCell ref="A11:B11"/>
    <mergeCell ref="A12:B12"/>
    <mergeCell ref="C12:D12"/>
    <mergeCell ref="C13:D13"/>
    <mergeCell ref="C11:D11"/>
    <mergeCell ref="A13:B13"/>
    <mergeCell ref="C6:D6"/>
    <mergeCell ref="A7:B7"/>
    <mergeCell ref="C7:D7"/>
    <mergeCell ref="C4:D4"/>
    <mergeCell ref="A5:B5"/>
    <mergeCell ref="V1:X1"/>
    <mergeCell ref="A2:E2"/>
    <mergeCell ref="F2:G2"/>
    <mergeCell ref="N2:O2"/>
    <mergeCell ref="P2:R2"/>
    <mergeCell ref="T2:U2"/>
    <mergeCell ref="V2:X2"/>
    <mergeCell ref="H1:M1"/>
    <mergeCell ref="N1:O1"/>
    <mergeCell ref="T1:U1"/>
    <mergeCell ref="C8:D8"/>
    <mergeCell ref="P1:S1"/>
    <mergeCell ref="A19:B19"/>
    <mergeCell ref="C19:D19"/>
    <mergeCell ref="A1:E1"/>
    <mergeCell ref="F1:G1"/>
    <mergeCell ref="A3:B3"/>
    <mergeCell ref="C3:D3"/>
    <mergeCell ref="A4:B4"/>
    <mergeCell ref="A6:B6"/>
    <mergeCell ref="A8:B8"/>
    <mergeCell ref="C5:D5"/>
    <mergeCell ref="A9:B9"/>
    <mergeCell ref="C9:D9"/>
    <mergeCell ref="A10:B10"/>
    <mergeCell ref="C10:D10"/>
  </mergeCells>
  <phoneticPr fontId="2"/>
  <pageMargins left="0.98425196850393704" right="0.11811023622047245" top="0.43307086614173229" bottom="0.59055118110236227" header="0.23622047244094491" footer="0.31496062992125984"/>
  <pageSetup paperSize="9" scale="9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211" r:id="rId4">
          <objectPr defaultSize="0" autoPict="0" r:id="rId5">
            <anchor moveWithCells="1">
              <from>
                <xdr:col>7</xdr:col>
                <xdr:colOff>85725</xdr:colOff>
                <xdr:row>2</xdr:row>
                <xdr:rowOff>219075</xdr:rowOff>
              </from>
              <to>
                <xdr:col>16</xdr:col>
                <xdr:colOff>209550</xdr:colOff>
                <xdr:row>11</xdr:row>
                <xdr:rowOff>104775</xdr:rowOff>
              </to>
            </anchor>
          </objectPr>
        </oleObject>
      </mc:Choice>
      <mc:Fallback>
        <oleObject progId="Paint.Picture" shapeId="121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2026-02-04</vt:lpstr>
      <vt:lpstr>430152</vt:lpstr>
      <vt:lpstr>'2026-02-04'!Print_Area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2025-06-09T03:33:24Z</cp:lastPrinted>
  <dcterms:created xsi:type="dcterms:W3CDTF">2003-04-03T02:18:31Z</dcterms:created>
  <dcterms:modified xsi:type="dcterms:W3CDTF">2026-02-21T14:17:06Z</dcterms:modified>
</cp:coreProperties>
</file>