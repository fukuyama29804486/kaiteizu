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2BA8A341-6015-41B2-9A15-B30C382B8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9" sheetId="2" r:id="rId1"/>
    <sheet name="250080" sheetId="1" r:id="rId2"/>
  </sheets>
  <definedNames>
    <definedName name="_xlnm.Print_Area" localSheetId="0">'2026-02-19'!$A$1:$X$38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<sst xmlns="http://schemas.openxmlformats.org/spreadsheetml/2006/main" count="104" uniqueCount="60">
  <si>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</si>
  <si>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2-0080 </t>
    <phoneticPr fontId="1"/>
  </si>
  <si>
    <t>運　用</t>
    <rPh sb="0" eb="1">
      <t>ウン</t>
    </rPh>
    <rPh sb="2" eb="3">
      <t>ヨウ</t>
    </rPh>
    <phoneticPr fontId="1"/>
  </si>
  <si>
    <t>H.14年12月 3日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</si>
  <si>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</si>
  <si>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2K1422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</si>
  <si>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</si>
  <si>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250080 </t>
    <phoneticPr fontId="1"/>
  </si>
  <si>
    <t>（Ⅱ型）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</si>
  <si>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</si>
  <si>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</si>
  <si>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</si>
  <si>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平成14年11月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</si>
  <si>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</si>
  <si>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</si>
  <si>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</si>
  <si>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</si>
  <si>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</si>
  <si>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</si>
  <si>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</si>
  <si>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</si>
  <si>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</si>
  <si>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</si>
  <si>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</si>
  <si>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</si>
  <si>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 （ １Ｐ ）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</si>
  <si>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</si>
  <si>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</si>
  <si>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</si>
  <si>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</si>
  <si>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</si>
  <si>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</si>
  <si>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>[ 2V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</si>
  <si>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</si>
  <si>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</si>
  <si>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</si>
  <si>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</si>
  <si>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</si>
  <si>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</si>
  <si>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</si>
  <si>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</si>
  <si>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</si>
  <si>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</si>
  <si>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</si>
  <si>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</si>
  <si>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</si>
  <si>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中央桟橋(北)</t>
    <rPh sb="0" eb="2">
      <t>チュウオウ</t>
    </rPh>
    <rPh sb="2" eb="4">
      <t>サンバシ</t>
    </rPh>
    <rPh sb="5" eb="6">
      <t>キタ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</si>
  <si>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</si>
  <si>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</si>
  <si>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</si>
  <si>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</si>
  <si>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</si>
  <si>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ＰＵ</t>
    <phoneticPr fontId="1"/>
  </si>
  <si>
    <t>ＰＬ</t>
    <phoneticPr fontId="1"/>
  </si>
  <si>
    <t>02-0080</t>
    <phoneticPr fontId="1"/>
  </si>
  <si>
    <t>20080</t>
    <phoneticPr fontId="1"/>
  </si>
  <si>
    <t>２Ｐ</t>
    <phoneticPr fontId="1"/>
  </si>
  <si>
    <t>（ １Ｐ ）</t>
    <phoneticPr fontId="1"/>
  </si>
  <si>
    <t>日本信号</t>
    <rPh sb="0" eb="4">
      <t>ニホンシンゴウ</t>
    </rPh>
    <phoneticPr fontId="1"/>
  </si>
  <si>
    <t>K0000001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</si>
</sst>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0" xfId="0" quotePrefix="1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9" fillId="0" borderId="7" xfId="0" applyNumberFormat="1" applyFont="1" applyBorder="1" applyAlignment="1">
      <alignment vertical="center"/>
    </xf>
    <xf numFmtId="176" fontId="9" fillId="0" borderId="7" xfId="0" applyNumberFormat="1" applyFont="1" applyBorder="1" applyAlignment="1">
      <alignment vertical="center"/>
    </xf>
    <xf numFmtId="181" fontId="8" fillId="0" borderId="0" xfId="0" applyNumberFormat="1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0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4" xfId="0" applyNumberFormat="1" applyFont="1" applyBorder="1" applyAlignment="1">
      <alignment horizontal="center" vertical="center"/>
    </xf>
    <xf numFmtId="180" fontId="8" fillId="0" borderId="25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9" fontId="8" fillId="0" borderId="10" xfId="0" quotePrefix="1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2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32" fontId="2" fillId="0" borderId="17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333374</xdr:colOff>
      <xdr:row>4</xdr:row>
      <xdr:rowOff>171451</xdr:rowOff>
    </xdr:from>
    <xdr:to>
      <xdr:col>23</xdr:col>
      <xdr:colOff>38100</xdr:colOff>
      <xdr:row>14</xdr:row>
      <xdr:rowOff>30444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69F694DD-5333-4E2F-8DCF-E2943F6EBC4C}"/>
            </a:ext>
          </a:extLst>
        </xdr:cNvPr>
        <xdr:cNvGrpSpPr>
          <a:grpSpLocks noChangeAspect="1"/>
        </xdr:cNvGrpSpPr>
      </xdr:nvGrpSpPr>
      <xdr:grpSpPr>
        <a:xfrm>
          <a:off x="333374" y="742951"/>
          <a:ext cx="6934201" cy="3792818"/>
          <a:chOff x="7905749" y="1638300"/>
          <a:chExt cx="10152382" cy="5553075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BEB07317-F073-44FD-8D5C-2A0DAED573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905750" y="1638300"/>
            <a:ext cx="10152381" cy="5552381"/>
          </a:xfrm>
          <a:prstGeom prst="rect">
            <a:avLst/>
          </a:prstGeom>
        </xdr:spPr>
      </xdr:pic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FAD10053-A704-4B2A-88FF-704DA0C9D7C4}"/>
              </a:ext>
            </a:extLst>
          </xdr:cNvPr>
          <xdr:cNvSpPr/>
        </xdr:nvSpPr>
        <xdr:spPr bwMode="auto">
          <a:xfrm>
            <a:off x="7905749" y="1638300"/>
            <a:ext cx="2619375" cy="7334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1F198C58-08DD-4C9F-9C33-704D12792C06}"/>
              </a:ext>
            </a:extLst>
          </xdr:cNvPr>
          <xdr:cNvSpPr/>
        </xdr:nvSpPr>
        <xdr:spPr bwMode="auto">
          <a:xfrm>
            <a:off x="7905750" y="6076950"/>
            <a:ext cx="2200276" cy="11144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9E0125A-8C97-4AD5-B803-1CBEE2C79B37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  <a:endParaRPr lang="ja-JP" altLang="en-US"/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43252EA-1870-41E9-9FE0-473CCAD0B216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E61F871E-F2B7-498A-8F4E-3CE3F8FB603A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09FB1BF-C069-4ECC-B79A-0173D97F383F}"/>
            </a:ext>
          </a:extLst>
        </xdr:cNvPr>
        <xdr:cNvGrpSpPr>
          <a:grpSpLocks/>
        </xdr:cNvGrpSpPr>
      </xdr:nvGrpSpPr>
      <xdr:grpSpPr bwMode="auto">
        <a:xfrm>
          <a:off x="161925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FF1FDD67-35A4-4EF0-A555-49D628F04C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41C55B95-D71F-482F-B5CB-2BB8B9E59A0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C925DADA-969E-4364-887B-9FAF0668990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C7D18B05-3E7A-4E07-8CAB-8B08F879010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BF8B52C-A4D5-422E-95C3-B7631DE75707}"/>
            </a:ext>
          </a:extLst>
        </xdr:cNvPr>
        <xdr:cNvGrpSpPr>
          <a:grpSpLocks/>
        </xdr:cNvGrpSpPr>
      </xdr:nvGrpSpPr>
      <xdr:grpSpPr bwMode="auto">
        <a:xfrm>
          <a:off x="1885950" y="6867525"/>
          <a:ext cx="25146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688A0E86-C4FF-424C-878A-A63E8167E8F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504BD1A7-DBEE-4271-A70D-B4108728BE4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45EF275-ECFA-4413-BB1A-9FD186C27338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2894988-12E0-4B99-ABAB-759C0F17C3DA}"/>
            </a:ext>
          </a:extLst>
        </xdr:cNvPr>
        <xdr:cNvGrpSpPr>
          <a:grpSpLocks/>
        </xdr:cNvGrpSpPr>
      </xdr:nvGrpSpPr>
      <xdr:grpSpPr bwMode="auto">
        <a:xfrm>
          <a:off x="2514600" y="7105650"/>
          <a:ext cx="188595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2AEBBA12-A8F5-4F0E-8F4B-D08A170BDE0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16D62EFB-4A8B-4373-A7C7-3D0E0E8003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5CE62778-BE18-4DC1-9D46-A5F30F039DD6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5006223E-722F-4137-9623-A5492D3B8CD6}"/>
            </a:ext>
          </a:extLst>
        </xdr:cNvPr>
        <xdr:cNvGrpSpPr>
          <a:grpSpLocks/>
        </xdr:cNvGrpSpPr>
      </xdr:nvGrpSpPr>
      <xdr:grpSpPr bwMode="auto">
        <a:xfrm>
          <a:off x="3190875" y="72771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5E26CC9B-C2F1-44EB-B114-1880B852CE1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9761A964-ADDA-4DC9-A395-3B2EAD77318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7533CDB8-4184-402B-9CC7-FB670F36AE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A39B4B7E-91B9-42CC-B4B3-5A510734C1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DB642E2E-ED92-4126-92C2-5ADCEE94827F}"/>
            </a:ext>
          </a:extLst>
        </xdr:cNvPr>
        <xdr:cNvGrpSpPr>
          <a:grpSpLocks/>
        </xdr:cNvGrpSpPr>
      </xdr:nvGrpSpPr>
      <xdr:grpSpPr bwMode="auto">
        <a:xfrm>
          <a:off x="3457575" y="73247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CA5897AA-513D-4F8C-A194-EF2E2F80293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FC4E4168-5D16-4155-937B-073C606D3C2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87EDC6DA-EF70-494B-9E7F-8BAE2EF02E33}"/>
            </a:ext>
          </a:extLst>
        </xdr:cNvPr>
        <xdr:cNvGrpSpPr>
          <a:grpSpLocks/>
        </xdr:cNvGrpSpPr>
      </xdr:nvGrpSpPr>
      <xdr:grpSpPr bwMode="auto">
        <a:xfrm>
          <a:off x="4086225" y="75533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721B0D6E-EEE9-4732-8617-74465D5C7C0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C5138F25-3467-448D-BFE3-0E9E7CB17E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2888FEA-4A8F-4D34-95A1-47A9264A25C9}"/>
            </a:ext>
          </a:extLst>
        </xdr:cNvPr>
        <xdr:cNvGrpSpPr>
          <a:grpSpLocks/>
        </xdr:cNvGrpSpPr>
      </xdr:nvGrpSpPr>
      <xdr:grpSpPr bwMode="auto">
        <a:xfrm>
          <a:off x="1257300" y="7324725"/>
          <a:ext cx="1571625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21A3088A-A40F-42E4-9185-4A94FB7CBDF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4D41517D-0D00-4F10-A16A-E6C1FD36303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C0E449C5-3D76-4565-87C6-5E4DDD790598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1F521CC8-2BF6-43FC-9B23-2E823B098FC5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7992B7FD-82A8-4BF7-AFB9-2F6A96732FFF}"/>
            </a:ext>
          </a:extLst>
        </xdr:cNvPr>
        <xdr:cNvGrpSpPr>
          <a:grpSpLocks/>
        </xdr:cNvGrpSpPr>
      </xdr:nvGrpSpPr>
      <xdr:grpSpPr bwMode="auto">
        <a:xfrm>
          <a:off x="1257300" y="7553325"/>
          <a:ext cx="1571625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753598C7-B9C6-4D22-B36A-1CFC7BD35FA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793E1E58-F5A6-452E-92C4-9F44DACEF1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838200</xdr:rowOff>
    </xdr:from>
    <xdr:to>
      <xdr:col>8</xdr:col>
      <xdr:colOff>19050</xdr:colOff>
      <xdr:row>17</xdr:row>
      <xdr:rowOff>1019175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B5FA7107-5D47-4E94-A907-BD9FA3BDBC28}"/>
            </a:ext>
          </a:extLst>
        </xdr:cNvPr>
        <xdr:cNvGrpSpPr>
          <a:grpSpLocks/>
        </xdr:cNvGrpSpPr>
      </xdr:nvGrpSpPr>
      <xdr:grpSpPr bwMode="auto">
        <a:xfrm flipH="1" flipV="1">
          <a:off x="1533525" y="6029325"/>
          <a:ext cx="1000125" cy="180975"/>
          <a:chOff x="106" y="602"/>
          <a:chExt cx="105" cy="19"/>
        </a:xfrm>
      </xdr:grpSpPr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03C327F1-1E5D-4CD0-B677-878ED8898F2E}"/>
              </a:ext>
            </a:extLst>
          </xdr:cNvPr>
          <xdr:cNvSpPr>
            <a:spLocks noChangeShapeType="1"/>
          </xdr:cNvSpPr>
        </xdr:nvSpPr>
        <xdr:spPr bwMode="auto">
          <a:xfrm>
            <a:off x="106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BE0E0A23-E976-4496-AA1E-A91B1575A4D2}"/>
              </a:ext>
            </a:extLst>
          </xdr:cNvPr>
          <xdr:cNvSpPr>
            <a:spLocks/>
          </xdr:cNvSpPr>
        </xdr:nvSpPr>
        <xdr:spPr bwMode="auto">
          <a:xfrm>
            <a:off x="204" y="602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3D293B6F-DAE6-4EEB-82B9-54CC3856DE02}"/>
              </a:ext>
            </a:extLst>
          </xdr:cNvPr>
          <xdr:cNvSpPr>
            <a:spLocks/>
          </xdr:cNvSpPr>
        </xdr:nvSpPr>
        <xdr:spPr bwMode="auto">
          <a:xfrm>
            <a:off x="141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B453187E-43D0-469F-BC6D-BF7CE99D96ED}"/>
              </a:ext>
            </a:extLst>
          </xdr:cNvPr>
          <xdr:cNvSpPr>
            <a:spLocks noChangeShapeType="1"/>
          </xdr:cNvSpPr>
        </xdr:nvSpPr>
        <xdr:spPr bwMode="auto">
          <a:xfrm>
            <a:off x="149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F03B0DD7-9F63-4141-98E8-0DD5743517A3}"/>
              </a:ext>
            </a:extLst>
          </xdr:cNvPr>
          <xdr:cNvSpPr>
            <a:spLocks/>
          </xdr:cNvSpPr>
        </xdr:nvSpPr>
        <xdr:spPr bwMode="auto">
          <a:xfrm>
            <a:off x="145" y="61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17</xdr:row>
      <xdr:rowOff>476250</xdr:rowOff>
    </xdr:from>
    <xdr:to>
      <xdr:col>8</xdr:col>
      <xdr:colOff>19050</xdr:colOff>
      <xdr:row>17</xdr:row>
      <xdr:rowOff>657225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36454D83-2A36-46B4-9F92-88B898A5107B}"/>
            </a:ext>
          </a:extLst>
        </xdr:cNvPr>
        <xdr:cNvGrpSpPr>
          <a:grpSpLocks/>
        </xdr:cNvGrpSpPr>
      </xdr:nvGrpSpPr>
      <xdr:grpSpPr bwMode="auto">
        <a:xfrm flipH="1" flipV="1">
          <a:off x="1524000" y="5667375"/>
          <a:ext cx="1009650" cy="180975"/>
          <a:chOff x="105" y="640"/>
          <a:chExt cx="106" cy="19"/>
        </a:xfrm>
      </xdr:grpSpPr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8487A284-BA0D-4936-93FA-F4192E1B268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3E3F10F5-B7C8-4145-AA34-27322AE500C6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D21784C0-0E5F-4E81-BF1B-64CAB08860C0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3B05EAB2-D013-4FBC-9D76-9657A9C6516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96CA2C9F-BE6D-4A43-9305-01E20058A321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85725</xdr:colOff>
      <xdr:row>17</xdr:row>
      <xdr:rowOff>295275</xdr:rowOff>
    </xdr:from>
    <xdr:to>
      <xdr:col>7</xdr:col>
      <xdr:colOff>190500</xdr:colOff>
      <xdr:row>17</xdr:row>
      <xdr:rowOff>352425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E4944408-2B78-4CC0-BF41-56E63D7AD110}"/>
            </a:ext>
          </a:extLst>
        </xdr:cNvPr>
        <xdr:cNvGrpSpPr>
          <a:grpSpLocks/>
        </xdr:cNvGrpSpPr>
      </xdr:nvGrpSpPr>
      <xdr:grpSpPr bwMode="auto">
        <a:xfrm>
          <a:off x="1657350" y="5486400"/>
          <a:ext cx="733425" cy="57150"/>
          <a:chOff x="123" y="549"/>
          <a:chExt cx="77" cy="6"/>
        </a:xfrm>
      </xdr:grpSpPr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DAE4E5E8-F394-40E1-8E1D-2C6BCC4F23C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6D0917AF-9E91-40E4-B01F-2BBC17DE74B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844B2DB3-EC58-4AC4-93B9-40DDA97356A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17</xdr:row>
      <xdr:rowOff>323850</xdr:rowOff>
    </xdr:from>
    <xdr:to>
      <xdr:col>11</xdr:col>
      <xdr:colOff>304800</xdr:colOff>
      <xdr:row>17</xdr:row>
      <xdr:rowOff>990600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13CC3A8F-6163-48A8-A2BC-BB53EE666C84}"/>
            </a:ext>
          </a:extLst>
        </xdr:cNvPr>
        <xdr:cNvGrpSpPr>
          <a:grpSpLocks/>
        </xdr:cNvGrpSpPr>
      </xdr:nvGrpSpPr>
      <xdr:grpSpPr bwMode="auto">
        <a:xfrm flipH="1" flipV="1">
          <a:off x="3467100" y="5514975"/>
          <a:ext cx="295275" cy="666750"/>
          <a:chOff x="390" y="605"/>
          <a:chExt cx="31" cy="70"/>
        </a:xfrm>
      </xdr:grpSpPr>
      <xdr:sp macro="" textlink="">
        <xdr:nvSpPr>
          <xdr:cNvPr id="54" name="Line 53">
            <a:extLst>
              <a:ext uri="{FF2B5EF4-FFF2-40B4-BE49-F238E27FC236}">
                <a16:creationId xmlns:a16="http://schemas.microsoft.com/office/drawing/2014/main" id="{31CFEAC9-D161-4284-A4A9-1B33084D7912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76" y="64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2B870F60-2B36-4D87-A38B-E803CBFE0974}"/>
              </a:ext>
            </a:extLst>
          </xdr:cNvPr>
          <xdr:cNvSpPr>
            <a:spLocks/>
          </xdr:cNvSpPr>
        </xdr:nvSpPr>
        <xdr:spPr bwMode="auto">
          <a:xfrm rot="-5400000">
            <a:off x="398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" name="Line 55">
            <a:extLst>
              <a:ext uri="{FF2B5EF4-FFF2-40B4-BE49-F238E27FC236}">
                <a16:creationId xmlns:a16="http://schemas.microsoft.com/office/drawing/2014/main" id="{BC9B17B3-BD50-4512-ADDC-91CC472371D3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94" y="63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D6BA8C9C-E8D2-4707-8C11-2FF005807105}"/>
              </a:ext>
            </a:extLst>
          </xdr:cNvPr>
          <xdr:cNvSpPr>
            <a:spLocks/>
          </xdr:cNvSpPr>
        </xdr:nvSpPr>
        <xdr:spPr bwMode="auto">
          <a:xfrm rot="-5400000">
            <a:off x="390" y="639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495E9DC3-93DF-4F9A-86A4-57BFAECF0B80}"/>
              </a:ext>
            </a:extLst>
          </xdr:cNvPr>
          <xdr:cNvSpPr>
            <a:spLocks/>
          </xdr:cNvSpPr>
        </xdr:nvSpPr>
        <xdr:spPr bwMode="auto">
          <a:xfrm rot="-5400000">
            <a:off x="406" y="609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Line 58">
            <a:extLst>
              <a:ext uri="{FF2B5EF4-FFF2-40B4-BE49-F238E27FC236}">
                <a16:creationId xmlns:a16="http://schemas.microsoft.com/office/drawing/2014/main" id="{8EA593C2-4B69-4429-A43D-DC39582AC66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C58D2E1F-F1F0-4BBA-9C8F-E040893CD000}"/>
              </a:ext>
            </a:extLst>
          </xdr:cNvPr>
          <xdr:cNvSpPr>
            <a:spLocks/>
          </xdr:cNvSpPr>
        </xdr:nvSpPr>
        <xdr:spPr bwMode="auto">
          <a:xfrm rot="-5400000">
            <a:off x="414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83655376-C6F5-4398-B798-FD6A0D04BEFA}"/>
            </a:ext>
          </a:extLst>
        </xdr:cNvPr>
        <xdr:cNvGrpSpPr>
          <a:grpSpLocks/>
        </xdr:cNvGrpSpPr>
      </xdr:nvGrpSpPr>
      <xdr:grpSpPr bwMode="auto">
        <a:xfrm rot="5400000">
          <a:off x="2786062" y="5948363"/>
          <a:ext cx="733425" cy="57150"/>
          <a:chOff x="123" y="549"/>
          <a:chExt cx="77" cy="6"/>
        </a:xfrm>
      </xdr:grpSpPr>
      <xdr:sp macro="" textlink="">
        <xdr:nvSpPr>
          <xdr:cNvPr id="62" name="Line 61">
            <a:extLst>
              <a:ext uri="{FF2B5EF4-FFF2-40B4-BE49-F238E27FC236}">
                <a16:creationId xmlns:a16="http://schemas.microsoft.com/office/drawing/2014/main" id="{B59E10D4-DEF8-4152-A986-0A1A8409288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16DDB476-8658-452F-9DE3-2549F421981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4CE3DB37-B1A8-480D-93DE-EA61B29AA34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419100</xdr:rowOff>
    </xdr:from>
    <xdr:to>
      <xdr:col>13</xdr:col>
      <xdr:colOff>38100</xdr:colOff>
      <xdr:row>17</xdr:row>
      <xdr:rowOff>1152525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D6017E3A-7940-4E1C-8740-A6740840DE4B}"/>
            </a:ext>
          </a:extLst>
        </xdr:cNvPr>
        <xdr:cNvGrpSpPr>
          <a:grpSpLocks/>
        </xdr:cNvGrpSpPr>
      </xdr:nvGrpSpPr>
      <xdr:grpSpPr bwMode="auto">
        <a:xfrm rot="5400000">
          <a:off x="3729037" y="5948363"/>
          <a:ext cx="733425" cy="57150"/>
          <a:chOff x="123" y="549"/>
          <a:chExt cx="77" cy="6"/>
        </a:xfrm>
      </xdr:grpSpPr>
      <xdr:sp macro="" textlink="">
        <xdr:nvSpPr>
          <xdr:cNvPr id="66" name="Line 65">
            <a:extLst>
              <a:ext uri="{FF2B5EF4-FFF2-40B4-BE49-F238E27FC236}">
                <a16:creationId xmlns:a16="http://schemas.microsoft.com/office/drawing/2014/main" id="{D2ADCDC7-AB8C-4E9F-96F1-B87E484E656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56A599EE-1D98-4298-B653-8DC2BAAA621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B12FDA91-D48C-46A3-8166-F57F43DB72C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238125</xdr:rowOff>
    </xdr:from>
    <xdr:to>
      <xdr:col>8</xdr:col>
      <xdr:colOff>295275</xdr:colOff>
      <xdr:row>17</xdr:row>
      <xdr:rowOff>428625</xdr:rowOff>
    </xdr:to>
    <xdr:sp macro="" textlink="">
      <xdr:nvSpPr>
        <xdr:cNvPr id="69" name="Text Box 68">
          <a:extLst>
            <a:ext uri="{FF2B5EF4-FFF2-40B4-BE49-F238E27FC236}">
              <a16:creationId xmlns:a16="http://schemas.microsoft.com/office/drawing/2014/main" id="{AE9225DB-B2B9-4BD2-B9D4-E6ACD354AC66}"/>
            </a:ext>
          </a:extLst>
        </xdr:cNvPr>
        <xdr:cNvSpPr txBox="1">
          <a:spLocks noChangeArrowheads="1"/>
        </xdr:cNvSpPr>
      </xdr:nvSpPr>
      <xdr:spPr bwMode="auto">
        <a:xfrm>
          <a:off x="1257300" y="5429250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  　）</a:t>
          </a:r>
          <a:endParaRPr lang="ja-JP" altLang="en-US"/>
        </a:p>
      </xdr:txBody>
    </xdr: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70" name="Text Box 69">
          <a:extLst>
            <a:ext uri="{FF2B5EF4-FFF2-40B4-BE49-F238E27FC236}">
              <a16:creationId xmlns:a16="http://schemas.microsoft.com/office/drawing/2014/main" id="{7B6A5058-7C13-4817-A435-0E2B9E84B528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28575</xdr:colOff>
      <xdr:row>17</xdr:row>
      <xdr:rowOff>133350</xdr:rowOff>
    </xdr:from>
    <xdr:ext cx="303536" cy="150041"/>
    <xdr:sp macro="" textlink="">
      <xdr:nvSpPr>
        <xdr:cNvPr id="72" name="Text Box 71">
          <a:extLst>
            <a:ext uri="{FF2B5EF4-FFF2-40B4-BE49-F238E27FC236}">
              <a16:creationId xmlns:a16="http://schemas.microsoft.com/office/drawing/2014/main" id="{19DD68B2-F7FE-46A6-A078-B4871D9C5354}"/>
            </a:ext>
          </a:extLst>
        </xdr:cNvPr>
        <xdr:cNvSpPr txBox="1">
          <a:spLocks noChangeArrowheads="1"/>
        </xdr:cNvSpPr>
      </xdr:nvSpPr>
      <xdr:spPr bwMode="auto">
        <a:xfrm>
          <a:off x="1914525" y="53244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12</xdr:col>
      <xdr:colOff>152400</xdr:colOff>
      <xdr:row>17</xdr:row>
      <xdr:rowOff>1200150</xdr:rowOff>
    </xdr:from>
    <xdr:ext cx="361244" cy="150041"/>
    <xdr:sp macro="" textlink="">
      <xdr:nvSpPr>
        <xdr:cNvPr id="73" name="Text Box 72">
          <a:extLst>
            <a:ext uri="{FF2B5EF4-FFF2-40B4-BE49-F238E27FC236}">
              <a16:creationId xmlns:a16="http://schemas.microsoft.com/office/drawing/2014/main" id="{FA41937B-1583-4973-908C-CFED33BF16EF}"/>
            </a:ext>
          </a:extLst>
        </xdr:cNvPr>
        <xdr:cNvSpPr txBox="1">
          <a:spLocks noChangeArrowheads="1"/>
        </xdr:cNvSpPr>
      </xdr:nvSpPr>
      <xdr:spPr bwMode="auto">
        <a:xfrm>
          <a:off x="3924300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12</xdr:col>
      <xdr:colOff>76200</xdr:colOff>
      <xdr:row>7</xdr:row>
      <xdr:rowOff>142875</xdr:rowOff>
    </xdr:from>
    <xdr:to>
      <xdr:col>12</xdr:col>
      <xdr:colOff>190501</xdr:colOff>
      <xdr:row>10</xdr:row>
      <xdr:rowOff>9525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EFB4750C-5F51-489C-A912-6EF7B3ACFD48}"/>
            </a:ext>
          </a:extLst>
        </xdr:cNvPr>
        <xdr:cNvCxnSpPr/>
      </xdr:nvCxnSpPr>
      <xdr:spPr>
        <a:xfrm flipV="1">
          <a:off x="3848100" y="1400175"/>
          <a:ext cx="114301" cy="220027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238125</xdr:colOff>
      <xdr:row>9</xdr:row>
      <xdr:rowOff>800100</xdr:rowOff>
    </xdr:from>
    <xdr:ext cx="468389" cy="187872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4B9CC790-1412-41C4-BAF0-6422A8981D0D}"/>
            </a:ext>
          </a:extLst>
        </xdr:cNvPr>
        <xdr:cNvSpPr txBox="1"/>
      </xdr:nvSpPr>
      <xdr:spPr>
        <a:xfrm>
          <a:off x="3381375" y="2514600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21.8m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7</xdr:col>
      <xdr:colOff>95252</xdr:colOff>
      <xdr:row>9</xdr:row>
      <xdr:rowOff>1133475</xdr:rowOff>
    </xdr:from>
    <xdr:to>
      <xdr:col>15</xdr:col>
      <xdr:colOff>85725</xdr:colOff>
      <xdr:row>9</xdr:row>
      <xdr:rowOff>1247775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C21EE3E6-A8CF-4027-8E27-F61996799764}"/>
            </a:ext>
          </a:extLst>
        </xdr:cNvPr>
        <xdr:cNvCxnSpPr/>
      </xdr:nvCxnSpPr>
      <xdr:spPr>
        <a:xfrm flipH="1" flipV="1">
          <a:off x="2295527" y="2847975"/>
          <a:ext cx="2505073" cy="11430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152400</xdr:colOff>
      <xdr:row>9</xdr:row>
      <xdr:rowOff>1200150</xdr:rowOff>
    </xdr:from>
    <xdr:ext cx="468389" cy="187872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E2F3F4EF-7661-45FF-B297-9DD8F39614C9}"/>
            </a:ext>
          </a:extLst>
        </xdr:cNvPr>
        <xdr:cNvSpPr txBox="1"/>
      </xdr:nvSpPr>
      <xdr:spPr>
        <a:xfrm>
          <a:off x="2981325" y="2914650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28.7m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0</xdr:col>
      <xdr:colOff>514350</xdr:colOff>
      <xdr:row>9</xdr:row>
      <xdr:rowOff>952500</xdr:rowOff>
    </xdr:from>
    <xdr:to>
      <xdr:col>2</xdr:col>
      <xdr:colOff>87227</xdr:colOff>
      <xdr:row>9</xdr:row>
      <xdr:rowOff>1237325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C1F2F2E6-50CC-475F-8235-E9EF7B47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2667000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66675</xdr:colOff>
      <xdr:row>9</xdr:row>
      <xdr:rowOff>1638300</xdr:rowOff>
    </xdr:from>
    <xdr:to>
      <xdr:col>22</xdr:col>
      <xdr:colOff>68177</xdr:colOff>
      <xdr:row>10</xdr:row>
      <xdr:rowOff>46700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E5C61F17-3048-4CA4-A373-2A305E31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3352800"/>
          <a:ext cx="315827" cy="284825"/>
        </a:xfrm>
        <a:prstGeom prst="rect">
          <a:avLst/>
        </a:prstGeom>
      </xdr:spPr>
    </xdr:pic>
    <xdr:clientData/>
  </xdr:twoCellAnchor>
  <xdr:twoCellAnchor>
    <xdr:from>
      <xdr:col>11</xdr:col>
      <xdr:colOff>295275</xdr:colOff>
      <xdr:row>4</xdr:row>
      <xdr:rowOff>123825</xdr:rowOff>
    </xdr:from>
    <xdr:to>
      <xdr:col>12</xdr:col>
      <xdr:colOff>241534</xdr:colOff>
      <xdr:row>6</xdr:row>
      <xdr:rowOff>77516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4F58DC21-1D29-45A6-9B40-34F41E96B8FE}"/>
            </a:ext>
          </a:extLst>
        </xdr:cNvPr>
        <xdr:cNvGrpSpPr/>
      </xdr:nvGrpSpPr>
      <xdr:grpSpPr>
        <a:xfrm>
          <a:off x="3752850" y="695325"/>
          <a:ext cx="260584" cy="410891"/>
          <a:chOff x="3465739" y="1581151"/>
          <a:chExt cx="260584" cy="410891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BBECE767-65AC-43DB-9C32-EC72386D96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479346" y="1758042"/>
            <a:ext cx="233392" cy="234000"/>
          </a:xfrm>
          <a:prstGeom prst="rect">
            <a:avLst/>
          </a:prstGeom>
        </xdr:spPr>
      </xdr:pic>
      <xdr:sp macro="" textlink="">
        <xdr:nvSpPr>
          <xdr:cNvPr id="94" name="Text Box 216">
            <a:extLst>
              <a:ext uri="{FF2B5EF4-FFF2-40B4-BE49-F238E27FC236}">
                <a16:creationId xmlns:a16="http://schemas.microsoft.com/office/drawing/2014/main" id="{07B5CEE4-5C0A-486F-B03B-5DBF921660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65739" y="1581151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</xdr:grpSp>
    <xdr:clientData/>
  </xdr:twoCellAnchor>
  <xdr:oneCellAnchor>
    <xdr:from>
      <xdr:col>9</xdr:col>
      <xdr:colOff>161925</xdr:colOff>
      <xdr:row>17</xdr:row>
      <xdr:rowOff>1200150</xdr:rowOff>
    </xdr:from>
    <xdr:ext cx="361244" cy="150041"/>
    <xdr:sp macro="" textlink="">
      <xdr:nvSpPr>
        <xdr:cNvPr id="95" name="Text Box 72">
          <a:extLst>
            <a:ext uri="{FF2B5EF4-FFF2-40B4-BE49-F238E27FC236}">
              <a16:creationId xmlns:a16="http://schemas.microsoft.com/office/drawing/2014/main" id="{925B81D1-B56D-4A81-9856-17035F992E9A}"/>
            </a:ext>
          </a:extLst>
        </xdr:cNvPr>
        <xdr:cNvSpPr txBox="1">
          <a:spLocks noChangeArrowheads="1"/>
        </xdr:cNvSpPr>
      </xdr:nvSpPr>
      <xdr:spPr bwMode="auto">
        <a:xfrm>
          <a:off x="2990850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20</xdr:col>
      <xdr:colOff>142875</xdr:colOff>
      <xdr:row>17</xdr:row>
      <xdr:rowOff>1085851</xdr:rowOff>
    </xdr:from>
    <xdr:ext cx="1266825" cy="704850"/>
    <xdr:sp macro="" textlink="">
      <xdr:nvSpPr>
        <xdr:cNvPr id="71" name="Text Box 91">
          <a:extLst>
            <a:ext uri="{FF2B5EF4-FFF2-40B4-BE49-F238E27FC236}">
              <a16:creationId xmlns:a16="http://schemas.microsoft.com/office/drawing/2014/main" id="{76B24667-7370-4773-AB5D-9CB728755420}"/>
            </a:ext>
          </a:extLst>
        </xdr:cNvPr>
        <xdr:cNvSpPr txBox="1">
          <a:spLocks noChangeArrowheads="1"/>
        </xdr:cNvSpPr>
      </xdr:nvSpPr>
      <xdr:spPr bwMode="auto">
        <a:xfrm>
          <a:off x="6429375" y="6276976"/>
          <a:ext cx="1266825" cy="704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EC6680K+34001151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PD1219A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AE80C53-C1DE-4E25-A935-FB4E347420F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  <a:endParaRPr lang="ja-JP" altLang="en-US"/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103" name="Line 2">
          <a:extLst>
            <a:ext uri="{FF2B5EF4-FFF2-40B4-BE49-F238E27FC236}">
              <a16:creationId xmlns:a16="http://schemas.microsoft.com/office/drawing/2014/main" id="{75536C69-4854-4E36-9EB0-6809AB0E9CE8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104" name="Freeform 3">
          <a:extLst>
            <a:ext uri="{FF2B5EF4-FFF2-40B4-BE49-F238E27FC236}">
              <a16:creationId xmlns:a16="http://schemas.microsoft.com/office/drawing/2014/main" id="{35BC5DD9-B65B-461F-9BB5-44E80F080F0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105" name="Group 4">
          <a:extLst>
            <a:ext uri="{FF2B5EF4-FFF2-40B4-BE49-F238E27FC236}">
              <a16:creationId xmlns:a16="http://schemas.microsoft.com/office/drawing/2014/main" id="{BA516788-01F8-45F0-A52C-CBCC9B795561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175" name="Line 5">
            <a:extLst>
              <a:ext uri="{FF2B5EF4-FFF2-40B4-BE49-F238E27FC236}">
                <a16:creationId xmlns:a16="http://schemas.microsoft.com/office/drawing/2014/main" id="{B4B76B70-E9D2-43B4-88A9-ABA4FAF5BE3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6" name="Line 6">
            <a:extLst>
              <a:ext uri="{FF2B5EF4-FFF2-40B4-BE49-F238E27FC236}">
                <a16:creationId xmlns:a16="http://schemas.microsoft.com/office/drawing/2014/main" id="{26091056-A6C1-4E63-8382-FA997B38FB7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7" name="Line 7">
            <a:extLst>
              <a:ext uri="{FF2B5EF4-FFF2-40B4-BE49-F238E27FC236}">
                <a16:creationId xmlns:a16="http://schemas.microsoft.com/office/drawing/2014/main" id="{3BD14B40-03E0-4B10-8C56-1D557DE984C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8" name="Line 8">
            <a:extLst>
              <a:ext uri="{FF2B5EF4-FFF2-40B4-BE49-F238E27FC236}">
                <a16:creationId xmlns:a16="http://schemas.microsoft.com/office/drawing/2014/main" id="{46EDD7B5-2010-4AEA-B412-070D10A99B9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106" name="Group 9">
          <a:extLst>
            <a:ext uri="{FF2B5EF4-FFF2-40B4-BE49-F238E27FC236}">
              <a16:creationId xmlns:a16="http://schemas.microsoft.com/office/drawing/2014/main" id="{985CA580-399B-4667-9911-6094D6001625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173" name="Line 10">
            <a:extLst>
              <a:ext uri="{FF2B5EF4-FFF2-40B4-BE49-F238E27FC236}">
                <a16:creationId xmlns:a16="http://schemas.microsoft.com/office/drawing/2014/main" id="{CDE449E2-9D7A-4678-B32F-89B7ED186B2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4" name="Line 11">
            <a:extLst>
              <a:ext uri="{FF2B5EF4-FFF2-40B4-BE49-F238E27FC236}">
                <a16:creationId xmlns:a16="http://schemas.microsoft.com/office/drawing/2014/main" id="{9802AB01-1A06-4097-AF74-4557F74CDB5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107" name="Line 12">
          <a:extLst>
            <a:ext uri="{FF2B5EF4-FFF2-40B4-BE49-F238E27FC236}">
              <a16:creationId xmlns:a16="http://schemas.microsoft.com/office/drawing/2014/main" id="{615445EB-37D1-43C5-BB1A-48E1C8B7E306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108" name="Group 13">
          <a:extLst>
            <a:ext uri="{FF2B5EF4-FFF2-40B4-BE49-F238E27FC236}">
              <a16:creationId xmlns:a16="http://schemas.microsoft.com/office/drawing/2014/main" id="{B3C22F0A-365B-46DD-95FA-C0436128464A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171" name="Line 14">
            <a:extLst>
              <a:ext uri="{FF2B5EF4-FFF2-40B4-BE49-F238E27FC236}">
                <a16:creationId xmlns:a16="http://schemas.microsoft.com/office/drawing/2014/main" id="{FED6FBD7-4AD6-4985-94FA-C27132D0B9A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2" name="Line 15">
            <a:extLst>
              <a:ext uri="{FF2B5EF4-FFF2-40B4-BE49-F238E27FC236}">
                <a16:creationId xmlns:a16="http://schemas.microsoft.com/office/drawing/2014/main" id="{04D2529F-0F70-4746-A5D9-4B89B512F48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109" name="Freeform 16">
          <a:extLst>
            <a:ext uri="{FF2B5EF4-FFF2-40B4-BE49-F238E27FC236}">
              <a16:creationId xmlns:a16="http://schemas.microsoft.com/office/drawing/2014/main" id="{3A251ABC-58B5-4947-AC96-E989D1FD98F4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110" name="Group 17">
          <a:extLst>
            <a:ext uri="{FF2B5EF4-FFF2-40B4-BE49-F238E27FC236}">
              <a16:creationId xmlns:a16="http://schemas.microsoft.com/office/drawing/2014/main" id="{F66098FB-6EDE-46F5-B770-69ACA279A656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167" name="Line 18">
            <a:extLst>
              <a:ext uri="{FF2B5EF4-FFF2-40B4-BE49-F238E27FC236}">
                <a16:creationId xmlns:a16="http://schemas.microsoft.com/office/drawing/2014/main" id="{BB966130-5731-4AEC-B750-7AE070FAFD2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" name="Line 19">
            <a:extLst>
              <a:ext uri="{FF2B5EF4-FFF2-40B4-BE49-F238E27FC236}">
                <a16:creationId xmlns:a16="http://schemas.microsoft.com/office/drawing/2014/main" id="{12A14B59-1B18-4521-B9B4-E17A0E5F451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" name="Line 20">
            <a:extLst>
              <a:ext uri="{FF2B5EF4-FFF2-40B4-BE49-F238E27FC236}">
                <a16:creationId xmlns:a16="http://schemas.microsoft.com/office/drawing/2014/main" id="{976432B7-7015-4AF3-9E5F-3494BE9AB42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" name="Line 21">
            <a:extLst>
              <a:ext uri="{FF2B5EF4-FFF2-40B4-BE49-F238E27FC236}">
                <a16:creationId xmlns:a16="http://schemas.microsoft.com/office/drawing/2014/main" id="{5776010C-618C-4ED5-B8AB-ADA12765F12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111" name="Group 22">
          <a:extLst>
            <a:ext uri="{FF2B5EF4-FFF2-40B4-BE49-F238E27FC236}">
              <a16:creationId xmlns:a16="http://schemas.microsoft.com/office/drawing/2014/main" id="{9B8EACC7-EBE2-41ED-B9C9-9C7A6026657D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165" name="Line 23">
            <a:extLst>
              <a:ext uri="{FF2B5EF4-FFF2-40B4-BE49-F238E27FC236}">
                <a16:creationId xmlns:a16="http://schemas.microsoft.com/office/drawing/2014/main" id="{C5081CF4-E317-4D0D-A1DE-96AF8E43A81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" name="Line 24">
            <a:extLst>
              <a:ext uri="{FF2B5EF4-FFF2-40B4-BE49-F238E27FC236}">
                <a16:creationId xmlns:a16="http://schemas.microsoft.com/office/drawing/2014/main" id="{BAFE0239-4479-4BEA-85E9-88F544475B2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112" name="Group 25">
          <a:extLst>
            <a:ext uri="{FF2B5EF4-FFF2-40B4-BE49-F238E27FC236}">
              <a16:creationId xmlns:a16="http://schemas.microsoft.com/office/drawing/2014/main" id="{8BF6A6AF-FF5C-461F-B47A-B072064D8C54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163" name="Line 26">
            <a:extLst>
              <a:ext uri="{FF2B5EF4-FFF2-40B4-BE49-F238E27FC236}">
                <a16:creationId xmlns:a16="http://schemas.microsoft.com/office/drawing/2014/main" id="{C71FD864-A690-4171-8DAB-5D6C45E8904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" name="Line 27">
            <a:extLst>
              <a:ext uri="{FF2B5EF4-FFF2-40B4-BE49-F238E27FC236}">
                <a16:creationId xmlns:a16="http://schemas.microsoft.com/office/drawing/2014/main" id="{7F63A7C1-819E-409D-8683-2E7D9FF83A6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113" name="Group 28">
          <a:extLst>
            <a:ext uri="{FF2B5EF4-FFF2-40B4-BE49-F238E27FC236}">
              <a16:creationId xmlns:a16="http://schemas.microsoft.com/office/drawing/2014/main" id="{608B05FD-0DE5-4237-B4AB-0609DC6F57F7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161" name="Line 29">
            <a:extLst>
              <a:ext uri="{FF2B5EF4-FFF2-40B4-BE49-F238E27FC236}">
                <a16:creationId xmlns:a16="http://schemas.microsoft.com/office/drawing/2014/main" id="{3D29644C-BFE4-4E47-8238-334A7EF8497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" name="Line 30">
            <a:extLst>
              <a:ext uri="{FF2B5EF4-FFF2-40B4-BE49-F238E27FC236}">
                <a16:creationId xmlns:a16="http://schemas.microsoft.com/office/drawing/2014/main" id="{DB77853E-C16D-473A-8E65-96F4F174CA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114" name="Line 31">
          <a:extLst>
            <a:ext uri="{FF2B5EF4-FFF2-40B4-BE49-F238E27FC236}">
              <a16:creationId xmlns:a16="http://schemas.microsoft.com/office/drawing/2014/main" id="{10AD2D30-0224-453E-886D-A65EF9A965BF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115" name="Line 32">
          <a:extLst>
            <a:ext uri="{FF2B5EF4-FFF2-40B4-BE49-F238E27FC236}">
              <a16:creationId xmlns:a16="http://schemas.microsoft.com/office/drawing/2014/main" id="{6C233F7A-C112-42D7-8824-903EE3DDB102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116" name="Group 33">
          <a:extLst>
            <a:ext uri="{FF2B5EF4-FFF2-40B4-BE49-F238E27FC236}">
              <a16:creationId xmlns:a16="http://schemas.microsoft.com/office/drawing/2014/main" id="{A83FB7B6-676A-465C-8E86-EF8CB738071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159" name="Line 34">
            <a:extLst>
              <a:ext uri="{FF2B5EF4-FFF2-40B4-BE49-F238E27FC236}">
                <a16:creationId xmlns:a16="http://schemas.microsoft.com/office/drawing/2014/main" id="{EEDA8DEC-405D-4FD1-8BD8-9495859AEE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0" name="Line 35">
            <a:extLst>
              <a:ext uri="{FF2B5EF4-FFF2-40B4-BE49-F238E27FC236}">
                <a16:creationId xmlns:a16="http://schemas.microsoft.com/office/drawing/2014/main" id="{9E95FD9F-4A05-4DC1-AE24-1C84A7269E7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838200</xdr:rowOff>
    </xdr:from>
    <xdr:to>
      <xdr:col>8</xdr:col>
      <xdr:colOff>19050</xdr:colOff>
      <xdr:row>15</xdr:row>
      <xdr:rowOff>1019175</xdr:rowOff>
    </xdr:to>
    <xdr:grpSp>
      <xdr:nvGrpSpPr>
        <xdr:cNvPr id="1117" name="Group 36">
          <a:extLst>
            <a:ext uri="{FF2B5EF4-FFF2-40B4-BE49-F238E27FC236}">
              <a16:creationId xmlns:a16="http://schemas.microsoft.com/office/drawing/2014/main" id="{4A0AC941-DB30-45B3-9859-8D0A761A9723}"/>
            </a:ext>
          </a:extLst>
        </xdr:cNvPr>
        <xdr:cNvGrpSpPr>
          <a:grpSpLocks/>
        </xdr:cNvGrpSpPr>
      </xdr:nvGrpSpPr>
      <xdr:grpSpPr bwMode="auto">
        <a:xfrm flipH="1" flipV="1">
          <a:off x="1152525" y="5953125"/>
          <a:ext cx="1000125" cy="180975"/>
          <a:chOff x="106" y="602"/>
          <a:chExt cx="105" cy="19"/>
        </a:xfrm>
      </xdr:grpSpPr>
      <xdr:sp macro="" textlink="">
        <xdr:nvSpPr>
          <xdr:cNvPr id="1154" name="Line 37">
            <a:extLst>
              <a:ext uri="{FF2B5EF4-FFF2-40B4-BE49-F238E27FC236}">
                <a16:creationId xmlns:a16="http://schemas.microsoft.com/office/drawing/2014/main" id="{84CF3555-EEB1-443E-B713-AD3E1B525DDA}"/>
              </a:ext>
            </a:extLst>
          </xdr:cNvPr>
          <xdr:cNvSpPr>
            <a:spLocks noChangeShapeType="1"/>
          </xdr:cNvSpPr>
        </xdr:nvSpPr>
        <xdr:spPr bwMode="auto">
          <a:xfrm>
            <a:off x="106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5" name="Freeform 38">
            <a:extLst>
              <a:ext uri="{FF2B5EF4-FFF2-40B4-BE49-F238E27FC236}">
                <a16:creationId xmlns:a16="http://schemas.microsoft.com/office/drawing/2014/main" id="{B6117B28-6226-4A1C-9E89-6D68247ACFC1}"/>
              </a:ext>
            </a:extLst>
          </xdr:cNvPr>
          <xdr:cNvSpPr>
            <a:spLocks/>
          </xdr:cNvSpPr>
        </xdr:nvSpPr>
        <xdr:spPr bwMode="auto">
          <a:xfrm>
            <a:off x="204" y="602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6" name="Freeform 39">
            <a:extLst>
              <a:ext uri="{FF2B5EF4-FFF2-40B4-BE49-F238E27FC236}">
                <a16:creationId xmlns:a16="http://schemas.microsoft.com/office/drawing/2014/main" id="{610B38D3-D72A-4A46-A02F-7A52EC15F0F0}"/>
              </a:ext>
            </a:extLst>
          </xdr:cNvPr>
          <xdr:cNvSpPr>
            <a:spLocks/>
          </xdr:cNvSpPr>
        </xdr:nvSpPr>
        <xdr:spPr bwMode="auto">
          <a:xfrm>
            <a:off x="141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7" name="Line 40">
            <a:extLst>
              <a:ext uri="{FF2B5EF4-FFF2-40B4-BE49-F238E27FC236}">
                <a16:creationId xmlns:a16="http://schemas.microsoft.com/office/drawing/2014/main" id="{DE0970A4-DBE7-4D1C-A07B-70AD6B38B5A0}"/>
              </a:ext>
            </a:extLst>
          </xdr:cNvPr>
          <xdr:cNvSpPr>
            <a:spLocks noChangeShapeType="1"/>
          </xdr:cNvSpPr>
        </xdr:nvSpPr>
        <xdr:spPr bwMode="auto">
          <a:xfrm>
            <a:off x="149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Freeform 41">
            <a:extLst>
              <a:ext uri="{FF2B5EF4-FFF2-40B4-BE49-F238E27FC236}">
                <a16:creationId xmlns:a16="http://schemas.microsoft.com/office/drawing/2014/main" id="{0A583D23-3CF9-4629-8D78-CC148447323B}"/>
              </a:ext>
            </a:extLst>
          </xdr:cNvPr>
          <xdr:cNvSpPr>
            <a:spLocks/>
          </xdr:cNvSpPr>
        </xdr:nvSpPr>
        <xdr:spPr bwMode="auto">
          <a:xfrm>
            <a:off x="145" y="61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476250</xdr:rowOff>
    </xdr:from>
    <xdr:to>
      <xdr:col>8</xdr:col>
      <xdr:colOff>19050</xdr:colOff>
      <xdr:row>15</xdr:row>
      <xdr:rowOff>657225</xdr:rowOff>
    </xdr:to>
    <xdr:grpSp>
      <xdr:nvGrpSpPr>
        <xdr:cNvPr id="1118" name="Group 42">
          <a:extLst>
            <a:ext uri="{FF2B5EF4-FFF2-40B4-BE49-F238E27FC236}">
              <a16:creationId xmlns:a16="http://schemas.microsoft.com/office/drawing/2014/main" id="{1BE40C3C-CBD4-43F0-8875-CDB7404D598D}"/>
            </a:ext>
          </a:extLst>
        </xdr:cNvPr>
        <xdr:cNvGrpSpPr>
          <a:grpSpLocks/>
        </xdr:cNvGrpSpPr>
      </xdr:nvGrpSpPr>
      <xdr:grpSpPr bwMode="auto">
        <a:xfrm flipH="1" flipV="1">
          <a:off x="1143000" y="5591175"/>
          <a:ext cx="1009650" cy="180975"/>
          <a:chOff x="105" y="640"/>
          <a:chExt cx="106" cy="19"/>
        </a:xfrm>
      </xdr:grpSpPr>
      <xdr:sp macro="" textlink="">
        <xdr:nvSpPr>
          <xdr:cNvPr id="1149" name="Line 43">
            <a:extLst>
              <a:ext uri="{FF2B5EF4-FFF2-40B4-BE49-F238E27FC236}">
                <a16:creationId xmlns:a16="http://schemas.microsoft.com/office/drawing/2014/main" id="{5F117860-8776-4B3B-8A49-C24A456F814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0" name="Freeform 44">
            <a:extLst>
              <a:ext uri="{FF2B5EF4-FFF2-40B4-BE49-F238E27FC236}">
                <a16:creationId xmlns:a16="http://schemas.microsoft.com/office/drawing/2014/main" id="{1074B9E3-B1D0-40AA-AE34-5D9B44CC355A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1" name="Freeform 45">
            <a:extLst>
              <a:ext uri="{FF2B5EF4-FFF2-40B4-BE49-F238E27FC236}">
                <a16:creationId xmlns:a16="http://schemas.microsoft.com/office/drawing/2014/main" id="{970BD6D9-54EE-49BD-94BF-6BE8B84AAAA0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2" name="Line 46">
            <a:extLst>
              <a:ext uri="{FF2B5EF4-FFF2-40B4-BE49-F238E27FC236}">
                <a16:creationId xmlns:a16="http://schemas.microsoft.com/office/drawing/2014/main" id="{A44BC1AC-25C0-42C9-AB3B-D6291950993E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Freeform 47">
            <a:extLst>
              <a:ext uri="{FF2B5EF4-FFF2-40B4-BE49-F238E27FC236}">
                <a16:creationId xmlns:a16="http://schemas.microsoft.com/office/drawing/2014/main" id="{C91B9335-EF24-4B53-8E44-E85F1DF196E7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85725</xdr:colOff>
      <xdr:row>15</xdr:row>
      <xdr:rowOff>295275</xdr:rowOff>
    </xdr:from>
    <xdr:to>
      <xdr:col>7</xdr:col>
      <xdr:colOff>190500</xdr:colOff>
      <xdr:row>15</xdr:row>
      <xdr:rowOff>352425</xdr:rowOff>
    </xdr:to>
    <xdr:grpSp>
      <xdr:nvGrpSpPr>
        <xdr:cNvPr id="1119" name="Group 48">
          <a:extLst>
            <a:ext uri="{FF2B5EF4-FFF2-40B4-BE49-F238E27FC236}">
              <a16:creationId xmlns:a16="http://schemas.microsoft.com/office/drawing/2014/main" id="{FC7CAEA9-7FA3-48FF-B42F-A859B8B5727F}"/>
            </a:ext>
          </a:extLst>
        </xdr:cNvPr>
        <xdr:cNvGrpSpPr>
          <a:grpSpLocks/>
        </xdr:cNvGrpSpPr>
      </xdr:nvGrpSpPr>
      <xdr:grpSpPr bwMode="auto">
        <a:xfrm>
          <a:off x="1276350" y="5410200"/>
          <a:ext cx="733425" cy="57150"/>
          <a:chOff x="123" y="549"/>
          <a:chExt cx="77" cy="6"/>
        </a:xfrm>
      </xdr:grpSpPr>
      <xdr:sp macro="" textlink="">
        <xdr:nvSpPr>
          <xdr:cNvPr id="1146" name="Line 49">
            <a:extLst>
              <a:ext uri="{FF2B5EF4-FFF2-40B4-BE49-F238E27FC236}">
                <a16:creationId xmlns:a16="http://schemas.microsoft.com/office/drawing/2014/main" id="{AB607C26-C9F1-4DD4-998B-FF0671C6094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7" name="Freeform 50">
            <a:extLst>
              <a:ext uri="{FF2B5EF4-FFF2-40B4-BE49-F238E27FC236}">
                <a16:creationId xmlns:a16="http://schemas.microsoft.com/office/drawing/2014/main" id="{387D4AA2-6CC5-444E-9F0E-163B5BD93C6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8" name="Freeform 51">
            <a:extLst>
              <a:ext uri="{FF2B5EF4-FFF2-40B4-BE49-F238E27FC236}">
                <a16:creationId xmlns:a16="http://schemas.microsoft.com/office/drawing/2014/main" id="{433BABED-4655-450E-886B-A0D3E6712D5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15</xdr:row>
      <xdr:rowOff>323850</xdr:rowOff>
    </xdr:from>
    <xdr:to>
      <xdr:col>11</xdr:col>
      <xdr:colOff>304800</xdr:colOff>
      <xdr:row>15</xdr:row>
      <xdr:rowOff>990600</xdr:rowOff>
    </xdr:to>
    <xdr:grpSp>
      <xdr:nvGrpSpPr>
        <xdr:cNvPr id="1120" name="Group 52">
          <a:extLst>
            <a:ext uri="{FF2B5EF4-FFF2-40B4-BE49-F238E27FC236}">
              <a16:creationId xmlns:a16="http://schemas.microsoft.com/office/drawing/2014/main" id="{8BEABB6E-33F0-4CB3-BC1A-0A58CDD806E1}"/>
            </a:ext>
          </a:extLst>
        </xdr:cNvPr>
        <xdr:cNvGrpSpPr>
          <a:grpSpLocks/>
        </xdr:cNvGrpSpPr>
      </xdr:nvGrpSpPr>
      <xdr:grpSpPr bwMode="auto">
        <a:xfrm flipH="1" flipV="1">
          <a:off x="3086100" y="5438775"/>
          <a:ext cx="295275" cy="666750"/>
          <a:chOff x="390" y="605"/>
          <a:chExt cx="31" cy="70"/>
        </a:xfrm>
      </xdr:grpSpPr>
      <xdr:sp macro="" textlink="">
        <xdr:nvSpPr>
          <xdr:cNvPr id="1139" name="Line 53">
            <a:extLst>
              <a:ext uri="{FF2B5EF4-FFF2-40B4-BE49-F238E27FC236}">
                <a16:creationId xmlns:a16="http://schemas.microsoft.com/office/drawing/2014/main" id="{4616F524-6394-4466-AE3B-677A6A9E3939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76" y="64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Freeform 54">
            <a:extLst>
              <a:ext uri="{FF2B5EF4-FFF2-40B4-BE49-F238E27FC236}">
                <a16:creationId xmlns:a16="http://schemas.microsoft.com/office/drawing/2014/main" id="{EAF72C7C-B18E-44B3-9B74-99F74C3BE2A7}"/>
              </a:ext>
            </a:extLst>
          </xdr:cNvPr>
          <xdr:cNvSpPr>
            <a:spLocks/>
          </xdr:cNvSpPr>
        </xdr:nvSpPr>
        <xdr:spPr bwMode="auto">
          <a:xfrm rot="-5400000">
            <a:off x="398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1" name="Line 55">
            <a:extLst>
              <a:ext uri="{FF2B5EF4-FFF2-40B4-BE49-F238E27FC236}">
                <a16:creationId xmlns:a16="http://schemas.microsoft.com/office/drawing/2014/main" id="{F7308FA3-095F-4EA4-A4D9-4A58B8F3F8D9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94" y="63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2" name="Freeform 56">
            <a:extLst>
              <a:ext uri="{FF2B5EF4-FFF2-40B4-BE49-F238E27FC236}">
                <a16:creationId xmlns:a16="http://schemas.microsoft.com/office/drawing/2014/main" id="{E69C4F72-0B95-40C6-A756-B286E38BEF8D}"/>
              </a:ext>
            </a:extLst>
          </xdr:cNvPr>
          <xdr:cNvSpPr>
            <a:spLocks/>
          </xdr:cNvSpPr>
        </xdr:nvSpPr>
        <xdr:spPr bwMode="auto">
          <a:xfrm rot="-5400000">
            <a:off x="390" y="639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3" name="Freeform 57">
            <a:extLst>
              <a:ext uri="{FF2B5EF4-FFF2-40B4-BE49-F238E27FC236}">
                <a16:creationId xmlns:a16="http://schemas.microsoft.com/office/drawing/2014/main" id="{904DA534-CD6D-4735-BD18-F9B5E2EAD01C}"/>
              </a:ext>
            </a:extLst>
          </xdr:cNvPr>
          <xdr:cNvSpPr>
            <a:spLocks/>
          </xdr:cNvSpPr>
        </xdr:nvSpPr>
        <xdr:spPr bwMode="auto">
          <a:xfrm rot="-5400000">
            <a:off x="406" y="609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4" name="Line 58">
            <a:extLst>
              <a:ext uri="{FF2B5EF4-FFF2-40B4-BE49-F238E27FC236}">
                <a16:creationId xmlns:a16="http://schemas.microsoft.com/office/drawing/2014/main" id="{ABF07466-B09A-40E2-968B-C555E85C41B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5" name="Freeform 59">
            <a:extLst>
              <a:ext uri="{FF2B5EF4-FFF2-40B4-BE49-F238E27FC236}">
                <a16:creationId xmlns:a16="http://schemas.microsoft.com/office/drawing/2014/main" id="{0F6D9882-CF28-4CE5-894D-FC47F36186FE}"/>
              </a:ext>
            </a:extLst>
          </xdr:cNvPr>
          <xdr:cNvSpPr>
            <a:spLocks/>
          </xdr:cNvSpPr>
        </xdr:nvSpPr>
        <xdr:spPr bwMode="auto">
          <a:xfrm rot="-5400000">
            <a:off x="414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121" name="Group 60">
          <a:extLst>
            <a:ext uri="{FF2B5EF4-FFF2-40B4-BE49-F238E27FC236}">
              <a16:creationId xmlns:a16="http://schemas.microsoft.com/office/drawing/2014/main" id="{741A845B-F002-49FA-8F85-5B5127162722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136" name="Line 61">
            <a:extLst>
              <a:ext uri="{FF2B5EF4-FFF2-40B4-BE49-F238E27FC236}">
                <a16:creationId xmlns:a16="http://schemas.microsoft.com/office/drawing/2014/main" id="{BDBEAD37-0136-4007-B54D-F425968F4FF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Freeform 62">
            <a:extLst>
              <a:ext uri="{FF2B5EF4-FFF2-40B4-BE49-F238E27FC236}">
                <a16:creationId xmlns:a16="http://schemas.microsoft.com/office/drawing/2014/main" id="{A2B054C6-DFA1-4542-96C6-F0F598296EB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8" name="Freeform 63">
            <a:extLst>
              <a:ext uri="{FF2B5EF4-FFF2-40B4-BE49-F238E27FC236}">
                <a16:creationId xmlns:a16="http://schemas.microsoft.com/office/drawing/2014/main" id="{B2D48690-9FD8-4838-81A2-0727D8EECAC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419100</xdr:rowOff>
    </xdr:from>
    <xdr:to>
      <xdr:col>13</xdr:col>
      <xdr:colOff>38100</xdr:colOff>
      <xdr:row>15</xdr:row>
      <xdr:rowOff>1152525</xdr:rowOff>
    </xdr:to>
    <xdr:grpSp>
      <xdr:nvGrpSpPr>
        <xdr:cNvPr id="1122" name="Group 64">
          <a:extLst>
            <a:ext uri="{FF2B5EF4-FFF2-40B4-BE49-F238E27FC236}">
              <a16:creationId xmlns:a16="http://schemas.microsoft.com/office/drawing/2014/main" id="{5FE17BFA-47EC-4239-ABC1-8051C1486AE5}"/>
            </a:ext>
          </a:extLst>
        </xdr:cNvPr>
        <xdr:cNvGrpSpPr>
          <a:grpSpLocks/>
        </xdr:cNvGrpSpPr>
      </xdr:nvGrpSpPr>
      <xdr:grpSpPr bwMode="auto">
        <a:xfrm rot="5400000">
          <a:off x="3348037" y="5872163"/>
          <a:ext cx="733425" cy="57150"/>
          <a:chOff x="123" y="549"/>
          <a:chExt cx="77" cy="6"/>
        </a:xfrm>
      </xdr:grpSpPr>
      <xdr:sp macro="" textlink="">
        <xdr:nvSpPr>
          <xdr:cNvPr id="1133" name="Line 65">
            <a:extLst>
              <a:ext uri="{FF2B5EF4-FFF2-40B4-BE49-F238E27FC236}">
                <a16:creationId xmlns:a16="http://schemas.microsoft.com/office/drawing/2014/main" id="{AAD2BCAD-D671-43FA-A9C9-EBDA6F3AD56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4" name="Freeform 66">
            <a:extLst>
              <a:ext uri="{FF2B5EF4-FFF2-40B4-BE49-F238E27FC236}">
                <a16:creationId xmlns:a16="http://schemas.microsoft.com/office/drawing/2014/main" id="{26F3F1C1-7A37-4824-8A10-2EBE9B9631C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5" name="Freeform 67">
            <a:extLst>
              <a:ext uri="{FF2B5EF4-FFF2-40B4-BE49-F238E27FC236}">
                <a16:creationId xmlns:a16="http://schemas.microsoft.com/office/drawing/2014/main" id="{AFF0E9B1-ADF8-4DEE-8495-FCF075E0E7C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15</xdr:row>
      <xdr:rowOff>228600</xdr:rowOff>
    </xdr:from>
    <xdr:to>
      <xdr:col>9</xdr:col>
      <xdr:colOff>9525</xdr:colOff>
      <xdr:row>15</xdr:row>
      <xdr:rowOff>419100</xdr:rowOff>
    </xdr:to>
    <xdr:sp macro="" textlink="">
      <xdr:nvSpPr>
        <xdr:cNvPr id="1092" name="Text Box 68">
          <a:extLst>
            <a:ext uri="{FF2B5EF4-FFF2-40B4-BE49-F238E27FC236}">
              <a16:creationId xmlns:a16="http://schemas.microsoft.com/office/drawing/2014/main" id="{6B6E057E-4237-4D4B-BC98-ACDC6EEA25C2}"/>
            </a:ext>
          </a:extLst>
        </xdr:cNvPr>
        <xdr:cNvSpPr txBox="1">
          <a:spLocks noChangeArrowheads="1"/>
        </xdr:cNvSpPr>
      </xdr:nvSpPr>
      <xdr:spPr bwMode="auto">
        <a:xfrm>
          <a:off x="904875" y="534352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  <a:endParaRPr lang="ja-JP" altLang="en-US"/>
        </a:p>
      </xdr:txBody>
    </xdr:sp>
    <xdr:clientData/>
  </xdr:twoCellAnchor>
  <xdr:twoCellAnchor>
    <xdr:from>
      <xdr:col>0</xdr:col>
      <xdr:colOff>76200</xdr:colOff>
      <xdr:row>9</xdr:row>
      <xdr:rowOff>209550</xdr:rowOff>
    </xdr:from>
    <xdr:to>
      <xdr:col>7</xdr:col>
      <xdr:colOff>161925</xdr:colOff>
      <xdr:row>14</xdr:row>
      <xdr:rowOff>0</xdr:rowOff>
    </xdr:to>
    <xdr:sp macro="" textlink="">
      <xdr:nvSpPr>
        <xdr:cNvPr id="1093" name="Text Box 69">
          <a:extLst>
            <a:ext uri="{FF2B5EF4-FFF2-40B4-BE49-F238E27FC236}">
              <a16:creationId xmlns:a16="http://schemas.microsoft.com/office/drawing/2014/main" id="{D71F0E41-82B7-4FC9-BB97-86BCCE00BA2A}"/>
            </a:ext>
          </a:extLst>
        </xdr:cNvPr>
        <xdr:cNvSpPr txBox="1">
          <a:spLocks noChangeArrowheads="1"/>
        </xdr:cNvSpPr>
      </xdr:nvSpPr>
      <xdr:spPr bwMode="auto">
        <a:xfrm>
          <a:off x="76200" y="3952875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  <a:endParaRPr lang="ja-JP" altLang="en-US"/>
        </a:p>
      </xdr:txBody>
    </xdr:sp>
    <xdr:clientData/>
  </xdr:twoCellAnchor>
  <xdr:twoCellAnchor editAs="oneCell">
    <xdr:from>
      <xdr:col>5</xdr:col>
      <xdr:colOff>161925</xdr:colOff>
      <xdr:row>3</xdr:row>
      <xdr:rowOff>9525</xdr:rowOff>
    </xdr:from>
    <xdr:to>
      <xdr:col>20</xdr:col>
      <xdr:colOff>0</xdr:colOff>
      <xdr:row>9</xdr:row>
      <xdr:rowOff>133350</xdr:rowOff>
    </xdr:to>
    <xdr:pic>
      <xdr:nvPicPr>
        <xdr:cNvPr id="1125" name="Picture 70" descr="20080">
          <a:extLst>
            <a:ext uri="{FF2B5EF4-FFF2-40B4-BE49-F238E27FC236}">
              <a16:creationId xmlns:a16="http://schemas.microsoft.com/office/drawing/2014/main" id="{42B2F4C7-897C-467E-9F33-78AE55D14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733425"/>
          <a:ext cx="4552950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15</xdr:row>
      <xdr:rowOff>133350</xdr:rowOff>
    </xdr:from>
    <xdr:to>
      <xdr:col>7</xdr:col>
      <xdr:colOff>66675</xdr:colOff>
      <xdr:row>15</xdr:row>
      <xdr:rowOff>295275</xdr:rowOff>
    </xdr:to>
    <xdr:sp macro="" textlink="">
      <xdr:nvSpPr>
        <xdr:cNvPr id="1095" name="Text Box 71">
          <a:extLst>
            <a:ext uri="{FF2B5EF4-FFF2-40B4-BE49-F238E27FC236}">
              <a16:creationId xmlns:a16="http://schemas.microsoft.com/office/drawing/2014/main" id="{0BDBDEBD-5355-49BC-98A2-8C15766D8BED}"/>
            </a:ext>
          </a:extLst>
        </xdr:cNvPr>
        <xdr:cNvSpPr txBox="1">
          <a:spLocks noChangeArrowheads="1"/>
        </xdr:cNvSpPr>
      </xdr:nvSpPr>
      <xdr:spPr bwMode="auto">
        <a:xfrm>
          <a:off x="1533525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8.6m</a:t>
          </a:r>
          <a:endParaRPr lang="ja-JP" altLang="en-US"/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1096" name="Text Box 72">
          <a:extLst>
            <a:ext uri="{FF2B5EF4-FFF2-40B4-BE49-F238E27FC236}">
              <a16:creationId xmlns:a16="http://schemas.microsoft.com/office/drawing/2014/main" id="{C4ED5AAB-7458-40E0-9B0F-1A9F015A8FEF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12.2m</a:t>
          </a:r>
          <a:endParaRPr lang="ja-JP" altLang="en-US"/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28" name="Picture 73" descr="北マーク（北東）">
          <a:extLst>
            <a:ext uri="{FF2B5EF4-FFF2-40B4-BE49-F238E27FC236}">
              <a16:creationId xmlns:a16="http://schemas.microsoft.com/office/drawing/2014/main" id="{35230527-7317-4CAF-862B-0B0FBE92D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152400</xdr:colOff>
      <xdr:row>7</xdr:row>
      <xdr:rowOff>533400</xdr:rowOff>
    </xdr:from>
    <xdr:to>
      <xdr:col>5</xdr:col>
      <xdr:colOff>85725</xdr:colOff>
      <xdr:row>9</xdr:row>
      <xdr:rowOff>19050</xdr:rowOff>
    </xdr:to>
    <xdr:sp macro="" textlink="">
      <xdr:nvSpPr>
        <xdr:cNvPr id="1098" name="Text Box 74">
          <a:extLst>
            <a:ext uri="{FF2B5EF4-FFF2-40B4-BE49-F238E27FC236}">
              <a16:creationId xmlns:a16="http://schemas.microsoft.com/office/drawing/2014/main" id="{59DA57CF-8D08-4771-845F-BC3AAFB17F8B}"/>
            </a:ext>
          </a:extLst>
        </xdr:cNvPr>
        <xdr:cNvSpPr txBox="1">
          <a:spLocks noChangeArrowheads="1"/>
        </xdr:cNvSpPr>
      </xdr:nvSpPr>
      <xdr:spPr bwMode="auto">
        <a:xfrm>
          <a:off x="1028700" y="21717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中央桟橋</a:t>
          </a:r>
          <a:endParaRPr lang="ja-JP" altLang="en-US"/>
        </a:p>
      </xdr:txBody>
    </xdr:sp>
    <xdr:clientData/>
  </xdr:twoCellAnchor>
  <xdr:twoCellAnchor>
    <xdr:from>
      <xdr:col>20</xdr:col>
      <xdr:colOff>28575</xdr:colOff>
      <xdr:row>7</xdr:row>
      <xdr:rowOff>466725</xdr:rowOff>
    </xdr:from>
    <xdr:to>
      <xdr:col>20</xdr:col>
      <xdr:colOff>276225</xdr:colOff>
      <xdr:row>8</xdr:row>
      <xdr:rowOff>180975</xdr:rowOff>
    </xdr:to>
    <xdr:sp macro="" textlink="">
      <xdr:nvSpPr>
        <xdr:cNvPr id="1099" name="Text Box 75">
          <a:extLst>
            <a:ext uri="{FF2B5EF4-FFF2-40B4-BE49-F238E27FC236}">
              <a16:creationId xmlns:a16="http://schemas.microsoft.com/office/drawing/2014/main" id="{A78E17D8-92FB-4FC3-8D96-B54CD5249071}"/>
            </a:ext>
          </a:extLst>
        </xdr:cNvPr>
        <xdr:cNvSpPr txBox="1">
          <a:spLocks noChangeArrowheads="1"/>
        </xdr:cNvSpPr>
      </xdr:nvSpPr>
      <xdr:spPr bwMode="auto">
        <a:xfrm>
          <a:off x="5934075" y="21050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昭和橋西詰</a:t>
          </a:r>
          <a:endParaRPr lang="ja-JP" altLang="en-US"/>
        </a:p>
      </xdr:txBody>
    </xdr:sp>
    <xdr:clientData/>
  </xdr:twoCellAnchor>
  <xdr:twoCellAnchor>
    <xdr:from>
      <xdr:col>5</xdr:col>
      <xdr:colOff>152400</xdr:colOff>
      <xdr:row>7</xdr:row>
      <xdr:rowOff>1238250</xdr:rowOff>
    </xdr:from>
    <xdr:to>
      <xdr:col>6</xdr:col>
      <xdr:colOff>228600</xdr:colOff>
      <xdr:row>7</xdr:row>
      <xdr:rowOff>1381125</xdr:rowOff>
    </xdr:to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D42230BA-0786-4734-9950-01D4DC207204}"/>
            </a:ext>
          </a:extLst>
        </xdr:cNvPr>
        <xdr:cNvSpPr txBox="1">
          <a:spLocks noChangeArrowheads="1"/>
        </xdr:cNvSpPr>
      </xdr:nvSpPr>
      <xdr:spPr bwMode="auto">
        <a:xfrm>
          <a:off x="1343025" y="28765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  <a:endParaRPr lang="ja-JP" altLang="en-US"/>
        </a:p>
      </xdr:txBody>
    </xdr:sp>
    <xdr:clientData/>
  </xdr:twoCellAnchor>
  <xdr:twoCellAnchor>
    <xdr:from>
      <xdr:col>12</xdr:col>
      <xdr:colOff>104775</xdr:colOff>
      <xdr:row>3</xdr:row>
      <xdr:rowOff>28575</xdr:rowOff>
    </xdr:from>
    <xdr:to>
      <xdr:col>13</xdr:col>
      <xdr:colOff>180975</xdr:colOff>
      <xdr:row>3</xdr:row>
      <xdr:rowOff>171450</xdr:rowOff>
    </xdr:to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E5306D02-F37A-4840-8B75-80F648C50353}"/>
            </a:ext>
          </a:extLst>
        </xdr:cNvPr>
        <xdr:cNvSpPr txBox="1">
          <a:spLocks noChangeArrowheads="1"/>
        </xdr:cNvSpPr>
      </xdr:nvSpPr>
      <xdr:spPr bwMode="auto">
        <a:xfrm>
          <a:off x="3495675" y="7524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Y18" sqref="Y18"/>
    </sheetView>
  </sheetViews>
  <sheetFormatPr defaultRowHeight="12" x14ac:dyDescent="0.15"/>
  <cols>
    <col min="1" max="1" width="7.5" style="47" bestFit="1" customWidth="1"/>
    <col min="2" max="2" width="2.25" style="39" bestFit="1" customWidth="1"/>
    <col min="3" max="3" width="4.5" style="39" bestFit="1" customWidth="1"/>
    <col min="4" max="4" width="2.25" style="39" bestFit="1" customWidth="1"/>
    <col min="5" max="24" width="4.125" style="26" customWidth="1"/>
    <col min="25" max="16384" width="9" style="26"/>
  </cols>
  <sheetData>
    <row r="1" spans="1:30" ht="15" customHeight="1" x14ac:dyDescent="0.15">
      <c r="A1" s="56" t="s">
        <v>0</v>
      </c>
      <c r="B1" s="85"/>
      <c r="C1" s="85"/>
      <c r="D1" s="85"/>
      <c r="E1" s="57"/>
      <c r="F1" s="100" t="s">
        <v>54</v>
      </c>
      <c r="G1" s="85"/>
      <c r="H1" s="83" t="s">
        <v>46</v>
      </c>
      <c r="I1" s="83"/>
      <c r="J1" s="83"/>
      <c r="K1" s="83"/>
      <c r="L1" s="85" t="s">
        <v>47</v>
      </c>
      <c r="M1" s="57"/>
      <c r="N1" s="88" t="s">
        <v>48</v>
      </c>
      <c r="O1" s="57"/>
      <c r="P1" s="90">
        <v>46072</v>
      </c>
      <c r="Q1" s="91"/>
      <c r="R1" s="91"/>
      <c r="S1" s="92"/>
      <c r="T1" s="89" t="s">
        <v>4</v>
      </c>
      <c r="U1" s="89"/>
      <c r="V1" s="89" t="s">
        <v>59</v>
      </c>
      <c r="W1" s="89"/>
      <c r="X1" s="89"/>
    </row>
    <row r="2" spans="1:30" ht="7.5" customHeight="1" x14ac:dyDescent="0.15">
      <c r="A2" s="99"/>
      <c r="B2" s="86"/>
      <c r="C2" s="86"/>
      <c r="D2" s="86"/>
      <c r="E2" s="87"/>
      <c r="F2" s="99"/>
      <c r="G2" s="86"/>
      <c r="H2" s="84"/>
      <c r="I2" s="84"/>
      <c r="J2" s="84"/>
      <c r="K2" s="84"/>
      <c r="L2" s="86"/>
      <c r="M2" s="87"/>
      <c r="N2" s="66"/>
      <c r="O2" s="68"/>
      <c r="P2" s="93"/>
      <c r="Q2" s="94"/>
      <c r="R2" s="94"/>
      <c r="S2" s="95"/>
      <c r="T2" s="56" t="s">
        <v>11</v>
      </c>
      <c r="U2" s="57"/>
      <c r="V2" s="60">
        <v>46023</v>
      </c>
      <c r="W2" s="61"/>
      <c r="X2" s="62"/>
    </row>
    <row r="3" spans="1:30" ht="7.5" customHeight="1" x14ac:dyDescent="0.15">
      <c r="A3" s="66" t="s">
        <v>6</v>
      </c>
      <c r="B3" s="67"/>
      <c r="C3" s="67"/>
      <c r="D3" s="67"/>
      <c r="E3" s="68"/>
      <c r="F3" s="70" t="s">
        <v>55</v>
      </c>
      <c r="G3" s="71"/>
      <c r="H3" s="72" t="s">
        <v>46</v>
      </c>
      <c r="I3" s="72"/>
      <c r="J3" s="72"/>
      <c r="K3" s="72"/>
      <c r="L3" s="74" t="s">
        <v>49</v>
      </c>
      <c r="M3" s="75"/>
      <c r="N3" s="66"/>
      <c r="O3" s="68"/>
      <c r="P3" s="78">
        <v>1.8749999999999999E-2</v>
      </c>
      <c r="Q3" s="79"/>
      <c r="R3" s="79"/>
      <c r="S3" s="82" t="s">
        <v>10</v>
      </c>
      <c r="T3" s="58"/>
      <c r="U3" s="59"/>
      <c r="V3" s="63"/>
      <c r="W3" s="64"/>
      <c r="X3" s="65"/>
    </row>
    <row r="4" spans="1:30" ht="15" customHeight="1" x14ac:dyDescent="0.15">
      <c r="A4" s="58"/>
      <c r="B4" s="69"/>
      <c r="C4" s="69"/>
      <c r="D4" s="69"/>
      <c r="E4" s="59"/>
      <c r="F4" s="58"/>
      <c r="G4" s="69"/>
      <c r="H4" s="73"/>
      <c r="I4" s="73"/>
      <c r="J4" s="73"/>
      <c r="K4" s="73"/>
      <c r="L4" s="76"/>
      <c r="M4" s="77"/>
      <c r="N4" s="58"/>
      <c r="O4" s="59"/>
      <c r="P4" s="80"/>
      <c r="Q4" s="81"/>
      <c r="R4" s="81"/>
      <c r="S4" s="59"/>
      <c r="T4" s="89" t="s">
        <v>50</v>
      </c>
      <c r="U4" s="89"/>
      <c r="V4" s="89" t="s">
        <v>58</v>
      </c>
      <c r="W4" s="89"/>
      <c r="X4" s="89"/>
      <c r="Z4" s="27" t="s">
        <v>51</v>
      </c>
      <c r="AA4" s="28">
        <v>840</v>
      </c>
    </row>
    <row r="5" spans="1:30" ht="18" customHeight="1" x14ac:dyDescent="0.15">
      <c r="A5" s="113"/>
      <c r="B5" s="114"/>
      <c r="C5" s="114"/>
      <c r="D5" s="11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30" ht="18" customHeight="1" x14ac:dyDescent="0.15">
      <c r="A6" s="111"/>
      <c r="B6" s="112"/>
      <c r="C6" s="112"/>
      <c r="D6" s="112"/>
      <c r="X6" s="37"/>
    </row>
    <row r="7" spans="1:30" ht="18" customHeight="1" x14ac:dyDescent="0.15">
      <c r="A7" s="111"/>
      <c r="B7" s="112"/>
      <c r="C7" s="112"/>
      <c r="D7" s="112"/>
      <c r="X7" s="37"/>
    </row>
    <row r="8" spans="1:30" ht="18" customHeight="1" x14ac:dyDescent="0.15">
      <c r="A8" s="111"/>
      <c r="B8" s="112"/>
      <c r="C8" s="112"/>
      <c r="D8" s="112"/>
      <c r="X8" s="37"/>
    </row>
    <row r="9" spans="1:30" ht="18" customHeight="1" x14ac:dyDescent="0.15">
      <c r="A9" s="111"/>
      <c r="B9" s="112"/>
      <c r="C9" s="112"/>
      <c r="D9" s="112"/>
      <c r="X9" s="37"/>
    </row>
    <row r="10" spans="1:30" ht="147.75" customHeight="1" x14ac:dyDescent="0.15">
      <c r="A10" s="111"/>
      <c r="B10" s="112"/>
      <c r="C10" s="112"/>
      <c r="D10" s="112"/>
      <c r="X10" s="37"/>
    </row>
    <row r="11" spans="1:30" ht="18" customHeight="1" x14ac:dyDescent="0.15">
      <c r="A11" s="111"/>
      <c r="B11" s="112"/>
      <c r="C11" s="112"/>
      <c r="D11" s="112"/>
      <c r="X11" s="37"/>
    </row>
    <row r="12" spans="1:30" ht="18" customHeight="1" x14ac:dyDescent="0.15">
      <c r="A12" s="111"/>
      <c r="B12" s="112"/>
      <c r="C12" s="112"/>
      <c r="D12" s="112"/>
      <c r="X12" s="37"/>
    </row>
    <row r="13" spans="1:30" ht="18" customHeight="1" x14ac:dyDescent="0.15">
      <c r="A13" s="104"/>
      <c r="B13" s="105"/>
      <c r="C13" s="106"/>
      <c r="D13" s="106"/>
      <c r="E13" s="38"/>
      <c r="F13" s="39"/>
      <c r="G13" s="39"/>
      <c r="H13" s="39"/>
      <c r="I13" s="39"/>
      <c r="X13" s="37"/>
    </row>
    <row r="14" spans="1:30" ht="18" customHeight="1" x14ac:dyDescent="0.15">
      <c r="A14" s="104"/>
      <c r="B14" s="105"/>
      <c r="C14" s="106"/>
      <c r="D14" s="106"/>
      <c r="E14" s="38"/>
      <c r="X14" s="37"/>
      <c r="Z14" s="26">
        <v>40</v>
      </c>
      <c r="AA14" s="26">
        <f>Z14/3.6</f>
        <v>11.111111111111111</v>
      </c>
      <c r="AC14" s="55">
        <v>28.7</v>
      </c>
      <c r="AD14" s="55">
        <f>AC14/AA14</f>
        <v>2.5830000000000002</v>
      </c>
    </row>
    <row r="15" spans="1:30" ht="18" customHeight="1" x14ac:dyDescent="0.15">
      <c r="A15" s="107"/>
      <c r="B15" s="108"/>
      <c r="C15" s="109"/>
      <c r="D15" s="109"/>
      <c r="E15" s="40"/>
      <c r="F15" s="40"/>
      <c r="G15" s="40"/>
      <c r="H15" s="40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Z15" s="26">
        <v>40</v>
      </c>
      <c r="AA15" s="26">
        <f>Z15/3.6</f>
        <v>11.111111111111111</v>
      </c>
      <c r="AC15" s="55">
        <v>21.8</v>
      </c>
      <c r="AD15" s="55">
        <f>AC15/AA15</f>
        <v>1.9620000000000002</v>
      </c>
    </row>
    <row r="16" spans="1:30" s="44" customFormat="1" ht="18" customHeight="1" x14ac:dyDescent="0.15">
      <c r="A16" s="110" t="s">
        <v>13</v>
      </c>
      <c r="B16" s="110"/>
      <c r="C16" s="110"/>
      <c r="D16" s="110"/>
      <c r="E16" s="32">
        <v>1</v>
      </c>
      <c r="F16" s="32">
        <v>2</v>
      </c>
      <c r="G16" s="32">
        <v>3</v>
      </c>
      <c r="H16" s="32">
        <v>4</v>
      </c>
      <c r="I16" s="32">
        <v>5</v>
      </c>
      <c r="J16" s="32">
        <v>6</v>
      </c>
      <c r="K16" s="32">
        <v>7</v>
      </c>
      <c r="L16" s="32">
        <v>8</v>
      </c>
      <c r="M16" s="32">
        <v>9</v>
      </c>
      <c r="N16" s="32">
        <v>10</v>
      </c>
      <c r="O16" s="32">
        <v>11</v>
      </c>
      <c r="P16" s="32">
        <v>12</v>
      </c>
      <c r="Q16" s="32">
        <v>13</v>
      </c>
      <c r="R16" s="43">
        <v>14</v>
      </c>
      <c r="S16" s="32">
        <v>15</v>
      </c>
      <c r="T16" s="32">
        <v>16</v>
      </c>
      <c r="U16" s="32">
        <v>17</v>
      </c>
      <c r="V16" s="32">
        <v>18</v>
      </c>
      <c r="W16" s="32">
        <v>19</v>
      </c>
      <c r="X16" s="32">
        <v>20</v>
      </c>
    </row>
    <row r="17" spans="1:25" s="47" customFormat="1" ht="18" customHeight="1" x14ac:dyDescent="0.15">
      <c r="A17" s="110" t="s">
        <v>14</v>
      </c>
      <c r="B17" s="110"/>
      <c r="C17" s="110"/>
      <c r="D17" s="110"/>
      <c r="E17" s="45" t="s">
        <v>15</v>
      </c>
      <c r="F17" s="45" t="s">
        <v>16</v>
      </c>
      <c r="G17" s="45" t="s">
        <v>17</v>
      </c>
      <c r="H17" s="45" t="s">
        <v>18</v>
      </c>
      <c r="I17" s="45" t="s">
        <v>19</v>
      </c>
      <c r="J17" s="45" t="s">
        <v>20</v>
      </c>
      <c r="K17" s="45" t="s">
        <v>21</v>
      </c>
      <c r="L17" s="45" t="s">
        <v>22</v>
      </c>
      <c r="M17" s="45" t="s">
        <v>23</v>
      </c>
      <c r="N17" s="46" t="s">
        <v>24</v>
      </c>
      <c r="O17" s="46"/>
      <c r="P17" s="45"/>
      <c r="Q17" s="45"/>
      <c r="R17" s="46"/>
      <c r="S17" s="45"/>
      <c r="T17" s="45"/>
      <c r="U17" s="45"/>
      <c r="V17" s="45"/>
      <c r="W17" s="45"/>
      <c r="X17" s="45"/>
    </row>
    <row r="18" spans="1:25" s="47" customFormat="1" ht="125.1" customHeight="1" x14ac:dyDescent="0.15">
      <c r="A18" s="96"/>
      <c r="B18" s="97"/>
      <c r="C18" s="97"/>
      <c r="D18" s="98"/>
      <c r="E18" s="48"/>
      <c r="F18" s="49"/>
      <c r="G18" s="49"/>
      <c r="H18" s="49"/>
      <c r="I18" s="49"/>
      <c r="J18" s="48"/>
      <c r="K18" s="49"/>
      <c r="L18" s="49"/>
      <c r="M18" s="49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6"/>
      <c r="Y18" s="50"/>
    </row>
    <row r="19" spans="1:25" ht="18" customHeight="1" x14ac:dyDescent="0.15">
      <c r="A19" s="96" t="s">
        <v>57</v>
      </c>
      <c r="B19" s="97"/>
      <c r="C19" s="97" t="s">
        <v>26</v>
      </c>
      <c r="D19" s="98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5" ht="18" customHeight="1" x14ac:dyDescent="0.15">
      <c r="A20" s="96" t="s">
        <v>27</v>
      </c>
      <c r="B20" s="97"/>
      <c r="C20" s="97" t="s">
        <v>28</v>
      </c>
      <c r="D20" s="98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5" ht="18" customHeight="1" x14ac:dyDescent="0.15">
      <c r="A21" s="96" t="s">
        <v>56</v>
      </c>
      <c r="B21" s="97"/>
      <c r="C21" s="97" t="s">
        <v>30</v>
      </c>
      <c r="D21" s="98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5" ht="18" customHeight="1" x14ac:dyDescent="0.15">
      <c r="A22" s="96" t="s">
        <v>31</v>
      </c>
      <c r="B22" s="97"/>
      <c r="C22" s="97" t="s">
        <v>32</v>
      </c>
      <c r="D22" s="98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5" ht="18" customHeight="1" x14ac:dyDescent="0.15">
      <c r="A23" s="96"/>
      <c r="B23" s="97"/>
      <c r="C23" s="97"/>
      <c r="D23" s="98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5" ht="18" customHeight="1" x14ac:dyDescent="0.15">
      <c r="A24" s="96"/>
      <c r="B24" s="97"/>
      <c r="C24" s="97"/>
      <c r="D24" s="98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5" ht="18" customHeight="1" x14ac:dyDescent="0.15">
      <c r="A25" s="96"/>
      <c r="B25" s="97"/>
      <c r="C25" s="97"/>
      <c r="D25" s="98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5" ht="18" customHeight="1" x14ac:dyDescent="0.15">
      <c r="A26" s="96"/>
      <c r="B26" s="97"/>
      <c r="C26" s="97"/>
      <c r="D26" s="98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5" ht="18" customHeight="1" x14ac:dyDescent="0.15">
      <c r="A27" s="101"/>
      <c r="B27" s="102"/>
      <c r="C27" s="102"/>
      <c r="D27" s="103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5" ht="18" customHeight="1" x14ac:dyDescent="0.15">
      <c r="A28" s="101"/>
      <c r="B28" s="102"/>
      <c r="C28" s="102"/>
      <c r="D28" s="103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5" ht="18" customHeight="1" x14ac:dyDescent="0.15">
      <c r="A29" s="101"/>
      <c r="B29" s="102"/>
      <c r="C29" s="102"/>
      <c r="D29" s="103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spans="1:25" ht="18" customHeight="1" x14ac:dyDescent="0.15">
      <c r="A30" s="101"/>
      <c r="B30" s="102"/>
      <c r="C30" s="102"/>
      <c r="D30" s="103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spans="1:25" ht="18" customHeight="1" x14ac:dyDescent="0.15">
      <c r="A31" s="101"/>
      <c r="B31" s="102"/>
      <c r="C31" s="102"/>
      <c r="D31" s="103"/>
      <c r="E31" s="51"/>
      <c r="F31" s="51"/>
      <c r="G31" s="51"/>
      <c r="H31" s="52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spans="1:25" ht="18" customHeight="1" x14ac:dyDescent="0.15">
      <c r="A32" s="101"/>
      <c r="B32" s="102"/>
      <c r="C32" s="102"/>
      <c r="D32" s="103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spans="1:27" ht="18" customHeight="1" x14ac:dyDescent="0.15">
      <c r="A33" s="29" t="s">
        <v>52</v>
      </c>
      <c r="B33" s="30"/>
      <c r="C33" s="31"/>
      <c r="D33" s="53"/>
      <c r="E33" s="32">
        <v>109</v>
      </c>
      <c r="F33" s="32"/>
      <c r="G33" s="32"/>
      <c r="H33" s="32"/>
      <c r="I33" s="32"/>
      <c r="J33" s="32">
        <v>109</v>
      </c>
      <c r="K33" s="32"/>
      <c r="L33" s="32"/>
      <c r="M33" s="32"/>
      <c r="N33" s="32"/>
      <c r="O33" s="32"/>
      <c r="P33" s="32"/>
      <c r="Q33" s="32"/>
      <c r="R33" s="32"/>
      <c r="S33" s="32"/>
      <c r="T33" s="51"/>
      <c r="U33" s="51"/>
      <c r="V33" s="51"/>
      <c r="W33" s="51"/>
      <c r="X33" s="51"/>
    </row>
    <row r="34" spans="1:27" ht="18" customHeight="1" x14ac:dyDescent="0.15">
      <c r="A34" s="29" t="s">
        <v>53</v>
      </c>
      <c r="B34" s="30" t="s">
        <v>39</v>
      </c>
      <c r="C34" s="33">
        <f>SUM(E34:X34)</f>
        <v>49</v>
      </c>
      <c r="D34" s="54" t="s">
        <v>40</v>
      </c>
      <c r="E34" s="32">
        <v>10</v>
      </c>
      <c r="F34" s="32">
        <v>5</v>
      </c>
      <c r="G34" s="32">
        <v>2</v>
      </c>
      <c r="H34" s="32">
        <v>3</v>
      </c>
      <c r="I34" s="32">
        <v>3</v>
      </c>
      <c r="J34" s="32">
        <v>13</v>
      </c>
      <c r="K34" s="32">
        <v>5</v>
      </c>
      <c r="L34" s="32">
        <v>2</v>
      </c>
      <c r="M34" s="32">
        <v>3</v>
      </c>
      <c r="N34" s="32">
        <v>3</v>
      </c>
      <c r="O34" s="32"/>
      <c r="P34" s="32"/>
      <c r="Q34" s="32"/>
      <c r="R34" s="32"/>
      <c r="S34" s="32"/>
      <c r="T34" s="51"/>
      <c r="U34" s="51"/>
      <c r="V34" s="51"/>
      <c r="W34" s="51"/>
      <c r="X34" s="51"/>
      <c r="Y34" s="34"/>
      <c r="Z34" s="26">
        <v>70</v>
      </c>
      <c r="AA34" s="26">
        <f>Z34-INT(Z34/8)-3</f>
        <v>59</v>
      </c>
    </row>
    <row r="35" spans="1:27" ht="18" customHeight="1" x14ac:dyDescent="0.15">
      <c r="A35" s="29" t="s">
        <v>38</v>
      </c>
      <c r="B35" s="30" t="s">
        <v>39</v>
      </c>
      <c r="C35" s="33">
        <f>SUM(E35:X35)</f>
        <v>140</v>
      </c>
      <c r="D35" s="54" t="s">
        <v>40</v>
      </c>
      <c r="E35" s="32">
        <v>71</v>
      </c>
      <c r="F35" s="32">
        <v>5</v>
      </c>
      <c r="G35" s="32">
        <v>2</v>
      </c>
      <c r="H35" s="32">
        <v>3</v>
      </c>
      <c r="I35" s="32">
        <v>3</v>
      </c>
      <c r="J35" s="32">
        <v>43</v>
      </c>
      <c r="K35" s="32">
        <v>5</v>
      </c>
      <c r="L35" s="32">
        <v>2</v>
      </c>
      <c r="M35" s="32">
        <v>3</v>
      </c>
      <c r="N35" s="32">
        <v>3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4"/>
      <c r="Z35" s="26">
        <v>140</v>
      </c>
      <c r="AA35" s="26">
        <f>Z35-INT(Z35/8)-3</f>
        <v>120</v>
      </c>
    </row>
    <row r="36" spans="1:27" ht="18" customHeight="1" x14ac:dyDescent="0.15">
      <c r="A36" s="96" t="s">
        <v>41</v>
      </c>
      <c r="B36" s="97"/>
      <c r="C36" s="97"/>
      <c r="D36" s="98"/>
      <c r="E36" s="32">
        <v>110</v>
      </c>
      <c r="F36" s="32">
        <v>110</v>
      </c>
      <c r="G36" s="32">
        <v>110</v>
      </c>
      <c r="H36" s="32">
        <v>10</v>
      </c>
      <c r="I36" s="32">
        <v>10</v>
      </c>
      <c r="J36" s="32">
        <v>110</v>
      </c>
      <c r="K36" s="32">
        <v>110</v>
      </c>
      <c r="L36" s="32">
        <v>110</v>
      </c>
      <c r="M36" s="32">
        <v>10</v>
      </c>
      <c r="N36" s="32">
        <v>10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7" ht="18" customHeight="1" x14ac:dyDescent="0.15">
      <c r="A37" s="96" t="s">
        <v>42</v>
      </c>
      <c r="B37" s="97"/>
      <c r="C37" s="97"/>
      <c r="D37" s="98"/>
      <c r="E37" s="32">
        <v>6</v>
      </c>
      <c r="F37" s="32">
        <v>0.95</v>
      </c>
      <c r="G37" s="32">
        <v>0.95</v>
      </c>
      <c r="H37" s="32">
        <v>0.95</v>
      </c>
      <c r="I37" s="32">
        <v>0.95</v>
      </c>
      <c r="J37" s="32">
        <v>6</v>
      </c>
      <c r="K37" s="32">
        <v>0.95</v>
      </c>
      <c r="L37" s="32">
        <v>0.95</v>
      </c>
      <c r="M37" s="32">
        <v>0.95</v>
      </c>
      <c r="N37" s="32">
        <v>0.95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7" ht="18" customHeight="1" x14ac:dyDescent="0.15">
      <c r="A38" s="96" t="s">
        <v>43</v>
      </c>
      <c r="B38" s="97"/>
      <c r="C38" s="97"/>
      <c r="D38" s="98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" top="0.39370078740157483" bottom="0" header="0.23622047244094491" footer="0.31496062992125984"/>
  <pageSetup paperSize="9" scale="94" firstPageNumber="40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zoomScaleNormal="100" workbookViewId="0">
      <selection activeCell="H1" sqref="H1:M1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24" t="s">
        <v>0</v>
      </c>
      <c r="B1" s="124"/>
      <c r="C1" s="124"/>
      <c r="D1" s="124"/>
      <c r="E1" s="124"/>
      <c r="F1" s="125" t="s">
        <v>1</v>
      </c>
      <c r="G1" s="126"/>
      <c r="H1" s="127" t="s">
        <v>46</v>
      </c>
      <c r="I1" s="128"/>
      <c r="J1" s="128"/>
      <c r="K1" s="128"/>
      <c r="L1" s="128"/>
      <c r="M1" s="128"/>
      <c r="N1" s="129" t="s">
        <v>2</v>
      </c>
      <c r="O1" s="129"/>
      <c r="P1" s="124" t="s">
        <v>3</v>
      </c>
      <c r="Q1" s="124"/>
      <c r="R1" s="124"/>
      <c r="S1" s="124"/>
      <c r="T1" s="134" t="s">
        <v>4</v>
      </c>
      <c r="U1" s="134"/>
      <c r="V1" s="135" t="s">
        <v>5</v>
      </c>
      <c r="W1" s="135"/>
      <c r="X1" s="135"/>
    </row>
    <row r="2" spans="1:25" ht="20.100000000000001" customHeight="1" x14ac:dyDescent="0.15">
      <c r="A2" s="136" t="s">
        <v>6</v>
      </c>
      <c r="B2" s="136"/>
      <c r="C2" s="136"/>
      <c r="D2" s="136"/>
      <c r="E2" s="136"/>
      <c r="F2" s="137" t="s">
        <v>7</v>
      </c>
      <c r="G2" s="138"/>
      <c r="H2" s="139" t="s">
        <v>46</v>
      </c>
      <c r="I2" s="139"/>
      <c r="J2" s="139"/>
      <c r="K2" s="139"/>
      <c r="L2" s="140" t="s">
        <v>8</v>
      </c>
      <c r="M2" s="141"/>
      <c r="N2" s="136" t="s">
        <v>9</v>
      </c>
      <c r="O2" s="136"/>
      <c r="P2" s="142">
        <v>0.46666666666666662</v>
      </c>
      <c r="Q2" s="143"/>
      <c r="R2" s="144"/>
      <c r="S2" s="3" t="s">
        <v>10</v>
      </c>
      <c r="T2" s="134" t="s">
        <v>11</v>
      </c>
      <c r="U2" s="134"/>
      <c r="V2" s="145" t="s">
        <v>12</v>
      </c>
      <c r="W2" s="145"/>
      <c r="X2" s="145"/>
    </row>
    <row r="3" spans="1:25" ht="18" customHeight="1" x14ac:dyDescent="0.15">
      <c r="A3" s="130"/>
      <c r="B3" s="131"/>
      <c r="C3" s="131"/>
      <c r="D3" s="13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2"/>
      <c r="B4" s="133"/>
      <c r="C4" s="133"/>
      <c r="D4" s="133"/>
      <c r="X4" s="8"/>
    </row>
    <row r="5" spans="1:25" ht="18" customHeight="1" x14ac:dyDescent="0.15">
      <c r="A5" s="132"/>
      <c r="B5" s="133"/>
      <c r="C5" s="133"/>
      <c r="D5" s="133"/>
      <c r="X5" s="8"/>
    </row>
    <row r="6" spans="1:25" ht="18" customHeight="1" x14ac:dyDescent="0.15">
      <c r="A6" s="132"/>
      <c r="B6" s="133"/>
      <c r="C6" s="133"/>
      <c r="D6" s="133"/>
      <c r="X6" s="8"/>
    </row>
    <row r="7" spans="1:25" ht="18" customHeight="1" x14ac:dyDescent="0.15">
      <c r="A7" s="132"/>
      <c r="B7" s="133"/>
      <c r="C7" s="133"/>
      <c r="D7" s="133"/>
      <c r="X7" s="8"/>
    </row>
    <row r="8" spans="1:25" ht="147.75" customHeight="1" x14ac:dyDescent="0.15">
      <c r="A8" s="132"/>
      <c r="B8" s="133"/>
      <c r="C8" s="133"/>
      <c r="D8" s="133"/>
      <c r="X8" s="8"/>
    </row>
    <row r="9" spans="1:25" ht="18" customHeight="1" x14ac:dyDescent="0.15">
      <c r="A9" s="132"/>
      <c r="B9" s="133"/>
      <c r="C9" s="133"/>
      <c r="D9" s="133"/>
      <c r="X9" s="8"/>
    </row>
    <row r="10" spans="1:25" ht="18" customHeight="1" x14ac:dyDescent="0.15">
      <c r="A10" s="132"/>
      <c r="B10" s="133"/>
      <c r="C10" s="133"/>
      <c r="D10" s="133"/>
      <c r="X10" s="8"/>
    </row>
    <row r="11" spans="1:25" ht="18" customHeight="1" x14ac:dyDescent="0.15">
      <c r="A11" s="148"/>
      <c r="B11" s="149"/>
      <c r="C11" s="151"/>
      <c r="D11" s="151"/>
      <c r="E11" s="9"/>
      <c r="F11" s="7"/>
      <c r="G11" s="7"/>
      <c r="H11" s="7"/>
      <c r="I11" s="7"/>
      <c r="X11" s="8"/>
    </row>
    <row r="12" spans="1:25" ht="18" customHeight="1" x14ac:dyDescent="0.15">
      <c r="A12" s="148"/>
      <c r="B12" s="149"/>
      <c r="C12" s="151"/>
      <c r="D12" s="151"/>
      <c r="E12" s="9"/>
      <c r="X12" s="8"/>
    </row>
    <row r="13" spans="1:25" ht="18" customHeight="1" x14ac:dyDescent="0.15">
      <c r="A13" s="138"/>
      <c r="B13" s="146"/>
      <c r="C13" s="150"/>
      <c r="D13" s="15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47" t="s">
        <v>13</v>
      </c>
      <c r="B14" s="147"/>
      <c r="C14" s="147"/>
      <c r="D14" s="147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47" t="s">
        <v>14</v>
      </c>
      <c r="B15" s="147"/>
      <c r="C15" s="147"/>
      <c r="D15" s="147"/>
      <c r="E15" s="14" t="s">
        <v>15</v>
      </c>
      <c r="F15" s="14" t="s">
        <v>16</v>
      </c>
      <c r="G15" s="14" t="s">
        <v>17</v>
      </c>
      <c r="H15" s="14" t="s">
        <v>18</v>
      </c>
      <c r="I15" s="14" t="s">
        <v>19</v>
      </c>
      <c r="J15" s="14" t="s">
        <v>20</v>
      </c>
      <c r="K15" s="14" t="s">
        <v>21</v>
      </c>
      <c r="L15" s="14" t="s">
        <v>22</v>
      </c>
      <c r="M15" s="14" t="s">
        <v>23</v>
      </c>
      <c r="N15" s="15" t="s">
        <v>24</v>
      </c>
      <c r="O15" s="15"/>
      <c r="P15" s="14"/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52"/>
      <c r="B16" s="153"/>
      <c r="C16" s="153"/>
      <c r="D16" s="154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52" t="s">
        <v>25</v>
      </c>
      <c r="B17" s="153"/>
      <c r="C17" s="153" t="s">
        <v>26</v>
      </c>
      <c r="D17" s="154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52" t="s">
        <v>27</v>
      </c>
      <c r="B18" s="153"/>
      <c r="C18" s="153" t="s">
        <v>28</v>
      </c>
      <c r="D18" s="154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52" t="s">
        <v>29</v>
      </c>
      <c r="B19" s="153"/>
      <c r="C19" s="153" t="s">
        <v>30</v>
      </c>
      <c r="D19" s="154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52" t="s">
        <v>31</v>
      </c>
      <c r="B20" s="153"/>
      <c r="C20" s="153" t="s">
        <v>32</v>
      </c>
      <c r="D20" s="154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52"/>
      <c r="B21" s="153"/>
      <c r="C21" s="153"/>
      <c r="D21" s="154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52"/>
      <c r="B22" s="153"/>
      <c r="C22" s="153"/>
      <c r="D22" s="154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52"/>
      <c r="B23" s="153"/>
      <c r="C23" s="153"/>
      <c r="D23" s="154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52"/>
      <c r="B24" s="153"/>
      <c r="C24" s="153"/>
      <c r="D24" s="154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57"/>
      <c r="B25" s="155"/>
      <c r="C25" s="155"/>
      <c r="D25" s="156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57"/>
      <c r="B26" s="155"/>
      <c r="C26" s="155"/>
      <c r="D26" s="15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57"/>
      <c r="B27" s="155"/>
      <c r="C27" s="155"/>
      <c r="D27" s="156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57"/>
      <c r="B28" s="155"/>
      <c r="C28" s="155"/>
      <c r="D28" s="156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57"/>
      <c r="B29" s="155"/>
      <c r="C29" s="155"/>
      <c r="D29" s="156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57"/>
      <c r="B30" s="155"/>
      <c r="C30" s="155"/>
      <c r="D30" s="156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1" t="s">
        <v>33</v>
      </c>
      <c r="B31" s="122"/>
      <c r="C31" s="122"/>
      <c r="D31" s="123"/>
      <c r="E31" s="20"/>
      <c r="F31" s="20"/>
      <c r="G31" s="20"/>
      <c r="H31" s="20"/>
      <c r="I31" s="1" t="s">
        <v>34</v>
      </c>
      <c r="J31" s="20"/>
      <c r="K31" s="20"/>
      <c r="L31" s="20"/>
      <c r="M31" s="20"/>
      <c r="N31" s="1" t="s">
        <v>34</v>
      </c>
      <c r="O31" s="115" t="s">
        <v>35</v>
      </c>
      <c r="P31" s="116"/>
      <c r="Q31" s="119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21" t="s">
        <v>36</v>
      </c>
      <c r="B32" s="122"/>
      <c r="C32" s="122"/>
      <c r="D32" s="123"/>
      <c r="E32" s="1" t="s">
        <v>37</v>
      </c>
      <c r="F32" s="20"/>
      <c r="G32" s="20"/>
      <c r="H32" s="20"/>
      <c r="I32" s="20"/>
      <c r="J32" s="1" t="s">
        <v>37</v>
      </c>
      <c r="K32" s="20"/>
      <c r="L32" s="20"/>
      <c r="M32" s="20"/>
      <c r="N32" s="20"/>
      <c r="O32" s="117"/>
      <c r="P32" s="118"/>
      <c r="Q32" s="120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2" t="s">
        <v>38</v>
      </c>
      <c r="B33" s="23" t="s">
        <v>39</v>
      </c>
      <c r="C33" s="24">
        <f>SUM(E33:X33)</f>
        <v>80</v>
      </c>
      <c r="D33" s="25" t="s">
        <v>40</v>
      </c>
      <c r="E33" s="1">
        <v>27</v>
      </c>
      <c r="F33" s="1">
        <v>5</v>
      </c>
      <c r="G33" s="1">
        <v>2</v>
      </c>
      <c r="H33" s="1">
        <v>3</v>
      </c>
      <c r="I33" s="1">
        <v>3</v>
      </c>
      <c r="J33" s="1">
        <v>27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1" t="s">
        <v>41</v>
      </c>
      <c r="B34" s="122"/>
      <c r="C34" s="122"/>
      <c r="D34" s="123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1" t="s">
        <v>42</v>
      </c>
      <c r="B35" s="122"/>
      <c r="C35" s="122"/>
      <c r="D35" s="123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1" t="s">
        <v>43</v>
      </c>
      <c r="B36" s="122"/>
      <c r="C36" s="122"/>
      <c r="D36" s="123"/>
      <c r="E36" s="4" t="s">
        <v>44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4" t="s">
        <v>44</v>
      </c>
      <c r="L36" s="4" t="s">
        <v>44</v>
      </c>
      <c r="M36" s="4" t="s">
        <v>44</v>
      </c>
      <c r="N36" s="4" t="s">
        <v>44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36:D36"/>
    <mergeCell ref="C25:D25"/>
    <mergeCell ref="A26:B26"/>
    <mergeCell ref="C26:D26"/>
    <mergeCell ref="A27:B27"/>
    <mergeCell ref="C29:D29"/>
    <mergeCell ref="A25:B25"/>
    <mergeCell ref="A31:D31"/>
    <mergeCell ref="A34:D34"/>
    <mergeCell ref="A35:D35"/>
    <mergeCell ref="A30:B30"/>
    <mergeCell ref="A28:B28"/>
    <mergeCell ref="C28:D28"/>
    <mergeCell ref="A29:B29"/>
    <mergeCell ref="A22:B22"/>
    <mergeCell ref="C22:D22"/>
    <mergeCell ref="C30:D30"/>
    <mergeCell ref="C23:D23"/>
    <mergeCell ref="A24:B24"/>
    <mergeCell ref="C24:D24"/>
    <mergeCell ref="A23:B23"/>
    <mergeCell ref="C27:D27"/>
    <mergeCell ref="A20:B20"/>
    <mergeCell ref="C20:D20"/>
    <mergeCell ref="A19:B19"/>
    <mergeCell ref="C19:D19"/>
    <mergeCell ref="A21:B21"/>
    <mergeCell ref="C21:D21"/>
    <mergeCell ref="A16:D16"/>
    <mergeCell ref="A17:B17"/>
    <mergeCell ref="C17:D17"/>
    <mergeCell ref="A18:B18"/>
    <mergeCell ref="C18:D18"/>
    <mergeCell ref="A10:B10"/>
    <mergeCell ref="C10:D10"/>
    <mergeCell ref="A13:B13"/>
    <mergeCell ref="A14:D14"/>
    <mergeCell ref="A15:D15"/>
    <mergeCell ref="A11:B11"/>
    <mergeCell ref="A12:B12"/>
    <mergeCell ref="C13:D13"/>
    <mergeCell ref="C12:D12"/>
    <mergeCell ref="C11:D11"/>
    <mergeCell ref="A7:B7"/>
    <mergeCell ref="C7:D7"/>
    <mergeCell ref="A8:B8"/>
    <mergeCell ref="C8:D8"/>
    <mergeCell ref="A9:B9"/>
    <mergeCell ref="C9:D9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O31:P32"/>
    <mergeCell ref="Q31:Q32"/>
    <mergeCell ref="A32:D32"/>
    <mergeCell ref="A1:E1"/>
    <mergeCell ref="F1:G1"/>
    <mergeCell ref="H1:M1"/>
    <mergeCell ref="N1:O1"/>
    <mergeCell ref="P1:S1"/>
    <mergeCell ref="A3:B3"/>
    <mergeCell ref="C3:D3"/>
    <mergeCell ref="A4:B4"/>
    <mergeCell ref="C4:D4"/>
    <mergeCell ref="A5:B5"/>
    <mergeCell ref="C5:D5"/>
    <mergeCell ref="A6:B6"/>
    <mergeCell ref="C6:D6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0" orientation="portrait" useFirstPageNumber="1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2026-02-19</vt:lpstr>
      <vt:lpstr>250080</vt:lpstr>
      <vt:lpstr>'2026-02-19'!Print_Area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2025-06-03T07:32:21Z</cp:lastPrinted>
  <dcterms:created xsi:type="dcterms:W3CDTF">2003-01-27T00:56:24Z</dcterms:created>
  <dcterms:modified xsi:type="dcterms:W3CDTF">2026-02-26T09:33:08Z</dcterms:modified>
</cp:coreProperties>
</file>