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CFC7CB9C-02E1-4AE3-8CAF-C1355875B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3" sheetId="2" r:id="rId1"/>
    <sheet name="250097" sheetId="1" r:id="rId2"/>
  </sheets>
  <definedNames>
    <definedName name="_xlnm.Print_Area" localSheetId="0">'2026-02-13'!$A$1:$X$38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<sst xmlns="http://schemas.openxmlformats.org/spreadsheetml/2006/main" count="104" uniqueCount="62">
  <si>
    <t>規制番号　名称</t>
    <rPh sb="0" eb="2">
      <t>キセイ</t>
    </rPh>
    <rPh sb="2" eb="4">
      <t>バンゴウ</t>
    </rPh>
    <rPh sb="5" eb="7">
      <t>メイショウ</t>
    </rPh>
    <phoneticPr fontId="1"/>
  </si>
  <si>
    <t>西教寺前</t>
    <rPh sb="0" eb="1">
      <t>ニシ</t>
    </rPh>
    <rPh sb="1" eb="2">
      <t>キョウ</t>
    </rPh>
    <rPh sb="2" eb="4">
      <t>テラマエ</t>
    </rPh>
    <phoneticPr fontId="1"/>
  </si>
  <si>
    <t>運　用</t>
    <rPh sb="0" eb="1">
      <t>ウン</t>
    </rPh>
    <rPh sb="2" eb="3">
      <t>ヨウ</t>
    </rPh>
    <phoneticPr fontId="1"/>
  </si>
  <si>
    <t>H.13年10月30日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</si>
  <si>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</si>
  <si>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</si>
  <si>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</si>
  <si>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</si>
  <si>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</si>
  <si>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</si>
  <si>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</si>
  <si>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</si>
  <si>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</si>
  <si>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</si>
  <si>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</si>
  <si>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</si>
  <si>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</si>
  <si>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</si>
  <si>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</si>
  <si>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</si>
  <si>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2-0097 </t>
    <phoneticPr fontId="1"/>
  </si>
  <si>
    <t>1B0935</t>
    <phoneticPr fontId="1"/>
  </si>
  <si>
    <t xml:space="preserve">250097 </t>
    <phoneticPr fontId="1"/>
  </si>
  <si>
    <t>西教寺前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</si>
  <si>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</si>
  <si>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</si>
  <si>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</si>
  <si>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</si>
  <si>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</si>
  <si>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</si>
  <si>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</si>
  <si>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</si>
  <si>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</si>
  <si>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</si>
  <si>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</si>
  <si>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</si>
  <si>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</si>
  <si>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</si>
  <si>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</si>
  <si>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</si>
  <si>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</si>
  <si>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</si>
  <si>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</si>
  <si>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</si>
  <si>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</si>
  <si>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</si>
  <si>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</si>
  <si>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（ＵＣ形）</t>
    <rPh sb="3" eb="4">
      <t>カタチ</t>
    </rPh>
    <phoneticPr fontId="1"/>
  </si>
  <si>
    <t>ＰＵ</t>
    <phoneticPr fontId="1"/>
  </si>
  <si>
    <t>ＰＬ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</si>
  <si>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</si>
  <si>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</si>
  <si>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</si>
  <si>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</si>
  <si>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(UD-TTR)</t>
    <phoneticPr fontId="1"/>
  </si>
  <si>
    <t>02-0097</t>
    <phoneticPr fontId="1"/>
  </si>
  <si>
    <t>20097</t>
    <phoneticPr fontId="1"/>
  </si>
  <si>
    <t>西教寺前</t>
    <rPh sb="0" eb="3">
      <t>サイキョウジ</t>
    </rPh>
    <rPh sb="3" eb="4">
      <t>マエ</t>
    </rPh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</si>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</sst>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right" vertical="center"/>
    </xf>
    <xf numFmtId="49" fontId="8" fillId="0" borderId="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77" fontId="8" fillId="0" borderId="9" xfId="0" applyNumberFormat="1" applyFont="1" applyBorder="1" applyAlignment="1">
      <alignment horizontal="center" vertical="center"/>
    </xf>
    <xf numFmtId="0" fontId="9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8" fillId="0" borderId="7" xfId="0" applyNumberFormat="1" applyFont="1" applyBorder="1" applyAlignment="1">
      <alignment vertical="center"/>
    </xf>
    <xf numFmtId="176" fontId="8" fillId="0" borderId="7" xfId="0" applyNumberFormat="1" applyFont="1" applyBorder="1" applyAlignment="1">
      <alignment vertical="center"/>
    </xf>
    <xf numFmtId="181" fontId="9" fillId="0" borderId="0" xfId="0" applyNumberFormat="1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15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1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3" xfId="0" applyNumberFormat="1" applyFont="1" applyBorder="1" applyAlignment="1">
      <alignment horizontal="center" vertical="center"/>
    </xf>
    <xf numFmtId="180" fontId="9" fillId="0" borderId="24" xfId="0" applyNumberFormat="1" applyFont="1" applyBorder="1" applyAlignment="1">
      <alignment horizontal="center" vertical="center"/>
    </xf>
    <xf numFmtId="180" fontId="9" fillId="0" borderId="11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8" fontId="9" fillId="0" borderId="15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49" fontId="9" fillId="0" borderId="15" xfId="0" quotePrefix="1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49" fontId="9" fillId="0" borderId="10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vertical="center"/>
    </xf>
    <xf numFmtId="49" fontId="9" fillId="0" borderId="11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vertical="center"/>
    </xf>
    <xf numFmtId="49" fontId="9" fillId="0" borderId="15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right" vertical="center"/>
    </xf>
    <xf numFmtId="32" fontId="2" fillId="0" borderId="12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4</xdr:row>
      <xdr:rowOff>93277</xdr:rowOff>
    </xdr:from>
    <xdr:to>
      <xdr:col>21</xdr:col>
      <xdr:colOff>266700</xdr:colOff>
      <xdr:row>14</xdr:row>
      <xdr:rowOff>49045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07DF4518-FB69-47FA-88B8-29225B13BFA5}"/>
            </a:ext>
          </a:extLst>
        </xdr:cNvPr>
        <xdr:cNvGrpSpPr>
          <a:grpSpLocks noChangeAspect="1"/>
        </xdr:cNvGrpSpPr>
      </xdr:nvGrpSpPr>
      <xdr:grpSpPr>
        <a:xfrm>
          <a:off x="695325" y="664777"/>
          <a:ext cx="6229350" cy="3889593"/>
          <a:chOff x="3533775" y="1714500"/>
          <a:chExt cx="11866668" cy="7409524"/>
        </a:xfrm>
      </xdr:grpSpPr>
      <xdr:pic>
        <xdr:nvPicPr>
          <xdr:cNvPr id="42" name="図 41">
            <a:extLst>
              <a:ext uri="{FF2B5EF4-FFF2-40B4-BE49-F238E27FC236}">
                <a16:creationId xmlns:a16="http://schemas.microsoft.com/office/drawing/2014/main" id="{566BE90B-5409-47D0-ABAF-0F9A0676FB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543300" y="1714500"/>
            <a:ext cx="11857143" cy="7409524"/>
          </a:xfrm>
          <a:prstGeom prst="rect">
            <a:avLst/>
          </a:prstGeom>
        </xdr:spPr>
      </xdr:pic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0C3EBC88-FF59-4BF2-8E3D-34769BEBF774}"/>
              </a:ext>
            </a:extLst>
          </xdr:cNvPr>
          <xdr:cNvSpPr/>
        </xdr:nvSpPr>
        <xdr:spPr bwMode="auto">
          <a:xfrm>
            <a:off x="3533775" y="1819275"/>
            <a:ext cx="2876550" cy="11620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60139DF-452F-45A2-A1AD-317F15C30264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233EB744-687B-4A2F-A19C-9A7080F44702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4" name="Freeform 12">
          <a:extLst>
            <a:ext uri="{FF2B5EF4-FFF2-40B4-BE49-F238E27FC236}">
              <a16:creationId xmlns:a16="http://schemas.microsoft.com/office/drawing/2014/main" id="{0AC4F8DF-48CB-4074-A930-6BE65493E2B9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A76B9D02-6A2B-46A0-9394-0366724ED17D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6" name="Line 14">
            <a:extLst>
              <a:ext uri="{FF2B5EF4-FFF2-40B4-BE49-F238E27FC236}">
                <a16:creationId xmlns:a16="http://schemas.microsoft.com/office/drawing/2014/main" id="{654905A9-08FC-421B-BC55-78A53E1D29F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5">
            <a:extLst>
              <a:ext uri="{FF2B5EF4-FFF2-40B4-BE49-F238E27FC236}">
                <a16:creationId xmlns:a16="http://schemas.microsoft.com/office/drawing/2014/main" id="{6792EF6F-21D3-4335-AF7E-C51E5ECC6BB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6">
            <a:extLst>
              <a:ext uri="{FF2B5EF4-FFF2-40B4-BE49-F238E27FC236}">
                <a16:creationId xmlns:a16="http://schemas.microsoft.com/office/drawing/2014/main" id="{64AA09D8-A215-48E3-9FF1-6DDB0DA584B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7">
            <a:extLst>
              <a:ext uri="{FF2B5EF4-FFF2-40B4-BE49-F238E27FC236}">
                <a16:creationId xmlns:a16="http://schemas.microsoft.com/office/drawing/2014/main" id="{6C530DFD-38AE-4146-91ED-84176518FAC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" name="Group 18">
          <a:extLst>
            <a:ext uri="{FF2B5EF4-FFF2-40B4-BE49-F238E27FC236}">
              <a16:creationId xmlns:a16="http://schemas.microsoft.com/office/drawing/2014/main" id="{3838B6E2-15BE-46E5-91DB-94228D42105C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11" name="Line 19">
            <a:extLst>
              <a:ext uri="{FF2B5EF4-FFF2-40B4-BE49-F238E27FC236}">
                <a16:creationId xmlns:a16="http://schemas.microsoft.com/office/drawing/2014/main" id="{D96C9271-51C0-4481-9703-BD679E07CF8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0">
            <a:extLst>
              <a:ext uri="{FF2B5EF4-FFF2-40B4-BE49-F238E27FC236}">
                <a16:creationId xmlns:a16="http://schemas.microsoft.com/office/drawing/2014/main" id="{92EF2722-20B1-497F-8AAE-0E38DF7D7BB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13" name="Line 21">
          <a:extLst>
            <a:ext uri="{FF2B5EF4-FFF2-40B4-BE49-F238E27FC236}">
              <a16:creationId xmlns:a16="http://schemas.microsoft.com/office/drawing/2014/main" id="{E65C7EF3-8DF8-415F-AF3C-CD75D6784D6B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14" name="Group 22">
          <a:extLst>
            <a:ext uri="{FF2B5EF4-FFF2-40B4-BE49-F238E27FC236}">
              <a16:creationId xmlns:a16="http://schemas.microsoft.com/office/drawing/2014/main" id="{A64AE46C-C036-4014-A10B-5B74700B1015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15" name="Line 23">
            <a:extLst>
              <a:ext uri="{FF2B5EF4-FFF2-40B4-BE49-F238E27FC236}">
                <a16:creationId xmlns:a16="http://schemas.microsoft.com/office/drawing/2014/main" id="{5785A7E7-7913-4BE2-B97C-D37079F36D0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4">
            <a:extLst>
              <a:ext uri="{FF2B5EF4-FFF2-40B4-BE49-F238E27FC236}">
                <a16:creationId xmlns:a16="http://schemas.microsoft.com/office/drawing/2014/main" id="{DFCB44BE-7DEF-4F35-AF95-E8DFE5D7788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17" name="Freeform 64">
          <a:extLst>
            <a:ext uri="{FF2B5EF4-FFF2-40B4-BE49-F238E27FC236}">
              <a16:creationId xmlns:a16="http://schemas.microsoft.com/office/drawing/2014/main" id="{B8F6B255-77DE-4C4B-8ABD-11C5A247CE51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18" name="Group 65">
          <a:extLst>
            <a:ext uri="{FF2B5EF4-FFF2-40B4-BE49-F238E27FC236}">
              <a16:creationId xmlns:a16="http://schemas.microsoft.com/office/drawing/2014/main" id="{17EF8434-796C-4751-A2BF-91A74D631758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19" name="Line 66">
            <a:extLst>
              <a:ext uri="{FF2B5EF4-FFF2-40B4-BE49-F238E27FC236}">
                <a16:creationId xmlns:a16="http://schemas.microsoft.com/office/drawing/2014/main" id="{C0863A27-4738-49FB-9291-A9529744172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67">
            <a:extLst>
              <a:ext uri="{FF2B5EF4-FFF2-40B4-BE49-F238E27FC236}">
                <a16:creationId xmlns:a16="http://schemas.microsoft.com/office/drawing/2014/main" id="{E629350D-1966-4671-88D7-B85B863ED59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68">
            <a:extLst>
              <a:ext uri="{FF2B5EF4-FFF2-40B4-BE49-F238E27FC236}">
                <a16:creationId xmlns:a16="http://schemas.microsoft.com/office/drawing/2014/main" id="{F8777461-FB7B-493D-8F8B-F0F336F88F6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69">
            <a:extLst>
              <a:ext uri="{FF2B5EF4-FFF2-40B4-BE49-F238E27FC236}">
                <a16:creationId xmlns:a16="http://schemas.microsoft.com/office/drawing/2014/main" id="{54D28FAA-ADC3-4DB9-A9DC-636C7B99B1F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23" name="Group 70">
          <a:extLst>
            <a:ext uri="{FF2B5EF4-FFF2-40B4-BE49-F238E27FC236}">
              <a16:creationId xmlns:a16="http://schemas.microsoft.com/office/drawing/2014/main" id="{68907118-3668-4344-97C5-D74448D10F87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24" name="Line 71">
            <a:extLst>
              <a:ext uri="{FF2B5EF4-FFF2-40B4-BE49-F238E27FC236}">
                <a16:creationId xmlns:a16="http://schemas.microsoft.com/office/drawing/2014/main" id="{723C12AE-A505-4EAD-8988-C952A76A6CD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2">
            <a:extLst>
              <a:ext uri="{FF2B5EF4-FFF2-40B4-BE49-F238E27FC236}">
                <a16:creationId xmlns:a16="http://schemas.microsoft.com/office/drawing/2014/main" id="{604D1679-C7E5-45A0-8CD3-EAF3194493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26" name="Group 73">
          <a:extLst>
            <a:ext uri="{FF2B5EF4-FFF2-40B4-BE49-F238E27FC236}">
              <a16:creationId xmlns:a16="http://schemas.microsoft.com/office/drawing/2014/main" id="{34AF86E3-CD12-4D1A-861A-455514E8C5CC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27" name="Line 74">
            <a:extLst>
              <a:ext uri="{FF2B5EF4-FFF2-40B4-BE49-F238E27FC236}">
                <a16:creationId xmlns:a16="http://schemas.microsoft.com/office/drawing/2014/main" id="{A4F00F93-03FB-4635-A50F-6C120A64DE6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75">
            <a:extLst>
              <a:ext uri="{FF2B5EF4-FFF2-40B4-BE49-F238E27FC236}">
                <a16:creationId xmlns:a16="http://schemas.microsoft.com/office/drawing/2014/main" id="{674AB3A0-9454-42A1-8FD4-BAD30F8D27A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29" name="Group 76">
          <a:extLst>
            <a:ext uri="{FF2B5EF4-FFF2-40B4-BE49-F238E27FC236}">
              <a16:creationId xmlns:a16="http://schemas.microsoft.com/office/drawing/2014/main" id="{17850F16-B7FA-468F-A4F8-B80340A1F872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30" name="Line 77">
            <a:extLst>
              <a:ext uri="{FF2B5EF4-FFF2-40B4-BE49-F238E27FC236}">
                <a16:creationId xmlns:a16="http://schemas.microsoft.com/office/drawing/2014/main" id="{8C98F33B-762F-4E67-9751-69D962E77B0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78">
            <a:extLst>
              <a:ext uri="{FF2B5EF4-FFF2-40B4-BE49-F238E27FC236}">
                <a16:creationId xmlns:a16="http://schemas.microsoft.com/office/drawing/2014/main" id="{F07E48A9-5983-4B32-8661-502943C0CF8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32" name="Line 79">
          <a:extLst>
            <a:ext uri="{FF2B5EF4-FFF2-40B4-BE49-F238E27FC236}">
              <a16:creationId xmlns:a16="http://schemas.microsoft.com/office/drawing/2014/main" id="{16FB5491-D022-4A14-AE60-A3CC11C54D2B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33" name="Line 80">
          <a:extLst>
            <a:ext uri="{FF2B5EF4-FFF2-40B4-BE49-F238E27FC236}">
              <a16:creationId xmlns:a16="http://schemas.microsoft.com/office/drawing/2014/main" id="{968BDD6A-5392-419A-B604-4A98B43A6353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34" name="Group 81">
          <a:extLst>
            <a:ext uri="{FF2B5EF4-FFF2-40B4-BE49-F238E27FC236}">
              <a16:creationId xmlns:a16="http://schemas.microsoft.com/office/drawing/2014/main" id="{DE793C98-01B0-48A1-AE4E-765440F56959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35" name="Line 82">
            <a:extLst>
              <a:ext uri="{FF2B5EF4-FFF2-40B4-BE49-F238E27FC236}">
                <a16:creationId xmlns:a16="http://schemas.microsoft.com/office/drawing/2014/main" id="{7772B5F3-E473-41C4-AC0A-FFE214C3282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83">
            <a:extLst>
              <a:ext uri="{FF2B5EF4-FFF2-40B4-BE49-F238E27FC236}">
                <a16:creationId xmlns:a16="http://schemas.microsoft.com/office/drawing/2014/main" id="{DDBD05FD-372E-4299-953B-A23385F6348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40" name="Text Box 93">
          <a:extLst>
            <a:ext uri="{FF2B5EF4-FFF2-40B4-BE49-F238E27FC236}">
              <a16:creationId xmlns:a16="http://schemas.microsoft.com/office/drawing/2014/main" id="{EC627752-2313-4C99-9770-334EE0659450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　</a:t>
          </a:r>
        </a:p>
      </xdr:txBody>
    </xdr:sp>
    <xdr:clientData/>
  </xdr:oneCellAnchor>
  <xdr:twoCellAnchor>
    <xdr:from>
      <xdr:col>10</xdr:col>
      <xdr:colOff>161925</xdr:colOff>
      <xdr:row>17</xdr:row>
      <xdr:rowOff>323850</xdr:rowOff>
    </xdr:from>
    <xdr:to>
      <xdr:col>11</xdr:col>
      <xdr:colOff>152400</xdr:colOff>
      <xdr:row>17</xdr:row>
      <xdr:rowOff>1323975</xdr:rowOff>
    </xdr:to>
    <xdr:grpSp>
      <xdr:nvGrpSpPr>
        <xdr:cNvPr id="43" name="Group 100">
          <a:extLst>
            <a:ext uri="{FF2B5EF4-FFF2-40B4-BE49-F238E27FC236}">
              <a16:creationId xmlns:a16="http://schemas.microsoft.com/office/drawing/2014/main" id="{F0BF2F14-2FCB-482F-A522-7F4EAA620F6B}"/>
            </a:ext>
          </a:extLst>
        </xdr:cNvPr>
        <xdr:cNvGrpSpPr>
          <a:grpSpLocks/>
        </xdr:cNvGrpSpPr>
      </xdr:nvGrpSpPr>
      <xdr:grpSpPr bwMode="auto">
        <a:xfrm>
          <a:off x="3362325" y="5514975"/>
          <a:ext cx="304800" cy="1000125"/>
          <a:chOff x="306" y="566"/>
          <a:chExt cx="32" cy="105"/>
        </a:xfrm>
      </xdr:grpSpPr>
      <xdr:sp macro="" textlink="">
        <xdr:nvSpPr>
          <xdr:cNvPr id="44" name="Line 101">
            <a:extLst>
              <a:ext uri="{FF2B5EF4-FFF2-40B4-BE49-F238E27FC236}">
                <a16:creationId xmlns:a16="http://schemas.microsoft.com/office/drawing/2014/main" id="{144CA4ED-A5A0-402D-A0D2-0C0E2779C1DB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70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102">
            <a:extLst>
              <a:ext uri="{FF2B5EF4-FFF2-40B4-BE49-F238E27FC236}">
                <a16:creationId xmlns:a16="http://schemas.microsoft.com/office/drawing/2014/main" id="{0AA9A800-7B50-46E9-A4CE-C34692A7451D}"/>
              </a:ext>
            </a:extLst>
          </xdr:cNvPr>
          <xdr:cNvSpPr>
            <a:spLocks/>
          </xdr:cNvSpPr>
        </xdr:nvSpPr>
        <xdr:spPr bwMode="auto">
          <a:xfrm rot="-5400000">
            <a:off x="318" y="56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Freeform 103">
            <a:extLst>
              <a:ext uri="{FF2B5EF4-FFF2-40B4-BE49-F238E27FC236}">
                <a16:creationId xmlns:a16="http://schemas.microsoft.com/office/drawing/2014/main" id="{C422F492-E9EC-475C-986D-8A89AB997B00}"/>
              </a:ext>
            </a:extLst>
          </xdr:cNvPr>
          <xdr:cNvSpPr>
            <a:spLocks/>
          </xdr:cNvSpPr>
        </xdr:nvSpPr>
        <xdr:spPr bwMode="auto">
          <a:xfrm rot="-5400000">
            <a:off x="314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" name="Line 104">
            <a:extLst>
              <a:ext uri="{FF2B5EF4-FFF2-40B4-BE49-F238E27FC236}">
                <a16:creationId xmlns:a16="http://schemas.microsoft.com/office/drawing/2014/main" id="{CF91DF70-EC94-496B-A67C-48B7116E03A8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10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Freeform 105">
            <a:extLst>
              <a:ext uri="{FF2B5EF4-FFF2-40B4-BE49-F238E27FC236}">
                <a16:creationId xmlns:a16="http://schemas.microsoft.com/office/drawing/2014/main" id="{382BD2EE-43CD-4044-BBE6-3241CB390DCC}"/>
              </a:ext>
            </a:extLst>
          </xdr:cNvPr>
          <xdr:cNvSpPr>
            <a:spLocks/>
          </xdr:cNvSpPr>
        </xdr:nvSpPr>
        <xdr:spPr bwMode="auto">
          <a:xfrm rot="-5400000">
            <a:off x="306" y="63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9" name="Freeform 106">
            <a:extLst>
              <a:ext uri="{FF2B5EF4-FFF2-40B4-BE49-F238E27FC236}">
                <a16:creationId xmlns:a16="http://schemas.microsoft.com/office/drawing/2014/main" id="{42A9A3E6-59A0-4865-882F-039687B4FD44}"/>
              </a:ext>
            </a:extLst>
          </xdr:cNvPr>
          <xdr:cNvSpPr>
            <a:spLocks/>
          </xdr:cNvSpPr>
        </xdr:nvSpPr>
        <xdr:spPr bwMode="auto">
          <a:xfrm rot="-5400000">
            <a:off x="322" y="62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Line 107">
            <a:extLst>
              <a:ext uri="{FF2B5EF4-FFF2-40B4-BE49-F238E27FC236}">
                <a16:creationId xmlns:a16="http://schemas.microsoft.com/office/drawing/2014/main" id="{D5375D18-7996-431C-AC3F-4B1E93722C75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108">
            <a:extLst>
              <a:ext uri="{FF2B5EF4-FFF2-40B4-BE49-F238E27FC236}">
                <a16:creationId xmlns:a16="http://schemas.microsoft.com/office/drawing/2014/main" id="{6A8A0BFC-D15D-41F5-A0ED-93A19C602EA4}"/>
              </a:ext>
            </a:extLst>
          </xdr:cNvPr>
          <xdr:cNvSpPr>
            <a:spLocks/>
          </xdr:cNvSpPr>
        </xdr:nvSpPr>
        <xdr:spPr bwMode="auto">
          <a:xfrm rot="-5400000">
            <a:off x="331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438150</xdr:rowOff>
    </xdr:from>
    <xdr:to>
      <xdr:col>13</xdr:col>
      <xdr:colOff>38100</xdr:colOff>
      <xdr:row>17</xdr:row>
      <xdr:rowOff>1171575</xdr:rowOff>
    </xdr:to>
    <xdr:grpSp>
      <xdr:nvGrpSpPr>
        <xdr:cNvPr id="52" name="Group 109">
          <a:extLst>
            <a:ext uri="{FF2B5EF4-FFF2-40B4-BE49-F238E27FC236}">
              <a16:creationId xmlns:a16="http://schemas.microsoft.com/office/drawing/2014/main" id="{A9E27039-B7C5-4D9D-BC4C-0BB5C44A0A38}"/>
            </a:ext>
          </a:extLst>
        </xdr:cNvPr>
        <xdr:cNvGrpSpPr>
          <a:grpSpLocks/>
        </xdr:cNvGrpSpPr>
      </xdr:nvGrpSpPr>
      <xdr:grpSpPr bwMode="auto">
        <a:xfrm rot="5400000">
          <a:off x="3786187" y="5967413"/>
          <a:ext cx="733425" cy="57150"/>
          <a:chOff x="123" y="549"/>
          <a:chExt cx="77" cy="6"/>
        </a:xfrm>
      </xdr:grpSpPr>
      <xdr:sp macro="" textlink="">
        <xdr:nvSpPr>
          <xdr:cNvPr id="53" name="Line 110">
            <a:extLst>
              <a:ext uri="{FF2B5EF4-FFF2-40B4-BE49-F238E27FC236}">
                <a16:creationId xmlns:a16="http://schemas.microsoft.com/office/drawing/2014/main" id="{11870926-0CB9-4805-A0A7-A828B56DEC4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111">
            <a:extLst>
              <a:ext uri="{FF2B5EF4-FFF2-40B4-BE49-F238E27FC236}">
                <a16:creationId xmlns:a16="http://schemas.microsoft.com/office/drawing/2014/main" id="{B994F31B-B014-4CB0-A9EF-3F9661C637A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Freeform 112">
            <a:extLst>
              <a:ext uri="{FF2B5EF4-FFF2-40B4-BE49-F238E27FC236}">
                <a16:creationId xmlns:a16="http://schemas.microsoft.com/office/drawing/2014/main" id="{828E9313-013B-43FB-A8F4-8C3948031E06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17</xdr:row>
      <xdr:rowOff>323850</xdr:rowOff>
    </xdr:from>
    <xdr:to>
      <xdr:col>12</xdr:col>
      <xdr:colOff>152400</xdr:colOff>
      <xdr:row>17</xdr:row>
      <xdr:rowOff>1323975</xdr:rowOff>
    </xdr:to>
    <xdr:grpSp>
      <xdr:nvGrpSpPr>
        <xdr:cNvPr id="56" name="Group 113">
          <a:extLst>
            <a:ext uri="{FF2B5EF4-FFF2-40B4-BE49-F238E27FC236}">
              <a16:creationId xmlns:a16="http://schemas.microsoft.com/office/drawing/2014/main" id="{F3378F33-2494-4421-A432-FD5F89ABB22F}"/>
            </a:ext>
          </a:extLst>
        </xdr:cNvPr>
        <xdr:cNvGrpSpPr>
          <a:grpSpLocks/>
        </xdr:cNvGrpSpPr>
      </xdr:nvGrpSpPr>
      <xdr:grpSpPr bwMode="auto">
        <a:xfrm>
          <a:off x="3686175" y="5514975"/>
          <a:ext cx="295275" cy="1000125"/>
          <a:chOff x="342" y="566"/>
          <a:chExt cx="31" cy="105"/>
        </a:xfrm>
      </xdr:grpSpPr>
      <xdr:sp macro="" textlink="">
        <xdr:nvSpPr>
          <xdr:cNvPr id="57" name="Line 114">
            <a:extLst>
              <a:ext uri="{FF2B5EF4-FFF2-40B4-BE49-F238E27FC236}">
                <a16:creationId xmlns:a16="http://schemas.microsoft.com/office/drawing/2014/main" id="{047B9E2F-981D-4AC2-87B6-74648FF58B4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05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Freeform 115">
            <a:extLst>
              <a:ext uri="{FF2B5EF4-FFF2-40B4-BE49-F238E27FC236}">
                <a16:creationId xmlns:a16="http://schemas.microsoft.com/office/drawing/2014/main" id="{57E82103-A877-4D05-9850-EF81EDF5DAC7}"/>
              </a:ext>
            </a:extLst>
          </xdr:cNvPr>
          <xdr:cNvSpPr>
            <a:spLocks/>
          </xdr:cNvSpPr>
        </xdr:nvSpPr>
        <xdr:spPr bwMode="auto">
          <a:xfrm rot="5400000">
            <a:off x="353" y="66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Freeform 116">
            <a:extLst>
              <a:ext uri="{FF2B5EF4-FFF2-40B4-BE49-F238E27FC236}">
                <a16:creationId xmlns:a16="http://schemas.microsoft.com/office/drawing/2014/main" id="{5CC02A67-54EC-407B-8C97-DB6707FD86DB}"/>
              </a:ext>
            </a:extLst>
          </xdr:cNvPr>
          <xdr:cNvSpPr>
            <a:spLocks/>
          </xdr:cNvSpPr>
        </xdr:nvSpPr>
        <xdr:spPr bwMode="auto">
          <a:xfrm rot="5400000">
            <a:off x="357" y="59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0" name="Line 117">
            <a:extLst>
              <a:ext uri="{FF2B5EF4-FFF2-40B4-BE49-F238E27FC236}">
                <a16:creationId xmlns:a16="http://schemas.microsoft.com/office/drawing/2014/main" id="{7CEC6DAC-DD15-4941-BF57-F0BBE726FDA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Freeform 118">
            <a:extLst>
              <a:ext uri="{FF2B5EF4-FFF2-40B4-BE49-F238E27FC236}">
                <a16:creationId xmlns:a16="http://schemas.microsoft.com/office/drawing/2014/main" id="{84395F25-AE5D-453C-8E07-45DBCB589525}"/>
              </a:ext>
            </a:extLst>
          </xdr:cNvPr>
          <xdr:cNvSpPr>
            <a:spLocks/>
          </xdr:cNvSpPr>
        </xdr:nvSpPr>
        <xdr:spPr bwMode="auto">
          <a:xfrm rot="5400000">
            <a:off x="366" y="59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Freeform 119">
            <a:extLst>
              <a:ext uri="{FF2B5EF4-FFF2-40B4-BE49-F238E27FC236}">
                <a16:creationId xmlns:a16="http://schemas.microsoft.com/office/drawing/2014/main" id="{1D9A12E5-1369-4C72-B493-8546A5B97CB4}"/>
              </a:ext>
            </a:extLst>
          </xdr:cNvPr>
          <xdr:cNvSpPr>
            <a:spLocks/>
          </xdr:cNvSpPr>
        </xdr:nvSpPr>
        <xdr:spPr bwMode="auto">
          <a:xfrm rot="5400000">
            <a:off x="350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3" name="Line 120">
            <a:extLst>
              <a:ext uri="{FF2B5EF4-FFF2-40B4-BE49-F238E27FC236}">
                <a16:creationId xmlns:a16="http://schemas.microsoft.com/office/drawing/2014/main" id="{29AF08F0-AB68-4FB4-9DA1-51F0D72F97A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121">
            <a:extLst>
              <a:ext uri="{FF2B5EF4-FFF2-40B4-BE49-F238E27FC236}">
                <a16:creationId xmlns:a16="http://schemas.microsoft.com/office/drawing/2014/main" id="{5B6A7289-0995-4842-9A88-3319B4F3F50B}"/>
              </a:ext>
            </a:extLst>
          </xdr:cNvPr>
          <xdr:cNvSpPr>
            <a:spLocks/>
          </xdr:cNvSpPr>
        </xdr:nvSpPr>
        <xdr:spPr bwMode="auto">
          <a:xfrm rot="5400000">
            <a:off x="342" y="60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171450</xdr:colOff>
      <xdr:row>17</xdr:row>
      <xdr:rowOff>1190625</xdr:rowOff>
    </xdr:from>
    <xdr:ext cx="361244" cy="150041"/>
    <xdr:sp macro="" textlink="">
      <xdr:nvSpPr>
        <xdr:cNvPr id="65" name="Text Box 122">
          <a:extLst>
            <a:ext uri="{FF2B5EF4-FFF2-40B4-BE49-F238E27FC236}">
              <a16:creationId xmlns:a16="http://schemas.microsoft.com/office/drawing/2014/main" id="{37CCA1F2-6A3C-4236-900E-7BE5E6A1E774}"/>
            </a:ext>
          </a:extLst>
        </xdr:cNvPr>
        <xdr:cNvSpPr txBox="1">
          <a:spLocks noChangeArrowheads="1"/>
        </xdr:cNvSpPr>
      </xdr:nvSpPr>
      <xdr:spPr bwMode="auto">
        <a:xfrm>
          <a:off x="3057525" y="63817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9</xdr:col>
      <xdr:colOff>295275</xdr:colOff>
      <xdr:row>17</xdr:row>
      <xdr:rowOff>438150</xdr:rowOff>
    </xdr:from>
    <xdr:to>
      <xdr:col>10</xdr:col>
      <xdr:colOff>38100</xdr:colOff>
      <xdr:row>17</xdr:row>
      <xdr:rowOff>1171575</xdr:rowOff>
    </xdr:to>
    <xdr:grpSp>
      <xdr:nvGrpSpPr>
        <xdr:cNvPr id="66" name="Group 123">
          <a:extLst>
            <a:ext uri="{FF2B5EF4-FFF2-40B4-BE49-F238E27FC236}">
              <a16:creationId xmlns:a16="http://schemas.microsoft.com/office/drawing/2014/main" id="{477C896C-ECF9-4197-91F9-C09E0BFE7249}"/>
            </a:ext>
          </a:extLst>
        </xdr:cNvPr>
        <xdr:cNvGrpSpPr>
          <a:grpSpLocks/>
        </xdr:cNvGrpSpPr>
      </xdr:nvGrpSpPr>
      <xdr:grpSpPr bwMode="auto">
        <a:xfrm rot="5400000">
          <a:off x="2843212" y="5967413"/>
          <a:ext cx="733425" cy="57150"/>
          <a:chOff x="123" y="549"/>
          <a:chExt cx="77" cy="6"/>
        </a:xfrm>
      </xdr:grpSpPr>
      <xdr:sp macro="" textlink="">
        <xdr:nvSpPr>
          <xdr:cNvPr id="67" name="Line 124">
            <a:extLst>
              <a:ext uri="{FF2B5EF4-FFF2-40B4-BE49-F238E27FC236}">
                <a16:creationId xmlns:a16="http://schemas.microsoft.com/office/drawing/2014/main" id="{4DDFC6F6-AC62-4243-A20A-F3566F3D348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Freeform 125">
            <a:extLst>
              <a:ext uri="{FF2B5EF4-FFF2-40B4-BE49-F238E27FC236}">
                <a16:creationId xmlns:a16="http://schemas.microsoft.com/office/drawing/2014/main" id="{4A83D906-F58A-4A1B-B94E-83917119426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" name="Freeform 126">
            <a:extLst>
              <a:ext uri="{FF2B5EF4-FFF2-40B4-BE49-F238E27FC236}">
                <a16:creationId xmlns:a16="http://schemas.microsoft.com/office/drawing/2014/main" id="{F8AF5285-07C5-4587-AC6C-170BE20F3A06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12</xdr:col>
      <xdr:colOff>171450</xdr:colOff>
      <xdr:row>17</xdr:row>
      <xdr:rowOff>1190625</xdr:rowOff>
    </xdr:from>
    <xdr:ext cx="361244" cy="150041"/>
    <xdr:sp macro="" textlink="">
      <xdr:nvSpPr>
        <xdr:cNvPr id="70" name="Text Box 127">
          <a:extLst>
            <a:ext uri="{FF2B5EF4-FFF2-40B4-BE49-F238E27FC236}">
              <a16:creationId xmlns:a16="http://schemas.microsoft.com/office/drawing/2014/main" id="{6C107CEA-D947-4A60-A398-21B6118FB992}"/>
            </a:ext>
          </a:extLst>
        </xdr:cNvPr>
        <xdr:cNvSpPr txBox="1">
          <a:spLocks noChangeArrowheads="1"/>
        </xdr:cNvSpPr>
      </xdr:nvSpPr>
      <xdr:spPr bwMode="auto">
        <a:xfrm>
          <a:off x="4000500" y="63817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142875</xdr:colOff>
      <xdr:row>17</xdr:row>
      <xdr:rowOff>276225</xdr:rowOff>
    </xdr:from>
    <xdr:ext cx="361244" cy="150041"/>
    <xdr:sp macro="" textlink="">
      <xdr:nvSpPr>
        <xdr:cNvPr id="71" name="Text Box 128">
          <a:extLst>
            <a:ext uri="{FF2B5EF4-FFF2-40B4-BE49-F238E27FC236}">
              <a16:creationId xmlns:a16="http://schemas.microsoft.com/office/drawing/2014/main" id="{75F5E974-BEA4-471C-9072-7B8DF9FA75A6}"/>
            </a:ext>
          </a:extLst>
        </xdr:cNvPr>
        <xdr:cNvSpPr txBox="1">
          <a:spLocks noChangeArrowheads="1"/>
        </xdr:cNvSpPr>
      </xdr:nvSpPr>
      <xdr:spPr bwMode="auto">
        <a:xfrm>
          <a:off x="3028950" y="54673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12</xdr:col>
      <xdr:colOff>142875</xdr:colOff>
      <xdr:row>17</xdr:row>
      <xdr:rowOff>276225</xdr:rowOff>
    </xdr:from>
    <xdr:ext cx="361244" cy="150041"/>
    <xdr:sp macro="" textlink="">
      <xdr:nvSpPr>
        <xdr:cNvPr id="72" name="Text Box 129">
          <a:extLst>
            <a:ext uri="{FF2B5EF4-FFF2-40B4-BE49-F238E27FC236}">
              <a16:creationId xmlns:a16="http://schemas.microsoft.com/office/drawing/2014/main" id="{8FB1B87E-2312-4A7C-8FBF-896000180AF4}"/>
            </a:ext>
          </a:extLst>
        </xdr:cNvPr>
        <xdr:cNvSpPr txBox="1">
          <a:spLocks noChangeArrowheads="1"/>
        </xdr:cNvSpPr>
      </xdr:nvSpPr>
      <xdr:spPr bwMode="auto">
        <a:xfrm>
          <a:off x="3971925" y="54673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4</xdr:col>
      <xdr:colOff>285750</xdr:colOff>
      <xdr:row>17</xdr:row>
      <xdr:rowOff>495300</xdr:rowOff>
    </xdr:from>
    <xdr:to>
      <xdr:col>8</xdr:col>
      <xdr:colOff>28575</xdr:colOff>
      <xdr:row>17</xdr:row>
      <xdr:rowOff>800100</xdr:rowOff>
    </xdr:to>
    <xdr:grpSp>
      <xdr:nvGrpSpPr>
        <xdr:cNvPr id="73" name="Group 131">
          <a:extLst>
            <a:ext uri="{FF2B5EF4-FFF2-40B4-BE49-F238E27FC236}">
              <a16:creationId xmlns:a16="http://schemas.microsoft.com/office/drawing/2014/main" id="{4E6769BA-BE1B-4ECB-9E3A-81BE06E00021}"/>
            </a:ext>
          </a:extLst>
        </xdr:cNvPr>
        <xdr:cNvGrpSpPr>
          <a:grpSpLocks/>
        </xdr:cNvGrpSpPr>
      </xdr:nvGrpSpPr>
      <xdr:grpSpPr bwMode="auto">
        <a:xfrm>
          <a:off x="1600200" y="5686425"/>
          <a:ext cx="1000125" cy="304800"/>
          <a:chOff x="110" y="567"/>
          <a:chExt cx="105" cy="32"/>
        </a:xfrm>
      </xdr:grpSpPr>
      <xdr:sp macro="" textlink="">
        <xdr:nvSpPr>
          <xdr:cNvPr id="74" name="Line 132">
            <a:extLst>
              <a:ext uri="{FF2B5EF4-FFF2-40B4-BE49-F238E27FC236}">
                <a16:creationId xmlns:a16="http://schemas.microsoft.com/office/drawing/2014/main" id="{1B5054CC-3D0F-4EC8-8930-16B42E3E725D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Freeform 133">
            <a:extLst>
              <a:ext uri="{FF2B5EF4-FFF2-40B4-BE49-F238E27FC236}">
                <a16:creationId xmlns:a16="http://schemas.microsoft.com/office/drawing/2014/main" id="{AF219A13-57A5-4299-91B0-087368414B47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" name="Freeform 134">
            <a:extLst>
              <a:ext uri="{FF2B5EF4-FFF2-40B4-BE49-F238E27FC236}">
                <a16:creationId xmlns:a16="http://schemas.microsoft.com/office/drawing/2014/main" id="{D750A217-3697-41DE-95F0-4F42D6DDBE02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7" name="Line 135">
            <a:extLst>
              <a:ext uri="{FF2B5EF4-FFF2-40B4-BE49-F238E27FC236}">
                <a16:creationId xmlns:a16="http://schemas.microsoft.com/office/drawing/2014/main" id="{555EE446-6028-4657-B160-4449B78D94A2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Freeform 136">
            <a:extLst>
              <a:ext uri="{FF2B5EF4-FFF2-40B4-BE49-F238E27FC236}">
                <a16:creationId xmlns:a16="http://schemas.microsoft.com/office/drawing/2014/main" id="{82B5B3FC-19E6-4721-AB6C-56E05D0BED02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9" name="Freeform 137">
            <a:extLst>
              <a:ext uri="{FF2B5EF4-FFF2-40B4-BE49-F238E27FC236}">
                <a16:creationId xmlns:a16="http://schemas.microsoft.com/office/drawing/2014/main" id="{2CB07D91-1B75-4DF0-BFA6-3CA7C05A49CD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0" name="Line 138">
            <a:extLst>
              <a:ext uri="{FF2B5EF4-FFF2-40B4-BE49-F238E27FC236}">
                <a16:creationId xmlns:a16="http://schemas.microsoft.com/office/drawing/2014/main" id="{99E21812-A90C-41DF-863F-0CBBFD226C6B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Freeform 139">
            <a:extLst>
              <a:ext uri="{FF2B5EF4-FFF2-40B4-BE49-F238E27FC236}">
                <a16:creationId xmlns:a16="http://schemas.microsoft.com/office/drawing/2014/main" id="{164F23FE-7084-44ED-92C5-BDFD87652850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323850</xdr:rowOff>
    </xdr:from>
    <xdr:to>
      <xdr:col>7</xdr:col>
      <xdr:colOff>200025</xdr:colOff>
      <xdr:row>17</xdr:row>
      <xdr:rowOff>381000</xdr:rowOff>
    </xdr:to>
    <xdr:grpSp>
      <xdr:nvGrpSpPr>
        <xdr:cNvPr id="82" name="Group 140">
          <a:extLst>
            <a:ext uri="{FF2B5EF4-FFF2-40B4-BE49-F238E27FC236}">
              <a16:creationId xmlns:a16="http://schemas.microsoft.com/office/drawing/2014/main" id="{2DCC42FE-240F-46B0-B218-6176AE7D8C59}"/>
            </a:ext>
          </a:extLst>
        </xdr:cNvPr>
        <xdr:cNvGrpSpPr>
          <a:grpSpLocks/>
        </xdr:cNvGrpSpPr>
      </xdr:nvGrpSpPr>
      <xdr:grpSpPr bwMode="auto">
        <a:xfrm>
          <a:off x="1724025" y="5514975"/>
          <a:ext cx="733425" cy="57150"/>
          <a:chOff x="123" y="549"/>
          <a:chExt cx="77" cy="6"/>
        </a:xfrm>
      </xdr:grpSpPr>
      <xdr:sp macro="" textlink="">
        <xdr:nvSpPr>
          <xdr:cNvPr id="83" name="Line 141">
            <a:extLst>
              <a:ext uri="{FF2B5EF4-FFF2-40B4-BE49-F238E27FC236}">
                <a16:creationId xmlns:a16="http://schemas.microsoft.com/office/drawing/2014/main" id="{FE7F1CFD-F9FE-401E-A2CA-6ACEB7343D9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Freeform 142">
            <a:extLst>
              <a:ext uri="{FF2B5EF4-FFF2-40B4-BE49-F238E27FC236}">
                <a16:creationId xmlns:a16="http://schemas.microsoft.com/office/drawing/2014/main" id="{F9F96EB8-CDB6-431A-BA55-861D56D6778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Freeform 143">
            <a:extLst>
              <a:ext uri="{FF2B5EF4-FFF2-40B4-BE49-F238E27FC236}">
                <a16:creationId xmlns:a16="http://schemas.microsoft.com/office/drawing/2014/main" id="{E6FBA80E-7601-421A-87AB-DC0DC92D2497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857250</xdr:rowOff>
    </xdr:from>
    <xdr:to>
      <xdr:col>8</xdr:col>
      <xdr:colOff>28575</xdr:colOff>
      <xdr:row>17</xdr:row>
      <xdr:rowOff>1162050</xdr:rowOff>
    </xdr:to>
    <xdr:grpSp>
      <xdr:nvGrpSpPr>
        <xdr:cNvPr id="86" name="Group 144">
          <a:extLst>
            <a:ext uri="{FF2B5EF4-FFF2-40B4-BE49-F238E27FC236}">
              <a16:creationId xmlns:a16="http://schemas.microsoft.com/office/drawing/2014/main" id="{DA32F16C-14A4-4D25-8BD9-FCB48FBB7BC1}"/>
            </a:ext>
          </a:extLst>
        </xdr:cNvPr>
        <xdr:cNvGrpSpPr>
          <a:grpSpLocks/>
        </xdr:cNvGrpSpPr>
      </xdr:nvGrpSpPr>
      <xdr:grpSpPr bwMode="auto">
        <a:xfrm>
          <a:off x="1590675" y="6048375"/>
          <a:ext cx="1009650" cy="304800"/>
          <a:chOff x="105" y="627"/>
          <a:chExt cx="106" cy="32"/>
        </a:xfrm>
      </xdr:grpSpPr>
      <xdr:sp macro="" textlink="">
        <xdr:nvSpPr>
          <xdr:cNvPr id="87" name="Line 145">
            <a:extLst>
              <a:ext uri="{FF2B5EF4-FFF2-40B4-BE49-F238E27FC236}">
                <a16:creationId xmlns:a16="http://schemas.microsoft.com/office/drawing/2014/main" id="{0DABEFAE-8D24-4765-AE34-7A99307C2C1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Freeform 146">
            <a:extLst>
              <a:ext uri="{FF2B5EF4-FFF2-40B4-BE49-F238E27FC236}">
                <a16:creationId xmlns:a16="http://schemas.microsoft.com/office/drawing/2014/main" id="{8155F4D9-4DF1-449A-B7C6-9AF81C46C1F8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Freeform 147">
            <a:extLst>
              <a:ext uri="{FF2B5EF4-FFF2-40B4-BE49-F238E27FC236}">
                <a16:creationId xmlns:a16="http://schemas.microsoft.com/office/drawing/2014/main" id="{0B28532D-443C-4185-8AD2-BECCDAFCC4A3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0" name="Line 148">
            <a:extLst>
              <a:ext uri="{FF2B5EF4-FFF2-40B4-BE49-F238E27FC236}">
                <a16:creationId xmlns:a16="http://schemas.microsoft.com/office/drawing/2014/main" id="{E42A27BA-88F2-4771-8BED-5B0DA9E07CC8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Freeform 149">
            <a:extLst>
              <a:ext uri="{FF2B5EF4-FFF2-40B4-BE49-F238E27FC236}">
                <a16:creationId xmlns:a16="http://schemas.microsoft.com/office/drawing/2014/main" id="{265D48EA-D743-4F93-A750-0EEA6E76140E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Freeform 150">
            <a:extLst>
              <a:ext uri="{FF2B5EF4-FFF2-40B4-BE49-F238E27FC236}">
                <a16:creationId xmlns:a16="http://schemas.microsoft.com/office/drawing/2014/main" id="{60DA79F2-7065-4371-9CB3-65ECC2AE3C16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3" name="Line 151">
            <a:extLst>
              <a:ext uri="{FF2B5EF4-FFF2-40B4-BE49-F238E27FC236}">
                <a16:creationId xmlns:a16="http://schemas.microsoft.com/office/drawing/2014/main" id="{34C83613-08E5-4B6F-8C4B-AAD02B81990C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Freeform 152">
            <a:extLst>
              <a:ext uri="{FF2B5EF4-FFF2-40B4-BE49-F238E27FC236}">
                <a16:creationId xmlns:a16="http://schemas.microsoft.com/office/drawing/2014/main" id="{E3CEAE89-A67E-4DCF-BF4A-D0AF4F56BC3D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1247775</xdr:rowOff>
    </xdr:from>
    <xdr:to>
      <xdr:col>7</xdr:col>
      <xdr:colOff>200025</xdr:colOff>
      <xdr:row>17</xdr:row>
      <xdr:rowOff>1304925</xdr:rowOff>
    </xdr:to>
    <xdr:grpSp>
      <xdr:nvGrpSpPr>
        <xdr:cNvPr id="95" name="Group 153">
          <a:extLst>
            <a:ext uri="{FF2B5EF4-FFF2-40B4-BE49-F238E27FC236}">
              <a16:creationId xmlns:a16="http://schemas.microsoft.com/office/drawing/2014/main" id="{52560FDA-6901-4F10-9EA2-2CCC896DE871}"/>
            </a:ext>
          </a:extLst>
        </xdr:cNvPr>
        <xdr:cNvGrpSpPr>
          <a:grpSpLocks/>
        </xdr:cNvGrpSpPr>
      </xdr:nvGrpSpPr>
      <xdr:grpSpPr bwMode="auto">
        <a:xfrm>
          <a:off x="1724025" y="6438900"/>
          <a:ext cx="733425" cy="57150"/>
          <a:chOff x="123" y="549"/>
          <a:chExt cx="77" cy="6"/>
        </a:xfrm>
      </xdr:grpSpPr>
      <xdr:sp macro="" textlink="">
        <xdr:nvSpPr>
          <xdr:cNvPr id="96" name="Line 154">
            <a:extLst>
              <a:ext uri="{FF2B5EF4-FFF2-40B4-BE49-F238E27FC236}">
                <a16:creationId xmlns:a16="http://schemas.microsoft.com/office/drawing/2014/main" id="{9A2C15F3-72F2-4750-AAC0-068B6F29BAD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Freeform 155">
            <a:extLst>
              <a:ext uri="{FF2B5EF4-FFF2-40B4-BE49-F238E27FC236}">
                <a16:creationId xmlns:a16="http://schemas.microsoft.com/office/drawing/2014/main" id="{91CF8249-D6E4-4562-A1DF-FC72B4F105E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Freeform 156">
            <a:extLst>
              <a:ext uri="{FF2B5EF4-FFF2-40B4-BE49-F238E27FC236}">
                <a16:creationId xmlns:a16="http://schemas.microsoft.com/office/drawing/2014/main" id="{B021375E-58B0-4F22-8169-07A97E9B27E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6</xdr:col>
      <xdr:colOff>19050</xdr:colOff>
      <xdr:row>17</xdr:row>
      <xdr:rowOff>1314450</xdr:rowOff>
    </xdr:from>
    <xdr:ext cx="303536" cy="150041"/>
    <xdr:sp macro="" textlink="">
      <xdr:nvSpPr>
        <xdr:cNvPr id="99" name="Text Box 157">
          <a:extLst>
            <a:ext uri="{FF2B5EF4-FFF2-40B4-BE49-F238E27FC236}">
              <a16:creationId xmlns:a16="http://schemas.microsoft.com/office/drawing/2014/main" id="{60C68A02-6D05-4EB5-8326-A5E59AF37B0C}"/>
            </a:ext>
          </a:extLst>
        </xdr:cNvPr>
        <xdr:cNvSpPr txBox="1">
          <a:spLocks noChangeArrowheads="1"/>
        </xdr:cNvSpPr>
      </xdr:nvSpPr>
      <xdr:spPr bwMode="auto">
        <a:xfrm>
          <a:off x="1962150" y="650557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6</xdr:col>
      <xdr:colOff>19050</xdr:colOff>
      <xdr:row>17</xdr:row>
      <xdr:rowOff>161925</xdr:rowOff>
    </xdr:from>
    <xdr:ext cx="303536" cy="150041"/>
    <xdr:sp macro="" textlink="">
      <xdr:nvSpPr>
        <xdr:cNvPr id="100" name="Text Box 158">
          <a:extLst>
            <a:ext uri="{FF2B5EF4-FFF2-40B4-BE49-F238E27FC236}">
              <a16:creationId xmlns:a16="http://schemas.microsoft.com/office/drawing/2014/main" id="{943D02BE-3F3F-4AF4-B1BF-12EFCC9D4166}"/>
            </a:ext>
          </a:extLst>
        </xdr:cNvPr>
        <xdr:cNvSpPr txBox="1">
          <a:spLocks noChangeArrowheads="1"/>
        </xdr:cNvSpPr>
      </xdr:nvSpPr>
      <xdr:spPr bwMode="auto">
        <a:xfrm>
          <a:off x="1962150" y="535305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266700</xdr:colOff>
      <xdr:row>17</xdr:row>
      <xdr:rowOff>285750</xdr:rowOff>
    </xdr:from>
    <xdr:ext cx="361244" cy="150041"/>
    <xdr:sp macro="" textlink="">
      <xdr:nvSpPr>
        <xdr:cNvPr id="101" name="Text Box 159">
          <a:extLst>
            <a:ext uri="{FF2B5EF4-FFF2-40B4-BE49-F238E27FC236}">
              <a16:creationId xmlns:a16="http://schemas.microsoft.com/office/drawing/2014/main" id="{03E8ACD2-1B41-4437-85EE-1D8D2B6ADFA1}"/>
            </a:ext>
          </a:extLst>
        </xdr:cNvPr>
        <xdr:cNvSpPr txBox="1">
          <a:spLocks noChangeArrowheads="1"/>
        </xdr:cNvSpPr>
      </xdr:nvSpPr>
      <xdr:spPr bwMode="auto">
        <a:xfrm>
          <a:off x="2524125" y="54768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266700</xdr:colOff>
      <xdr:row>17</xdr:row>
      <xdr:rowOff>1219200</xdr:rowOff>
    </xdr:from>
    <xdr:ext cx="361244" cy="150041"/>
    <xdr:sp macro="" textlink="">
      <xdr:nvSpPr>
        <xdr:cNvPr id="102" name="Text Box 160">
          <a:extLst>
            <a:ext uri="{FF2B5EF4-FFF2-40B4-BE49-F238E27FC236}">
              <a16:creationId xmlns:a16="http://schemas.microsoft.com/office/drawing/2014/main" id="{A1E597D7-2294-449C-9494-4542BD19FE2C}"/>
            </a:ext>
          </a:extLst>
        </xdr:cNvPr>
        <xdr:cNvSpPr txBox="1">
          <a:spLocks noChangeArrowheads="1"/>
        </xdr:cNvSpPr>
      </xdr:nvSpPr>
      <xdr:spPr bwMode="auto">
        <a:xfrm>
          <a:off x="2524125" y="64103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7</xdr:col>
      <xdr:colOff>85726</xdr:colOff>
      <xdr:row>9</xdr:row>
      <xdr:rowOff>628651</xdr:rowOff>
    </xdr:from>
    <xdr:to>
      <xdr:col>13</xdr:col>
      <xdr:colOff>200025</xdr:colOff>
      <xdr:row>9</xdr:row>
      <xdr:rowOff>647700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1FD04155-F3A7-440C-89C9-0862FD578993}"/>
            </a:ext>
          </a:extLst>
        </xdr:cNvPr>
        <xdr:cNvCxnSpPr/>
      </xdr:nvCxnSpPr>
      <xdr:spPr>
        <a:xfrm flipH="1" flipV="1">
          <a:off x="2343151" y="2343151"/>
          <a:ext cx="2000249" cy="19049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190499</xdr:colOff>
      <xdr:row>9</xdr:row>
      <xdr:rowOff>390524</xdr:rowOff>
    </xdr:from>
    <xdr:ext cx="468389" cy="187872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4269B317-64AD-4A34-8822-759656E7D7D8}"/>
            </a:ext>
          </a:extLst>
        </xdr:cNvPr>
        <xdr:cNvSpPr txBox="1"/>
      </xdr:nvSpPr>
      <xdr:spPr>
        <a:xfrm>
          <a:off x="2762249" y="2105024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34.7m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11</xdr:col>
      <xdr:colOff>47626</xdr:colOff>
      <xdr:row>7</xdr:row>
      <xdr:rowOff>19050</xdr:rowOff>
    </xdr:from>
    <xdr:to>
      <xdr:col>11</xdr:col>
      <xdr:colOff>133350</xdr:colOff>
      <xdr:row>10</xdr:row>
      <xdr:rowOff>123825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EF3507C8-6DFF-49F2-9BC2-16C0BE2A020A}"/>
            </a:ext>
          </a:extLst>
        </xdr:cNvPr>
        <xdr:cNvCxnSpPr/>
      </xdr:nvCxnSpPr>
      <xdr:spPr>
        <a:xfrm flipH="1">
          <a:off x="3562351" y="1276350"/>
          <a:ext cx="85724" cy="243840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142874</xdr:colOff>
      <xdr:row>9</xdr:row>
      <xdr:rowOff>1343024</xdr:rowOff>
    </xdr:from>
    <xdr:ext cx="468389" cy="187872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7CC1C82A-E6F5-4C24-A86F-82C2BB39171A}"/>
            </a:ext>
          </a:extLst>
        </xdr:cNvPr>
        <xdr:cNvSpPr txBox="1"/>
      </xdr:nvSpPr>
      <xdr:spPr>
        <a:xfrm>
          <a:off x="3657599" y="3057524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39.7m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</xdr:col>
      <xdr:colOff>19050</xdr:colOff>
      <xdr:row>9</xdr:row>
      <xdr:rowOff>542924</xdr:rowOff>
    </xdr:from>
    <xdr:to>
      <xdr:col>2</xdr:col>
      <xdr:colOff>306302</xdr:colOff>
      <xdr:row>9</xdr:row>
      <xdr:rowOff>830924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DC8E6FCB-8824-4070-8075-DFA0D1021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2574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20</xdr:col>
      <xdr:colOff>66675</xdr:colOff>
      <xdr:row>9</xdr:row>
      <xdr:rowOff>1000124</xdr:rowOff>
    </xdr:from>
    <xdr:to>
      <xdr:col>21</xdr:col>
      <xdr:colOff>39602</xdr:colOff>
      <xdr:row>9</xdr:row>
      <xdr:rowOff>1288124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83BC32DF-F66D-4BD7-A638-C365B715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27146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13</xdr:row>
      <xdr:rowOff>9524</xdr:rowOff>
    </xdr:from>
    <xdr:to>
      <xdr:col>11</xdr:col>
      <xdr:colOff>134852</xdr:colOff>
      <xdr:row>14</xdr:row>
      <xdr:rowOff>68924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7EA632C3-60BA-43D8-9C54-02F4D45C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2325" y="428624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4</xdr:row>
      <xdr:rowOff>219074</xdr:rowOff>
    </xdr:from>
    <xdr:to>
      <xdr:col>11</xdr:col>
      <xdr:colOff>144377</xdr:colOff>
      <xdr:row>6</xdr:row>
      <xdr:rowOff>49874</xdr:rowOff>
    </xdr:to>
    <xdr:pic>
      <xdr:nvPicPr>
        <xdr:cNvPr id="119" name="図 118">
          <a:extLst>
            <a:ext uri="{FF2B5EF4-FFF2-40B4-BE49-F238E27FC236}">
              <a16:creationId xmlns:a16="http://schemas.microsoft.com/office/drawing/2014/main" id="{1DAD8CCB-1C27-4CB8-A24D-D3D2BFC43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1850" y="790574"/>
          <a:ext cx="287252" cy="288000"/>
        </a:xfrm>
        <a:prstGeom prst="rect">
          <a:avLst/>
        </a:prstGeom>
      </xdr:spPr>
    </xdr:pic>
    <xdr:clientData/>
  </xdr:twoCellAnchor>
  <xdr:oneCellAnchor>
    <xdr:from>
      <xdr:col>20</xdr:col>
      <xdr:colOff>209550</xdr:colOff>
      <xdr:row>17</xdr:row>
      <xdr:rowOff>1066800</xdr:rowOff>
    </xdr:from>
    <xdr:ext cx="1015715" cy="666750"/>
    <xdr:sp macro="" textlink="">
      <xdr:nvSpPr>
        <xdr:cNvPr id="37" name="Text Box 91">
          <a:extLst>
            <a:ext uri="{FF2B5EF4-FFF2-40B4-BE49-F238E27FC236}">
              <a16:creationId xmlns:a16="http://schemas.microsoft.com/office/drawing/2014/main" id="{3FAA0729-C707-4297-9F8C-F64AB595C8B2}"/>
            </a:ext>
          </a:extLst>
        </xdr:cNvPr>
        <xdr:cNvSpPr txBox="1">
          <a:spLocks noChangeArrowheads="1"/>
        </xdr:cNvSpPr>
      </xdr:nvSpPr>
      <xdr:spPr bwMode="auto">
        <a:xfrm>
          <a:off x="6553200" y="6257925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36BC9168-5E91-4A68-AE85-A554C2BD2AF1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9D9F9823-1217-4657-8AC8-103CA8ADB931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036" name="Freeform 12">
          <a:extLst>
            <a:ext uri="{FF2B5EF4-FFF2-40B4-BE49-F238E27FC236}">
              <a16:creationId xmlns:a16="http://schemas.microsoft.com/office/drawing/2014/main" id="{55E52E61-D61B-44F6-8DC0-46275083109F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C663E2E6-9ED9-49EE-8A29-4E1EAD6F88F3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6B5591D5-617F-40DC-ABD8-06C57F3321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6503F00B-111E-49E7-8F0C-8083CD5EEFE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C806885E-124B-4583-8A7F-44A3593959A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A2D18B4F-5207-4F7E-9DF1-40E7BED9517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42" name="Group 18">
          <a:extLst>
            <a:ext uri="{FF2B5EF4-FFF2-40B4-BE49-F238E27FC236}">
              <a16:creationId xmlns:a16="http://schemas.microsoft.com/office/drawing/2014/main" id="{1A1F926F-1403-48C6-B44A-262F7D41C618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A722EB8B-0FC0-4768-86F7-32C173D35DA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85953E97-F1DD-488A-9BC4-245F9E513EA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4B52D4AC-A21F-4677-858F-E2D2AD472DA4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B1C81E48-1369-43D9-882A-9632C3B1BD18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30CDC90E-D9FB-4603-9338-D28E44E808B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9C532785-F775-482C-81EE-31B14985BF9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088" name="Freeform 64">
          <a:extLst>
            <a:ext uri="{FF2B5EF4-FFF2-40B4-BE49-F238E27FC236}">
              <a16:creationId xmlns:a16="http://schemas.microsoft.com/office/drawing/2014/main" id="{78B04E9F-CFAC-4CC4-8AFE-A33EBD05635F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089" name="Group 65">
          <a:extLst>
            <a:ext uri="{FF2B5EF4-FFF2-40B4-BE49-F238E27FC236}">
              <a16:creationId xmlns:a16="http://schemas.microsoft.com/office/drawing/2014/main" id="{BAC5B464-B764-4A7C-B95A-75699E78BEE3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44C7BCE4-751F-4058-AF5D-81E5BBF2828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Line 67">
            <a:extLst>
              <a:ext uri="{FF2B5EF4-FFF2-40B4-BE49-F238E27FC236}">
                <a16:creationId xmlns:a16="http://schemas.microsoft.com/office/drawing/2014/main" id="{31CE5883-3724-45C6-873E-130039B35B2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3A4DCEE7-A70C-40E0-BFF7-825F77C2C7C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10D7CA09-4476-4564-830C-40EF9ED76F0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094" name="Group 70">
          <a:extLst>
            <a:ext uri="{FF2B5EF4-FFF2-40B4-BE49-F238E27FC236}">
              <a16:creationId xmlns:a16="http://schemas.microsoft.com/office/drawing/2014/main" id="{2076D4FF-CAAA-4FE9-8758-B85CCD470EF7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3296371C-3DCE-432B-9FB9-B725CEAA1BE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9E5143AA-1F41-400F-AF58-FAC62621169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097" name="Group 73">
          <a:extLst>
            <a:ext uri="{FF2B5EF4-FFF2-40B4-BE49-F238E27FC236}">
              <a16:creationId xmlns:a16="http://schemas.microsoft.com/office/drawing/2014/main" id="{F559DB71-E952-4128-955D-2E18B6534BC5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1F001180-E891-4A3A-9126-97BE9E06B7F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Line 75">
            <a:extLst>
              <a:ext uri="{FF2B5EF4-FFF2-40B4-BE49-F238E27FC236}">
                <a16:creationId xmlns:a16="http://schemas.microsoft.com/office/drawing/2014/main" id="{C23AFBAB-9F41-455B-BCEA-8DCAF9D20CF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100" name="Group 76">
          <a:extLst>
            <a:ext uri="{FF2B5EF4-FFF2-40B4-BE49-F238E27FC236}">
              <a16:creationId xmlns:a16="http://schemas.microsoft.com/office/drawing/2014/main" id="{A7CBED22-599C-4921-AD46-AD1619D46B9D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E0CC5C23-8814-4096-8FE3-36E6FF9C8C7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903E2904-7346-4B4E-9260-E5831278079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C27758E6-D259-442F-9B2C-23CED4C4FF28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99ACED7C-98F6-4766-B2EE-D740F8A53334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F71BAD2C-3449-4306-9132-D9B000FD2630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CF5953C7-0559-441C-B499-93CD651FFB9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B8C28A74-9ECF-4EFD-B93C-E2559C34862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104775</xdr:colOff>
      <xdr:row>7</xdr:row>
      <xdr:rowOff>333375</xdr:rowOff>
    </xdr:from>
    <xdr:to>
      <xdr:col>5</xdr:col>
      <xdr:colOff>38100</xdr:colOff>
      <xdr:row>7</xdr:row>
      <xdr:rowOff>1504950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EDF08F46-FDC7-4203-BB8D-0C26508A4200}"/>
            </a:ext>
          </a:extLst>
        </xdr:cNvPr>
        <xdr:cNvSpPr txBox="1">
          <a:spLocks noChangeArrowheads="1"/>
        </xdr:cNvSpPr>
      </xdr:nvSpPr>
      <xdr:spPr bwMode="auto">
        <a:xfrm>
          <a:off x="981075" y="1971675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19</xdr:col>
      <xdr:colOff>295275</xdr:colOff>
      <xdr:row>7</xdr:row>
      <xdr:rowOff>57150</xdr:rowOff>
    </xdr:from>
    <xdr:to>
      <xdr:col>20</xdr:col>
      <xdr:colOff>228600</xdr:colOff>
      <xdr:row>7</xdr:row>
      <xdr:rowOff>1638300</xdr:rowOff>
    </xdr:to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D03938D1-B729-4BA8-A21E-FD2C189196F0}"/>
            </a:ext>
          </a:extLst>
        </xdr:cNvPr>
        <xdr:cNvSpPr txBox="1">
          <a:spLocks noChangeArrowheads="1"/>
        </xdr:cNvSpPr>
      </xdr:nvSpPr>
      <xdr:spPr bwMode="auto">
        <a:xfrm>
          <a:off x="5886450" y="1695450"/>
          <a:ext cx="2476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本通り６丁目</a:t>
          </a:r>
        </a:p>
      </xdr:txBody>
    </xdr:sp>
    <xdr:clientData/>
  </xdr:twoCellAnchor>
  <xdr:twoCellAnchor editAs="oneCell">
    <xdr:from>
      <xdr:col>5</xdr:col>
      <xdr:colOff>66675</xdr:colOff>
      <xdr:row>3</xdr:row>
      <xdr:rowOff>142875</xdr:rowOff>
    </xdr:from>
    <xdr:to>
      <xdr:col>19</xdr:col>
      <xdr:colOff>257175</xdr:colOff>
      <xdr:row>11</xdr:row>
      <xdr:rowOff>57150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96BB5A21-5DAA-4D80-A9D0-E60391BE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866775"/>
          <a:ext cx="4591050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10</xdr:row>
      <xdr:rowOff>133350</xdr:rowOff>
    </xdr:from>
    <xdr:to>
      <xdr:col>6</xdr:col>
      <xdr:colOff>200025</xdr:colOff>
      <xdr:row>13</xdr:row>
      <xdr:rowOff>28575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861D6786-06D4-4648-A7F6-401AB2C87763}"/>
            </a:ext>
          </a:extLst>
        </xdr:cNvPr>
        <xdr:cNvSpPr txBox="1">
          <a:spLocks noChangeArrowheads="1"/>
        </xdr:cNvSpPr>
      </xdr:nvSpPr>
      <xdr:spPr bwMode="auto">
        <a:xfrm>
          <a:off x="76200" y="410527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133350</xdr:rowOff>
    </xdr:from>
    <xdr:to>
      <xdr:col>23</xdr:col>
      <xdr:colOff>0</xdr:colOff>
      <xdr:row>5</xdr:row>
      <xdr:rowOff>142875</xdr:rowOff>
    </xdr:to>
    <xdr:pic>
      <xdr:nvPicPr>
        <xdr:cNvPr id="1119" name="Picture 95">
          <a:extLst>
            <a:ext uri="{FF2B5EF4-FFF2-40B4-BE49-F238E27FC236}">
              <a16:creationId xmlns:a16="http://schemas.microsoft.com/office/drawing/2014/main" id="{C367B29B-246B-43B6-BB55-E7EFFA09A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2865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228600</xdr:colOff>
      <xdr:row>15</xdr:row>
      <xdr:rowOff>400050</xdr:rowOff>
    </xdr:from>
    <xdr:to>
      <xdr:col>23</xdr:col>
      <xdr:colOff>295275</xdr:colOff>
      <xdr:row>15</xdr:row>
      <xdr:rowOff>1095375</xdr:rowOff>
    </xdr:to>
    <xdr:pic>
      <xdr:nvPicPr>
        <xdr:cNvPr id="1122" name="Picture 98">
          <a:extLst>
            <a:ext uri="{FF2B5EF4-FFF2-40B4-BE49-F238E27FC236}">
              <a16:creationId xmlns:a16="http://schemas.microsoft.com/office/drawing/2014/main" id="{A288A573-F01C-4FF1-BB3A-CF859EAF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55149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161925</xdr:colOff>
      <xdr:row>15</xdr:row>
      <xdr:rowOff>323850</xdr:rowOff>
    </xdr:from>
    <xdr:to>
      <xdr:col>11</xdr:col>
      <xdr:colOff>152400</xdr:colOff>
      <xdr:row>15</xdr:row>
      <xdr:rowOff>1323975</xdr:rowOff>
    </xdr:to>
    <xdr:grpSp>
      <xdr:nvGrpSpPr>
        <xdr:cNvPr id="1124" name="Group 100">
          <a:extLst>
            <a:ext uri="{FF2B5EF4-FFF2-40B4-BE49-F238E27FC236}">
              <a16:creationId xmlns:a16="http://schemas.microsoft.com/office/drawing/2014/main" id="{1D7B58DE-9438-421B-93DD-F55FDD860D2C}"/>
            </a:ext>
          </a:extLst>
        </xdr:cNvPr>
        <xdr:cNvGrpSpPr>
          <a:grpSpLocks/>
        </xdr:cNvGrpSpPr>
      </xdr:nvGrpSpPr>
      <xdr:grpSpPr bwMode="auto">
        <a:xfrm>
          <a:off x="2924175" y="5438775"/>
          <a:ext cx="304800" cy="1000125"/>
          <a:chOff x="306" y="566"/>
          <a:chExt cx="32" cy="105"/>
        </a:xfrm>
      </xdr:grpSpPr>
      <xdr:sp macro="" textlink="">
        <xdr:nvSpPr>
          <xdr:cNvPr id="1125" name="Line 101">
            <a:extLst>
              <a:ext uri="{FF2B5EF4-FFF2-40B4-BE49-F238E27FC236}">
                <a16:creationId xmlns:a16="http://schemas.microsoft.com/office/drawing/2014/main" id="{3FD5FE8F-FD54-4265-BDE1-0DAF73B38062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70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6" name="Freeform 102">
            <a:extLst>
              <a:ext uri="{FF2B5EF4-FFF2-40B4-BE49-F238E27FC236}">
                <a16:creationId xmlns:a16="http://schemas.microsoft.com/office/drawing/2014/main" id="{F9B2C2CE-43CE-460E-9A61-140D4D21F9D6}"/>
              </a:ext>
            </a:extLst>
          </xdr:cNvPr>
          <xdr:cNvSpPr>
            <a:spLocks/>
          </xdr:cNvSpPr>
        </xdr:nvSpPr>
        <xdr:spPr bwMode="auto">
          <a:xfrm rot="-5400000">
            <a:off x="318" y="56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7" name="Freeform 103">
            <a:extLst>
              <a:ext uri="{FF2B5EF4-FFF2-40B4-BE49-F238E27FC236}">
                <a16:creationId xmlns:a16="http://schemas.microsoft.com/office/drawing/2014/main" id="{D9E3F8A6-B63A-4577-B3BB-4BEDD20C5DA0}"/>
              </a:ext>
            </a:extLst>
          </xdr:cNvPr>
          <xdr:cNvSpPr>
            <a:spLocks/>
          </xdr:cNvSpPr>
        </xdr:nvSpPr>
        <xdr:spPr bwMode="auto">
          <a:xfrm rot="-5400000">
            <a:off x="314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8" name="Line 104">
            <a:extLst>
              <a:ext uri="{FF2B5EF4-FFF2-40B4-BE49-F238E27FC236}">
                <a16:creationId xmlns:a16="http://schemas.microsoft.com/office/drawing/2014/main" id="{2029E2B5-FC65-4581-8792-69B51F1C6F28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10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9" name="Freeform 105">
            <a:extLst>
              <a:ext uri="{FF2B5EF4-FFF2-40B4-BE49-F238E27FC236}">
                <a16:creationId xmlns:a16="http://schemas.microsoft.com/office/drawing/2014/main" id="{3384A427-35AA-48B3-B3E1-FC766A0976C7}"/>
              </a:ext>
            </a:extLst>
          </xdr:cNvPr>
          <xdr:cNvSpPr>
            <a:spLocks/>
          </xdr:cNvSpPr>
        </xdr:nvSpPr>
        <xdr:spPr bwMode="auto">
          <a:xfrm rot="-5400000">
            <a:off x="306" y="63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0" name="Freeform 106">
            <a:extLst>
              <a:ext uri="{FF2B5EF4-FFF2-40B4-BE49-F238E27FC236}">
                <a16:creationId xmlns:a16="http://schemas.microsoft.com/office/drawing/2014/main" id="{0D5B28C2-468D-4EFD-84E0-4894FEA95E45}"/>
              </a:ext>
            </a:extLst>
          </xdr:cNvPr>
          <xdr:cNvSpPr>
            <a:spLocks/>
          </xdr:cNvSpPr>
        </xdr:nvSpPr>
        <xdr:spPr bwMode="auto">
          <a:xfrm rot="-5400000">
            <a:off x="322" y="62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1" name="Line 107">
            <a:extLst>
              <a:ext uri="{FF2B5EF4-FFF2-40B4-BE49-F238E27FC236}">
                <a16:creationId xmlns:a16="http://schemas.microsoft.com/office/drawing/2014/main" id="{2C34CC80-37B5-4128-A850-33752FB05D66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2" name="Freeform 108">
            <a:extLst>
              <a:ext uri="{FF2B5EF4-FFF2-40B4-BE49-F238E27FC236}">
                <a16:creationId xmlns:a16="http://schemas.microsoft.com/office/drawing/2014/main" id="{24F4E1C3-A317-4D63-B37F-103297971EAE}"/>
              </a:ext>
            </a:extLst>
          </xdr:cNvPr>
          <xdr:cNvSpPr>
            <a:spLocks/>
          </xdr:cNvSpPr>
        </xdr:nvSpPr>
        <xdr:spPr bwMode="auto">
          <a:xfrm rot="-5400000">
            <a:off x="331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438150</xdr:rowOff>
    </xdr:from>
    <xdr:to>
      <xdr:col>13</xdr:col>
      <xdr:colOff>38100</xdr:colOff>
      <xdr:row>15</xdr:row>
      <xdr:rowOff>1171575</xdr:rowOff>
    </xdr:to>
    <xdr:grpSp>
      <xdr:nvGrpSpPr>
        <xdr:cNvPr id="1133" name="Group 109">
          <a:extLst>
            <a:ext uri="{FF2B5EF4-FFF2-40B4-BE49-F238E27FC236}">
              <a16:creationId xmlns:a16="http://schemas.microsoft.com/office/drawing/2014/main" id="{0CE30428-9386-4550-B2E9-2EFD58C054C6}"/>
            </a:ext>
          </a:extLst>
        </xdr:cNvPr>
        <xdr:cNvGrpSpPr>
          <a:grpSpLocks/>
        </xdr:cNvGrpSpPr>
      </xdr:nvGrpSpPr>
      <xdr:grpSpPr bwMode="auto">
        <a:xfrm rot="5400000">
          <a:off x="3348037" y="5891213"/>
          <a:ext cx="733425" cy="57150"/>
          <a:chOff x="123" y="549"/>
          <a:chExt cx="77" cy="6"/>
        </a:xfrm>
      </xdr:grpSpPr>
      <xdr:sp macro="" textlink="">
        <xdr:nvSpPr>
          <xdr:cNvPr id="1134" name="Line 110">
            <a:extLst>
              <a:ext uri="{FF2B5EF4-FFF2-40B4-BE49-F238E27FC236}">
                <a16:creationId xmlns:a16="http://schemas.microsoft.com/office/drawing/2014/main" id="{02AA324B-25AA-4EF5-855A-866D2C63866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5" name="Freeform 111">
            <a:extLst>
              <a:ext uri="{FF2B5EF4-FFF2-40B4-BE49-F238E27FC236}">
                <a16:creationId xmlns:a16="http://schemas.microsoft.com/office/drawing/2014/main" id="{8B0C3ED3-7873-4092-BDB5-789463B2291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6" name="Freeform 112">
            <a:extLst>
              <a:ext uri="{FF2B5EF4-FFF2-40B4-BE49-F238E27FC236}">
                <a16:creationId xmlns:a16="http://schemas.microsoft.com/office/drawing/2014/main" id="{EC89351E-7205-4DCC-8ABA-C61D1E66B08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323850</xdr:rowOff>
    </xdr:from>
    <xdr:to>
      <xdr:col>12</xdr:col>
      <xdr:colOff>152400</xdr:colOff>
      <xdr:row>15</xdr:row>
      <xdr:rowOff>1323975</xdr:rowOff>
    </xdr:to>
    <xdr:grpSp>
      <xdr:nvGrpSpPr>
        <xdr:cNvPr id="1137" name="Group 113">
          <a:extLst>
            <a:ext uri="{FF2B5EF4-FFF2-40B4-BE49-F238E27FC236}">
              <a16:creationId xmlns:a16="http://schemas.microsoft.com/office/drawing/2014/main" id="{4831BAFD-B101-47A9-815D-CD265301EED4}"/>
            </a:ext>
          </a:extLst>
        </xdr:cNvPr>
        <xdr:cNvGrpSpPr>
          <a:grpSpLocks/>
        </xdr:cNvGrpSpPr>
      </xdr:nvGrpSpPr>
      <xdr:grpSpPr bwMode="auto">
        <a:xfrm>
          <a:off x="3248025" y="5438775"/>
          <a:ext cx="295275" cy="1000125"/>
          <a:chOff x="342" y="566"/>
          <a:chExt cx="31" cy="105"/>
        </a:xfrm>
      </xdr:grpSpPr>
      <xdr:sp macro="" textlink="">
        <xdr:nvSpPr>
          <xdr:cNvPr id="1138" name="Line 114">
            <a:extLst>
              <a:ext uri="{FF2B5EF4-FFF2-40B4-BE49-F238E27FC236}">
                <a16:creationId xmlns:a16="http://schemas.microsoft.com/office/drawing/2014/main" id="{872D4B97-D9DE-401A-B99D-D7619180A8B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05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9" name="Freeform 115">
            <a:extLst>
              <a:ext uri="{FF2B5EF4-FFF2-40B4-BE49-F238E27FC236}">
                <a16:creationId xmlns:a16="http://schemas.microsoft.com/office/drawing/2014/main" id="{9472FDCA-5E97-4B57-9F62-38F5657616E6}"/>
              </a:ext>
            </a:extLst>
          </xdr:cNvPr>
          <xdr:cNvSpPr>
            <a:spLocks/>
          </xdr:cNvSpPr>
        </xdr:nvSpPr>
        <xdr:spPr bwMode="auto">
          <a:xfrm rot="5400000">
            <a:off x="353" y="66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0" name="Freeform 116">
            <a:extLst>
              <a:ext uri="{FF2B5EF4-FFF2-40B4-BE49-F238E27FC236}">
                <a16:creationId xmlns:a16="http://schemas.microsoft.com/office/drawing/2014/main" id="{F6EF90AC-C9D8-4980-84CD-38E864308B68}"/>
              </a:ext>
            </a:extLst>
          </xdr:cNvPr>
          <xdr:cNvSpPr>
            <a:spLocks/>
          </xdr:cNvSpPr>
        </xdr:nvSpPr>
        <xdr:spPr bwMode="auto">
          <a:xfrm rot="5400000">
            <a:off x="357" y="59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1" name="Line 117">
            <a:extLst>
              <a:ext uri="{FF2B5EF4-FFF2-40B4-BE49-F238E27FC236}">
                <a16:creationId xmlns:a16="http://schemas.microsoft.com/office/drawing/2014/main" id="{BC9B1BC8-B78C-4BEA-AD62-17776D27CE57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2" name="Freeform 118">
            <a:extLst>
              <a:ext uri="{FF2B5EF4-FFF2-40B4-BE49-F238E27FC236}">
                <a16:creationId xmlns:a16="http://schemas.microsoft.com/office/drawing/2014/main" id="{42D97898-8461-4C88-9F3C-D519482ADEE0}"/>
              </a:ext>
            </a:extLst>
          </xdr:cNvPr>
          <xdr:cNvSpPr>
            <a:spLocks/>
          </xdr:cNvSpPr>
        </xdr:nvSpPr>
        <xdr:spPr bwMode="auto">
          <a:xfrm rot="5400000">
            <a:off x="366" y="59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3" name="Freeform 119">
            <a:extLst>
              <a:ext uri="{FF2B5EF4-FFF2-40B4-BE49-F238E27FC236}">
                <a16:creationId xmlns:a16="http://schemas.microsoft.com/office/drawing/2014/main" id="{9EA787AC-C9FF-44D3-BD9E-BFD0C5CECE3B}"/>
              </a:ext>
            </a:extLst>
          </xdr:cNvPr>
          <xdr:cNvSpPr>
            <a:spLocks/>
          </xdr:cNvSpPr>
        </xdr:nvSpPr>
        <xdr:spPr bwMode="auto">
          <a:xfrm rot="5400000">
            <a:off x="350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4" name="Line 120">
            <a:extLst>
              <a:ext uri="{FF2B5EF4-FFF2-40B4-BE49-F238E27FC236}">
                <a16:creationId xmlns:a16="http://schemas.microsoft.com/office/drawing/2014/main" id="{B7DBF368-B4A2-407C-A345-E762AD57E41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5" name="Freeform 121">
            <a:extLst>
              <a:ext uri="{FF2B5EF4-FFF2-40B4-BE49-F238E27FC236}">
                <a16:creationId xmlns:a16="http://schemas.microsoft.com/office/drawing/2014/main" id="{763FC763-8C47-4E66-A1BA-FBEB51351B09}"/>
              </a:ext>
            </a:extLst>
          </xdr:cNvPr>
          <xdr:cNvSpPr>
            <a:spLocks/>
          </xdr:cNvSpPr>
        </xdr:nvSpPr>
        <xdr:spPr bwMode="auto">
          <a:xfrm rot="5400000">
            <a:off x="342" y="60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171450</xdr:colOff>
      <xdr:row>15</xdr:row>
      <xdr:rowOff>1190625</xdr:rowOff>
    </xdr:from>
    <xdr:to>
      <xdr:col>10</xdr:col>
      <xdr:colOff>209550</xdr:colOff>
      <xdr:row>15</xdr:row>
      <xdr:rowOff>1352550</xdr:rowOff>
    </xdr:to>
    <xdr:sp macro="" textlink="">
      <xdr:nvSpPr>
        <xdr:cNvPr id="1146" name="Text Box 122">
          <a:extLst>
            <a:ext uri="{FF2B5EF4-FFF2-40B4-BE49-F238E27FC236}">
              <a16:creationId xmlns:a16="http://schemas.microsoft.com/office/drawing/2014/main" id="{754A3C51-6583-4271-91E8-F068B12FE055}"/>
            </a:ext>
          </a:extLst>
        </xdr:cNvPr>
        <xdr:cNvSpPr txBox="1">
          <a:spLocks noChangeArrowheads="1"/>
        </xdr:cNvSpPr>
      </xdr:nvSpPr>
      <xdr:spPr bwMode="auto">
        <a:xfrm>
          <a:off x="2619375" y="63055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22.5m</a:t>
          </a:r>
        </a:p>
      </xdr:txBody>
    </xdr:sp>
    <xdr:clientData/>
  </xdr:twoCellAnchor>
  <xdr:twoCellAnchor>
    <xdr:from>
      <xdr:col>9</xdr:col>
      <xdr:colOff>295275</xdr:colOff>
      <xdr:row>15</xdr:row>
      <xdr:rowOff>438150</xdr:rowOff>
    </xdr:from>
    <xdr:to>
      <xdr:col>10</xdr:col>
      <xdr:colOff>38100</xdr:colOff>
      <xdr:row>15</xdr:row>
      <xdr:rowOff>1171575</xdr:rowOff>
    </xdr:to>
    <xdr:grpSp>
      <xdr:nvGrpSpPr>
        <xdr:cNvPr id="1147" name="Group 123">
          <a:extLst>
            <a:ext uri="{FF2B5EF4-FFF2-40B4-BE49-F238E27FC236}">
              <a16:creationId xmlns:a16="http://schemas.microsoft.com/office/drawing/2014/main" id="{E1507DA9-B19D-4656-93F5-C1986C711D3A}"/>
            </a:ext>
          </a:extLst>
        </xdr:cNvPr>
        <xdr:cNvGrpSpPr>
          <a:grpSpLocks/>
        </xdr:cNvGrpSpPr>
      </xdr:nvGrpSpPr>
      <xdr:grpSpPr bwMode="auto">
        <a:xfrm rot="5400000">
          <a:off x="2405062" y="5891213"/>
          <a:ext cx="733425" cy="57150"/>
          <a:chOff x="123" y="549"/>
          <a:chExt cx="77" cy="6"/>
        </a:xfrm>
      </xdr:grpSpPr>
      <xdr:sp macro="" textlink="">
        <xdr:nvSpPr>
          <xdr:cNvPr id="1148" name="Line 124">
            <a:extLst>
              <a:ext uri="{FF2B5EF4-FFF2-40B4-BE49-F238E27FC236}">
                <a16:creationId xmlns:a16="http://schemas.microsoft.com/office/drawing/2014/main" id="{5BAF61EB-6EC7-4024-AC04-DAAF7D24F31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9" name="Freeform 125">
            <a:extLst>
              <a:ext uri="{FF2B5EF4-FFF2-40B4-BE49-F238E27FC236}">
                <a16:creationId xmlns:a16="http://schemas.microsoft.com/office/drawing/2014/main" id="{FAC4EA27-4FF6-41D3-9F79-9FB41FDB100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0" name="Freeform 126">
            <a:extLst>
              <a:ext uri="{FF2B5EF4-FFF2-40B4-BE49-F238E27FC236}">
                <a16:creationId xmlns:a16="http://schemas.microsoft.com/office/drawing/2014/main" id="{31E6F6F6-5A51-4784-A1FA-69B7B464496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171450</xdr:colOff>
      <xdr:row>15</xdr:row>
      <xdr:rowOff>1190625</xdr:rowOff>
    </xdr:from>
    <xdr:to>
      <xdr:col>13</xdr:col>
      <xdr:colOff>209550</xdr:colOff>
      <xdr:row>15</xdr:row>
      <xdr:rowOff>1352550</xdr:rowOff>
    </xdr:to>
    <xdr:sp macro="" textlink="">
      <xdr:nvSpPr>
        <xdr:cNvPr id="1151" name="Text Box 127">
          <a:extLst>
            <a:ext uri="{FF2B5EF4-FFF2-40B4-BE49-F238E27FC236}">
              <a16:creationId xmlns:a16="http://schemas.microsoft.com/office/drawing/2014/main" id="{0AC32559-8DE0-4A23-A7FB-2E24B376474D}"/>
            </a:ext>
          </a:extLst>
        </xdr:cNvPr>
        <xdr:cNvSpPr txBox="1">
          <a:spLocks noChangeArrowheads="1"/>
        </xdr:cNvSpPr>
      </xdr:nvSpPr>
      <xdr:spPr bwMode="auto">
        <a:xfrm>
          <a:off x="3562350" y="63055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22.5m</a:t>
          </a:r>
        </a:p>
      </xdr:txBody>
    </xdr:sp>
    <xdr:clientData/>
  </xdr:twoCellAnchor>
  <xdr:twoCellAnchor>
    <xdr:from>
      <xdr:col>9</xdr:col>
      <xdr:colOff>200025</xdr:colOff>
      <xdr:row>15</xdr:row>
      <xdr:rowOff>276225</xdr:rowOff>
    </xdr:from>
    <xdr:to>
      <xdr:col>10</xdr:col>
      <xdr:colOff>238125</xdr:colOff>
      <xdr:row>15</xdr:row>
      <xdr:rowOff>438150</xdr:rowOff>
    </xdr:to>
    <xdr:sp macro="" textlink="">
      <xdr:nvSpPr>
        <xdr:cNvPr id="1152" name="Text Box 128">
          <a:extLst>
            <a:ext uri="{FF2B5EF4-FFF2-40B4-BE49-F238E27FC236}">
              <a16:creationId xmlns:a16="http://schemas.microsoft.com/office/drawing/2014/main" id="{3F3A2812-B1D1-460E-A56A-90A1C9F02BD2}"/>
            </a:ext>
          </a:extLst>
        </xdr:cNvPr>
        <xdr:cNvSpPr txBox="1">
          <a:spLocks noChangeArrowheads="1"/>
        </xdr:cNvSpPr>
      </xdr:nvSpPr>
      <xdr:spPr bwMode="auto">
        <a:xfrm>
          <a:off x="2647950" y="53911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200025</xdr:colOff>
      <xdr:row>15</xdr:row>
      <xdr:rowOff>276225</xdr:rowOff>
    </xdr:from>
    <xdr:to>
      <xdr:col>13</xdr:col>
      <xdr:colOff>238125</xdr:colOff>
      <xdr:row>15</xdr:row>
      <xdr:rowOff>438150</xdr:rowOff>
    </xdr:to>
    <xdr:sp macro="" textlink="">
      <xdr:nvSpPr>
        <xdr:cNvPr id="1153" name="Text Box 129">
          <a:extLst>
            <a:ext uri="{FF2B5EF4-FFF2-40B4-BE49-F238E27FC236}">
              <a16:creationId xmlns:a16="http://schemas.microsoft.com/office/drawing/2014/main" id="{40176499-E162-4F1E-9217-59ACE5FFBB64}"/>
            </a:ext>
          </a:extLst>
        </xdr:cNvPr>
        <xdr:cNvSpPr txBox="1">
          <a:spLocks noChangeArrowheads="1"/>
        </xdr:cNvSpPr>
      </xdr:nvSpPr>
      <xdr:spPr bwMode="auto">
        <a:xfrm>
          <a:off x="3590925" y="53911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4</xdr:col>
      <xdr:colOff>285750</xdr:colOff>
      <xdr:row>15</xdr:row>
      <xdr:rowOff>495300</xdr:rowOff>
    </xdr:from>
    <xdr:to>
      <xdr:col>8</xdr:col>
      <xdr:colOff>28575</xdr:colOff>
      <xdr:row>15</xdr:row>
      <xdr:rowOff>800100</xdr:rowOff>
    </xdr:to>
    <xdr:grpSp>
      <xdr:nvGrpSpPr>
        <xdr:cNvPr id="1155" name="Group 131">
          <a:extLst>
            <a:ext uri="{FF2B5EF4-FFF2-40B4-BE49-F238E27FC236}">
              <a16:creationId xmlns:a16="http://schemas.microsoft.com/office/drawing/2014/main" id="{0697008F-72D1-48EC-B2DF-36A2E5023DD2}"/>
            </a:ext>
          </a:extLst>
        </xdr:cNvPr>
        <xdr:cNvGrpSpPr>
          <a:grpSpLocks/>
        </xdr:cNvGrpSpPr>
      </xdr:nvGrpSpPr>
      <xdr:grpSpPr bwMode="auto">
        <a:xfrm>
          <a:off x="1162050" y="5610225"/>
          <a:ext cx="1000125" cy="304800"/>
          <a:chOff x="110" y="567"/>
          <a:chExt cx="105" cy="32"/>
        </a:xfrm>
      </xdr:grpSpPr>
      <xdr:sp macro="" textlink="">
        <xdr:nvSpPr>
          <xdr:cNvPr id="1156" name="Line 132">
            <a:extLst>
              <a:ext uri="{FF2B5EF4-FFF2-40B4-BE49-F238E27FC236}">
                <a16:creationId xmlns:a16="http://schemas.microsoft.com/office/drawing/2014/main" id="{CA7FFD0F-E214-4D61-9847-C058F172C71F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7" name="Freeform 133">
            <a:extLst>
              <a:ext uri="{FF2B5EF4-FFF2-40B4-BE49-F238E27FC236}">
                <a16:creationId xmlns:a16="http://schemas.microsoft.com/office/drawing/2014/main" id="{F1C99FF7-A573-4042-8449-92B558E0FC10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8" name="Freeform 134">
            <a:extLst>
              <a:ext uri="{FF2B5EF4-FFF2-40B4-BE49-F238E27FC236}">
                <a16:creationId xmlns:a16="http://schemas.microsoft.com/office/drawing/2014/main" id="{B556FCF6-A669-4DD1-8857-13A320F732A2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9" name="Line 135">
            <a:extLst>
              <a:ext uri="{FF2B5EF4-FFF2-40B4-BE49-F238E27FC236}">
                <a16:creationId xmlns:a16="http://schemas.microsoft.com/office/drawing/2014/main" id="{6024A6D5-8C96-4451-A9FB-621E64E04A31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0" name="Freeform 136">
            <a:extLst>
              <a:ext uri="{FF2B5EF4-FFF2-40B4-BE49-F238E27FC236}">
                <a16:creationId xmlns:a16="http://schemas.microsoft.com/office/drawing/2014/main" id="{CC192A1B-1199-4B5C-891A-FC98D2FFC22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1" name="Freeform 137">
            <a:extLst>
              <a:ext uri="{FF2B5EF4-FFF2-40B4-BE49-F238E27FC236}">
                <a16:creationId xmlns:a16="http://schemas.microsoft.com/office/drawing/2014/main" id="{5FF1D249-A6A8-46AE-863A-AF54ED014793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2" name="Line 138">
            <a:extLst>
              <a:ext uri="{FF2B5EF4-FFF2-40B4-BE49-F238E27FC236}">
                <a16:creationId xmlns:a16="http://schemas.microsoft.com/office/drawing/2014/main" id="{2F123440-7AA1-43EB-A665-230DCE257A1F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3" name="Freeform 139">
            <a:extLst>
              <a:ext uri="{FF2B5EF4-FFF2-40B4-BE49-F238E27FC236}">
                <a16:creationId xmlns:a16="http://schemas.microsoft.com/office/drawing/2014/main" id="{93796433-012F-478A-8342-2585B068FD81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323850</xdr:rowOff>
    </xdr:from>
    <xdr:to>
      <xdr:col>7</xdr:col>
      <xdr:colOff>200025</xdr:colOff>
      <xdr:row>15</xdr:row>
      <xdr:rowOff>381000</xdr:rowOff>
    </xdr:to>
    <xdr:grpSp>
      <xdr:nvGrpSpPr>
        <xdr:cNvPr id="1164" name="Group 140">
          <a:extLst>
            <a:ext uri="{FF2B5EF4-FFF2-40B4-BE49-F238E27FC236}">
              <a16:creationId xmlns:a16="http://schemas.microsoft.com/office/drawing/2014/main" id="{BC6B458C-CD4B-4B36-A19F-0A413153A6EB}"/>
            </a:ext>
          </a:extLst>
        </xdr:cNvPr>
        <xdr:cNvGrpSpPr>
          <a:grpSpLocks/>
        </xdr:cNvGrpSpPr>
      </xdr:nvGrpSpPr>
      <xdr:grpSpPr bwMode="auto">
        <a:xfrm>
          <a:off x="1285875" y="5438775"/>
          <a:ext cx="733425" cy="57150"/>
          <a:chOff x="123" y="549"/>
          <a:chExt cx="77" cy="6"/>
        </a:xfrm>
      </xdr:grpSpPr>
      <xdr:sp macro="" textlink="">
        <xdr:nvSpPr>
          <xdr:cNvPr id="1165" name="Line 141">
            <a:extLst>
              <a:ext uri="{FF2B5EF4-FFF2-40B4-BE49-F238E27FC236}">
                <a16:creationId xmlns:a16="http://schemas.microsoft.com/office/drawing/2014/main" id="{573D9818-5ED6-4171-A689-598FC41D498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" name="Freeform 142">
            <a:extLst>
              <a:ext uri="{FF2B5EF4-FFF2-40B4-BE49-F238E27FC236}">
                <a16:creationId xmlns:a16="http://schemas.microsoft.com/office/drawing/2014/main" id="{B4434FED-1118-4AB6-989B-3551F30CE04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7" name="Freeform 143">
            <a:extLst>
              <a:ext uri="{FF2B5EF4-FFF2-40B4-BE49-F238E27FC236}">
                <a16:creationId xmlns:a16="http://schemas.microsoft.com/office/drawing/2014/main" id="{785E31DE-C0AA-4916-85CA-5F6E8AE1532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857250</xdr:rowOff>
    </xdr:from>
    <xdr:to>
      <xdr:col>8</xdr:col>
      <xdr:colOff>28575</xdr:colOff>
      <xdr:row>15</xdr:row>
      <xdr:rowOff>1162050</xdr:rowOff>
    </xdr:to>
    <xdr:grpSp>
      <xdr:nvGrpSpPr>
        <xdr:cNvPr id="1168" name="Group 144">
          <a:extLst>
            <a:ext uri="{FF2B5EF4-FFF2-40B4-BE49-F238E27FC236}">
              <a16:creationId xmlns:a16="http://schemas.microsoft.com/office/drawing/2014/main" id="{E2B21463-2F8F-40B6-9DA8-94B2CBD8E9AE}"/>
            </a:ext>
          </a:extLst>
        </xdr:cNvPr>
        <xdr:cNvGrpSpPr>
          <a:grpSpLocks/>
        </xdr:cNvGrpSpPr>
      </xdr:nvGrpSpPr>
      <xdr:grpSpPr bwMode="auto">
        <a:xfrm>
          <a:off x="1152525" y="5972175"/>
          <a:ext cx="1009650" cy="304800"/>
          <a:chOff x="105" y="627"/>
          <a:chExt cx="106" cy="32"/>
        </a:xfrm>
      </xdr:grpSpPr>
      <xdr:sp macro="" textlink="">
        <xdr:nvSpPr>
          <xdr:cNvPr id="1169" name="Line 145">
            <a:extLst>
              <a:ext uri="{FF2B5EF4-FFF2-40B4-BE49-F238E27FC236}">
                <a16:creationId xmlns:a16="http://schemas.microsoft.com/office/drawing/2014/main" id="{36149311-2EB4-4E5B-8B48-D71C6901A7DB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" name="Freeform 146">
            <a:extLst>
              <a:ext uri="{FF2B5EF4-FFF2-40B4-BE49-F238E27FC236}">
                <a16:creationId xmlns:a16="http://schemas.microsoft.com/office/drawing/2014/main" id="{BE4122CF-3C6F-4E2B-9375-BB05B1DAEAB6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1" name="Freeform 147">
            <a:extLst>
              <a:ext uri="{FF2B5EF4-FFF2-40B4-BE49-F238E27FC236}">
                <a16:creationId xmlns:a16="http://schemas.microsoft.com/office/drawing/2014/main" id="{09B43751-A4EC-4D27-977C-2F1057EFACC2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2" name="Line 148">
            <a:extLst>
              <a:ext uri="{FF2B5EF4-FFF2-40B4-BE49-F238E27FC236}">
                <a16:creationId xmlns:a16="http://schemas.microsoft.com/office/drawing/2014/main" id="{63CAE6E1-EA90-4EF6-AF39-50F84DAB82C7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3" name="Freeform 149">
            <a:extLst>
              <a:ext uri="{FF2B5EF4-FFF2-40B4-BE49-F238E27FC236}">
                <a16:creationId xmlns:a16="http://schemas.microsoft.com/office/drawing/2014/main" id="{293E56C2-DE67-4461-ABB8-FBAF5380DF97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4" name="Freeform 150">
            <a:extLst>
              <a:ext uri="{FF2B5EF4-FFF2-40B4-BE49-F238E27FC236}">
                <a16:creationId xmlns:a16="http://schemas.microsoft.com/office/drawing/2014/main" id="{6CB29E78-EC4C-4ADE-BAF3-64D81CA9FEC6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5" name="Line 151">
            <a:extLst>
              <a:ext uri="{FF2B5EF4-FFF2-40B4-BE49-F238E27FC236}">
                <a16:creationId xmlns:a16="http://schemas.microsoft.com/office/drawing/2014/main" id="{998EC8BF-A3C1-4FE8-A30E-7C88BA86B1B7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6" name="Freeform 152">
            <a:extLst>
              <a:ext uri="{FF2B5EF4-FFF2-40B4-BE49-F238E27FC236}">
                <a16:creationId xmlns:a16="http://schemas.microsoft.com/office/drawing/2014/main" id="{011C4D5D-4E99-4A80-908B-D8BB23A8024E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1247775</xdr:rowOff>
    </xdr:from>
    <xdr:to>
      <xdr:col>7</xdr:col>
      <xdr:colOff>200025</xdr:colOff>
      <xdr:row>15</xdr:row>
      <xdr:rowOff>1304925</xdr:rowOff>
    </xdr:to>
    <xdr:grpSp>
      <xdr:nvGrpSpPr>
        <xdr:cNvPr id="1177" name="Group 153">
          <a:extLst>
            <a:ext uri="{FF2B5EF4-FFF2-40B4-BE49-F238E27FC236}">
              <a16:creationId xmlns:a16="http://schemas.microsoft.com/office/drawing/2014/main" id="{CC00B957-45A8-4F60-B59B-CB54E672A0A6}"/>
            </a:ext>
          </a:extLst>
        </xdr:cNvPr>
        <xdr:cNvGrpSpPr>
          <a:grpSpLocks/>
        </xdr:cNvGrpSpPr>
      </xdr:nvGrpSpPr>
      <xdr:grpSpPr bwMode="auto">
        <a:xfrm>
          <a:off x="1285875" y="6362700"/>
          <a:ext cx="733425" cy="57150"/>
          <a:chOff x="123" y="549"/>
          <a:chExt cx="77" cy="6"/>
        </a:xfrm>
      </xdr:grpSpPr>
      <xdr:sp macro="" textlink="">
        <xdr:nvSpPr>
          <xdr:cNvPr id="1178" name="Line 154">
            <a:extLst>
              <a:ext uri="{FF2B5EF4-FFF2-40B4-BE49-F238E27FC236}">
                <a16:creationId xmlns:a16="http://schemas.microsoft.com/office/drawing/2014/main" id="{E9DEFF98-2989-48C9-821C-1C69E1E78D6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9" name="Freeform 155">
            <a:extLst>
              <a:ext uri="{FF2B5EF4-FFF2-40B4-BE49-F238E27FC236}">
                <a16:creationId xmlns:a16="http://schemas.microsoft.com/office/drawing/2014/main" id="{D30B534C-633B-43C7-8CAB-27EEF109631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0" name="Freeform 156">
            <a:extLst>
              <a:ext uri="{FF2B5EF4-FFF2-40B4-BE49-F238E27FC236}">
                <a16:creationId xmlns:a16="http://schemas.microsoft.com/office/drawing/2014/main" id="{3C1F8E71-C889-4025-86B4-432EA7B96A5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19050</xdr:colOff>
      <xdr:row>15</xdr:row>
      <xdr:rowOff>1314450</xdr:rowOff>
    </xdr:from>
    <xdr:to>
      <xdr:col>7</xdr:col>
      <xdr:colOff>57150</xdr:colOff>
      <xdr:row>15</xdr:row>
      <xdr:rowOff>1476375</xdr:rowOff>
    </xdr:to>
    <xdr:sp macro="" textlink="">
      <xdr:nvSpPr>
        <xdr:cNvPr id="1181" name="Text Box 157">
          <a:extLst>
            <a:ext uri="{FF2B5EF4-FFF2-40B4-BE49-F238E27FC236}">
              <a16:creationId xmlns:a16="http://schemas.microsoft.com/office/drawing/2014/main" id="{4C6CDA60-20A2-43E2-AA59-BDC60F080791}"/>
            </a:ext>
          </a:extLst>
        </xdr:cNvPr>
        <xdr:cNvSpPr txBox="1">
          <a:spLocks noChangeArrowheads="1"/>
        </xdr:cNvSpPr>
      </xdr:nvSpPr>
      <xdr:spPr bwMode="auto">
        <a:xfrm>
          <a:off x="1524000" y="64293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6.3m</a:t>
          </a:r>
        </a:p>
      </xdr:txBody>
    </xdr:sp>
    <xdr:clientData/>
  </xdr:twoCellAnchor>
  <xdr:twoCellAnchor>
    <xdr:from>
      <xdr:col>6</xdr:col>
      <xdr:colOff>19050</xdr:colOff>
      <xdr:row>15</xdr:row>
      <xdr:rowOff>161925</xdr:rowOff>
    </xdr:from>
    <xdr:to>
      <xdr:col>7</xdr:col>
      <xdr:colOff>57150</xdr:colOff>
      <xdr:row>15</xdr:row>
      <xdr:rowOff>323850</xdr:rowOff>
    </xdr:to>
    <xdr:sp macro="" textlink="">
      <xdr:nvSpPr>
        <xdr:cNvPr id="1182" name="Text Box 158">
          <a:extLst>
            <a:ext uri="{FF2B5EF4-FFF2-40B4-BE49-F238E27FC236}">
              <a16:creationId xmlns:a16="http://schemas.microsoft.com/office/drawing/2014/main" id="{88A905C2-22BD-4E28-9B11-9DD18E3ED3F9}"/>
            </a:ext>
          </a:extLst>
        </xdr:cNvPr>
        <xdr:cNvSpPr txBox="1">
          <a:spLocks noChangeArrowheads="1"/>
        </xdr:cNvSpPr>
      </xdr:nvSpPr>
      <xdr:spPr bwMode="auto">
        <a:xfrm>
          <a:off x="1524000" y="52768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8.9m</a:t>
          </a:r>
        </a:p>
      </xdr:txBody>
    </xdr:sp>
    <xdr:clientData/>
  </xdr:twoCellAnchor>
  <xdr:twoCellAnchor>
    <xdr:from>
      <xdr:col>7</xdr:col>
      <xdr:colOff>228600</xdr:colOff>
      <xdr:row>15</xdr:row>
      <xdr:rowOff>285750</xdr:rowOff>
    </xdr:from>
    <xdr:to>
      <xdr:col>8</xdr:col>
      <xdr:colOff>266700</xdr:colOff>
      <xdr:row>15</xdr:row>
      <xdr:rowOff>447675</xdr:rowOff>
    </xdr:to>
    <xdr:sp macro="" textlink="">
      <xdr:nvSpPr>
        <xdr:cNvPr id="1183" name="Text Box 159">
          <a:extLst>
            <a:ext uri="{FF2B5EF4-FFF2-40B4-BE49-F238E27FC236}">
              <a16:creationId xmlns:a16="http://schemas.microsoft.com/office/drawing/2014/main" id="{EF20567D-66BD-4700-A205-2240744BF320}"/>
            </a:ext>
          </a:extLst>
        </xdr:cNvPr>
        <xdr:cNvSpPr txBox="1">
          <a:spLocks noChangeArrowheads="1"/>
        </xdr:cNvSpPr>
      </xdr:nvSpPr>
      <xdr:spPr bwMode="auto">
        <a:xfrm>
          <a:off x="2047875" y="54006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228600</xdr:colOff>
      <xdr:row>15</xdr:row>
      <xdr:rowOff>1219200</xdr:rowOff>
    </xdr:from>
    <xdr:to>
      <xdr:col>8</xdr:col>
      <xdr:colOff>266700</xdr:colOff>
      <xdr:row>15</xdr:row>
      <xdr:rowOff>1381125</xdr:rowOff>
    </xdr:to>
    <xdr:sp macro="" textlink="">
      <xdr:nvSpPr>
        <xdr:cNvPr id="1184" name="Text Box 160">
          <a:extLst>
            <a:ext uri="{FF2B5EF4-FFF2-40B4-BE49-F238E27FC236}">
              <a16:creationId xmlns:a16="http://schemas.microsoft.com/office/drawing/2014/main" id="{D55BCBBD-9B8B-4CB0-829E-E77FACF4EA6E}"/>
            </a:ext>
          </a:extLst>
        </xdr:cNvPr>
        <xdr:cNvSpPr txBox="1">
          <a:spLocks noChangeArrowheads="1"/>
        </xdr:cNvSpPr>
      </xdr:nvSpPr>
      <xdr:spPr bwMode="auto">
        <a:xfrm>
          <a:off x="2047875" y="63341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workbookViewId="0">
      <selection activeCell="T18" sqref="T18"/>
    </sheetView>
  </sheetViews>
  <sheetFormatPr defaultRowHeight="12" x14ac:dyDescent="0.15"/>
  <cols>
    <col min="1" max="1" width="7.5" style="43" bestFit="1" customWidth="1"/>
    <col min="2" max="2" width="2.25" style="48" bestFit="1" customWidth="1"/>
    <col min="3" max="3" width="5.25" style="48" bestFit="1" customWidth="1"/>
    <col min="4" max="4" width="2.25" style="48" bestFit="1" customWidth="1"/>
    <col min="5" max="24" width="4.125" style="31" customWidth="1"/>
    <col min="25" max="16384" width="9" style="31"/>
  </cols>
  <sheetData>
    <row r="1" spans="1:30" ht="15" customHeight="1" x14ac:dyDescent="0.15">
      <c r="A1" s="52" t="s">
        <v>0</v>
      </c>
      <c r="B1" s="81"/>
      <c r="C1" s="81"/>
      <c r="D1" s="81"/>
      <c r="E1" s="53"/>
      <c r="F1" s="96" t="s">
        <v>55</v>
      </c>
      <c r="G1" s="81"/>
      <c r="H1" s="79" t="s">
        <v>57</v>
      </c>
      <c r="I1" s="79"/>
      <c r="J1" s="79"/>
      <c r="K1" s="79"/>
      <c r="L1" s="81" t="s">
        <v>54</v>
      </c>
      <c r="M1" s="53"/>
      <c r="N1" s="84" t="s">
        <v>50</v>
      </c>
      <c r="O1" s="53"/>
      <c r="P1" s="86">
        <v>46066</v>
      </c>
      <c r="Q1" s="87"/>
      <c r="R1" s="87"/>
      <c r="S1" s="88"/>
      <c r="T1" s="85" t="s">
        <v>4</v>
      </c>
      <c r="U1" s="85"/>
      <c r="V1" s="85" t="s">
        <v>61</v>
      </c>
      <c r="W1" s="85"/>
      <c r="X1" s="85"/>
    </row>
    <row r="2" spans="1:30" ht="7.5" customHeight="1" x14ac:dyDescent="0.15">
      <c r="A2" s="95"/>
      <c r="B2" s="82"/>
      <c r="C2" s="82"/>
      <c r="D2" s="82"/>
      <c r="E2" s="83"/>
      <c r="F2" s="95"/>
      <c r="G2" s="82"/>
      <c r="H2" s="80"/>
      <c r="I2" s="80"/>
      <c r="J2" s="80"/>
      <c r="K2" s="80"/>
      <c r="L2" s="82"/>
      <c r="M2" s="83"/>
      <c r="N2" s="62"/>
      <c r="O2" s="64"/>
      <c r="P2" s="89"/>
      <c r="Q2" s="90"/>
      <c r="R2" s="90"/>
      <c r="S2" s="91"/>
      <c r="T2" s="52" t="s">
        <v>8</v>
      </c>
      <c r="U2" s="53"/>
      <c r="V2" s="56">
        <v>45992</v>
      </c>
      <c r="W2" s="57"/>
      <c r="X2" s="58"/>
    </row>
    <row r="3" spans="1:30" ht="7.5" customHeight="1" x14ac:dyDescent="0.15">
      <c r="A3" s="62" t="s">
        <v>5</v>
      </c>
      <c r="B3" s="63"/>
      <c r="C3" s="63"/>
      <c r="D3" s="63"/>
      <c r="E3" s="64"/>
      <c r="F3" s="66" t="s">
        <v>56</v>
      </c>
      <c r="G3" s="67"/>
      <c r="H3" s="68" t="s">
        <v>57</v>
      </c>
      <c r="I3" s="68"/>
      <c r="J3" s="68"/>
      <c r="K3" s="68"/>
      <c r="L3" s="70" t="s">
        <v>51</v>
      </c>
      <c r="M3" s="71"/>
      <c r="N3" s="62"/>
      <c r="O3" s="64"/>
      <c r="P3" s="74">
        <v>0.96805555555555556</v>
      </c>
      <c r="Q3" s="75"/>
      <c r="R3" s="75"/>
      <c r="S3" s="78" t="s">
        <v>7</v>
      </c>
      <c r="T3" s="54"/>
      <c r="U3" s="55"/>
      <c r="V3" s="59"/>
      <c r="W3" s="60"/>
      <c r="X3" s="61"/>
    </row>
    <row r="4" spans="1:30" ht="15" customHeight="1" x14ac:dyDescent="0.15">
      <c r="A4" s="54"/>
      <c r="B4" s="65"/>
      <c r="C4" s="65"/>
      <c r="D4" s="65"/>
      <c r="E4" s="55"/>
      <c r="F4" s="54"/>
      <c r="G4" s="65"/>
      <c r="H4" s="69"/>
      <c r="I4" s="69"/>
      <c r="J4" s="69"/>
      <c r="K4" s="69"/>
      <c r="L4" s="72"/>
      <c r="M4" s="73"/>
      <c r="N4" s="54"/>
      <c r="O4" s="55"/>
      <c r="P4" s="76"/>
      <c r="Q4" s="77"/>
      <c r="R4" s="77"/>
      <c r="S4" s="55"/>
      <c r="T4" s="85" t="s">
        <v>52</v>
      </c>
      <c r="U4" s="85"/>
      <c r="V4" s="85" t="s">
        <v>60</v>
      </c>
      <c r="W4" s="85"/>
      <c r="X4" s="85"/>
      <c r="Z4" s="32" t="s">
        <v>53</v>
      </c>
      <c r="AA4" s="33">
        <v>823</v>
      </c>
    </row>
    <row r="5" spans="1:30" ht="18" customHeight="1" x14ac:dyDescent="0.15">
      <c r="A5" s="107"/>
      <c r="B5" s="108"/>
      <c r="C5" s="108"/>
      <c r="D5" s="108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30" ht="18" customHeight="1" x14ac:dyDescent="0.15">
      <c r="A6" s="106"/>
      <c r="B6" s="102"/>
      <c r="C6" s="102"/>
      <c r="D6" s="102"/>
      <c r="X6" s="36"/>
    </row>
    <row r="7" spans="1:30" ht="18" customHeight="1" x14ac:dyDescent="0.15">
      <c r="A7" s="106"/>
      <c r="B7" s="102"/>
      <c r="C7" s="102"/>
      <c r="D7" s="102"/>
      <c r="X7" s="36"/>
    </row>
    <row r="8" spans="1:30" ht="18" customHeight="1" x14ac:dyDescent="0.15">
      <c r="A8" s="106"/>
      <c r="B8" s="102"/>
      <c r="C8" s="102"/>
      <c r="D8" s="102"/>
      <c r="X8" s="36"/>
    </row>
    <row r="9" spans="1:30" ht="18" customHeight="1" x14ac:dyDescent="0.15">
      <c r="A9" s="106"/>
      <c r="B9" s="102"/>
      <c r="C9" s="102"/>
      <c r="D9" s="102"/>
      <c r="X9" s="36"/>
    </row>
    <row r="10" spans="1:30" ht="147.75" customHeight="1" x14ac:dyDescent="0.15">
      <c r="A10" s="106"/>
      <c r="B10" s="102"/>
      <c r="C10" s="102"/>
      <c r="D10" s="102"/>
      <c r="X10" s="36"/>
    </row>
    <row r="11" spans="1:30" ht="18" customHeight="1" x14ac:dyDescent="0.15">
      <c r="A11" s="106"/>
      <c r="B11" s="102"/>
      <c r="C11" s="102"/>
      <c r="D11" s="102"/>
      <c r="X11" s="36"/>
    </row>
    <row r="12" spans="1:30" ht="18" customHeight="1" x14ac:dyDescent="0.15">
      <c r="A12" s="106"/>
      <c r="B12" s="102"/>
      <c r="C12" s="102"/>
      <c r="D12" s="102"/>
      <c r="X12" s="36"/>
    </row>
    <row r="13" spans="1:30" ht="18" customHeight="1" x14ac:dyDescent="0.15">
      <c r="A13" s="106"/>
      <c r="B13" s="102"/>
      <c r="C13" s="102"/>
      <c r="D13" s="102"/>
      <c r="X13" s="36"/>
    </row>
    <row r="14" spans="1:30" ht="18" customHeight="1" x14ac:dyDescent="0.15">
      <c r="A14" s="100"/>
      <c r="B14" s="101"/>
      <c r="C14" s="102"/>
      <c r="D14" s="102"/>
      <c r="X14" s="36"/>
      <c r="Z14" s="31">
        <v>50</v>
      </c>
      <c r="AA14" s="31">
        <f>Z14/3.6</f>
        <v>13.888888888888889</v>
      </c>
      <c r="AC14" s="51">
        <v>34.700000000000003</v>
      </c>
      <c r="AD14" s="51">
        <f>AC14/AA14</f>
        <v>2.4984000000000002</v>
      </c>
    </row>
    <row r="15" spans="1:30" ht="18" customHeight="1" x14ac:dyDescent="0.15">
      <c r="A15" s="103"/>
      <c r="B15" s="104"/>
      <c r="C15" s="102"/>
      <c r="D15" s="102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8"/>
      <c r="Z15" s="31">
        <v>30</v>
      </c>
      <c r="AA15" s="31">
        <f>Z15/3.6</f>
        <v>8.3333333333333339</v>
      </c>
      <c r="AC15" s="51">
        <v>39.700000000000003</v>
      </c>
      <c r="AD15" s="51">
        <f>AC15/AA15</f>
        <v>4.7640000000000002</v>
      </c>
    </row>
    <row r="16" spans="1:30" s="40" customFormat="1" ht="18" customHeight="1" x14ac:dyDescent="0.15">
      <c r="A16" s="105" t="s">
        <v>10</v>
      </c>
      <c r="B16" s="105"/>
      <c r="C16" s="105"/>
      <c r="D16" s="105"/>
      <c r="E16" s="27">
        <v>1</v>
      </c>
      <c r="F16" s="27">
        <v>2</v>
      </c>
      <c r="G16" s="27">
        <v>3</v>
      </c>
      <c r="H16" s="27">
        <v>4</v>
      </c>
      <c r="I16" s="27">
        <v>5</v>
      </c>
      <c r="J16" s="27">
        <v>6</v>
      </c>
      <c r="K16" s="27">
        <v>7</v>
      </c>
      <c r="L16" s="27">
        <v>8</v>
      </c>
      <c r="M16" s="27">
        <v>9</v>
      </c>
      <c r="N16" s="27">
        <v>10</v>
      </c>
      <c r="O16" s="27">
        <v>11</v>
      </c>
      <c r="P16" s="27">
        <v>12</v>
      </c>
      <c r="Q16" s="27">
        <v>13</v>
      </c>
      <c r="R16" s="39">
        <v>14</v>
      </c>
      <c r="S16" s="27">
        <v>15</v>
      </c>
      <c r="T16" s="27">
        <v>16</v>
      </c>
      <c r="U16" s="27">
        <v>17</v>
      </c>
      <c r="V16" s="27">
        <v>18</v>
      </c>
      <c r="W16" s="27">
        <v>19</v>
      </c>
      <c r="X16" s="27">
        <v>20</v>
      </c>
    </row>
    <row r="17" spans="1:25" s="43" customFormat="1" ht="18" customHeight="1" x14ac:dyDescent="0.15">
      <c r="A17" s="105" t="s">
        <v>11</v>
      </c>
      <c r="B17" s="105"/>
      <c r="C17" s="105"/>
      <c r="D17" s="105"/>
      <c r="E17" s="41" t="s">
        <v>24</v>
      </c>
      <c r="F17" s="41" t="s">
        <v>25</v>
      </c>
      <c r="G17" s="41" t="s">
        <v>26</v>
      </c>
      <c r="H17" s="41" t="s">
        <v>27</v>
      </c>
      <c r="I17" s="41" t="s">
        <v>28</v>
      </c>
      <c r="J17" s="41" t="s">
        <v>29</v>
      </c>
      <c r="K17" s="41" t="s">
        <v>30</v>
      </c>
      <c r="L17" s="41" t="s">
        <v>31</v>
      </c>
      <c r="M17" s="41" t="s">
        <v>32</v>
      </c>
      <c r="N17" s="42" t="s">
        <v>33</v>
      </c>
      <c r="O17" s="41"/>
      <c r="P17" s="41"/>
      <c r="Q17" s="41"/>
      <c r="R17" s="42"/>
      <c r="S17" s="41"/>
      <c r="T17" s="41"/>
      <c r="U17" s="41"/>
      <c r="V17" s="41"/>
      <c r="W17" s="41"/>
      <c r="X17" s="41"/>
    </row>
    <row r="18" spans="1:25" s="43" customFormat="1" ht="125.1" customHeight="1" x14ac:dyDescent="0.15">
      <c r="A18" s="92"/>
      <c r="B18" s="93"/>
      <c r="C18" s="93"/>
      <c r="D18" s="94"/>
      <c r="E18" s="44"/>
      <c r="F18" s="45"/>
      <c r="G18" s="45"/>
      <c r="H18" s="45"/>
      <c r="I18" s="45"/>
      <c r="J18" s="44"/>
      <c r="K18" s="45"/>
      <c r="L18" s="45"/>
      <c r="M18" s="45"/>
      <c r="N18" s="45"/>
      <c r="O18" s="44"/>
      <c r="P18" s="45"/>
      <c r="Q18" s="45"/>
      <c r="R18" s="45"/>
      <c r="S18" s="45"/>
      <c r="T18" s="45"/>
      <c r="U18" s="45"/>
      <c r="V18" s="45"/>
      <c r="W18" s="45"/>
      <c r="X18" s="42"/>
      <c r="Y18" s="46"/>
    </row>
    <row r="19" spans="1:25" ht="18" customHeight="1" x14ac:dyDescent="0.15">
      <c r="A19" s="92" t="s">
        <v>58</v>
      </c>
      <c r="B19" s="93"/>
      <c r="C19" s="93" t="s">
        <v>35</v>
      </c>
      <c r="D19" s="94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spans="1:25" ht="18" customHeight="1" x14ac:dyDescent="0.15">
      <c r="A20" s="92" t="s">
        <v>36</v>
      </c>
      <c r="B20" s="93"/>
      <c r="C20" s="93" t="s">
        <v>37</v>
      </c>
      <c r="D20" s="94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25" ht="18" customHeight="1" x14ac:dyDescent="0.15">
      <c r="A21" s="92" t="s">
        <v>59</v>
      </c>
      <c r="B21" s="93"/>
      <c r="C21" s="93" t="s">
        <v>39</v>
      </c>
      <c r="D21" s="94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spans="1:25" ht="18" customHeight="1" x14ac:dyDescent="0.15">
      <c r="A22" s="92" t="s">
        <v>40</v>
      </c>
      <c r="B22" s="93"/>
      <c r="C22" s="93" t="s">
        <v>41</v>
      </c>
      <c r="D22" s="94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spans="1:25" ht="18" customHeight="1" x14ac:dyDescent="0.15">
      <c r="A23" s="92"/>
      <c r="B23" s="93"/>
      <c r="C23" s="93"/>
      <c r="D23" s="94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spans="1:25" ht="18" customHeight="1" x14ac:dyDescent="0.15">
      <c r="A24" s="92"/>
      <c r="B24" s="93"/>
      <c r="C24" s="93"/>
      <c r="D24" s="94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5" ht="18" customHeight="1" x14ac:dyDescent="0.15">
      <c r="A25" s="97"/>
      <c r="B25" s="98"/>
      <c r="C25" s="98"/>
      <c r="D25" s="99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spans="1:25" ht="18" customHeight="1" x14ac:dyDescent="0.15">
      <c r="A26" s="97"/>
      <c r="B26" s="98"/>
      <c r="C26" s="98"/>
      <c r="D26" s="99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5" ht="18" customHeight="1" x14ac:dyDescent="0.15">
      <c r="A27" s="97"/>
      <c r="B27" s="98"/>
      <c r="C27" s="98"/>
      <c r="D27" s="99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spans="1:25" ht="18" customHeight="1" x14ac:dyDescent="0.15">
      <c r="A28" s="97"/>
      <c r="B28" s="98"/>
      <c r="C28" s="98"/>
      <c r="D28" s="99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spans="1:25" ht="18" customHeight="1" x14ac:dyDescent="0.15">
      <c r="A29" s="97"/>
      <c r="B29" s="98"/>
      <c r="C29" s="98"/>
      <c r="D29" s="99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spans="1:25" ht="18" customHeight="1" x14ac:dyDescent="0.15">
      <c r="A30" s="97"/>
      <c r="B30" s="98"/>
      <c r="C30" s="98"/>
      <c r="D30" s="99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spans="1:25" ht="18" customHeight="1" x14ac:dyDescent="0.15">
      <c r="A31" s="97"/>
      <c r="B31" s="98"/>
      <c r="C31" s="98"/>
      <c r="D31" s="99"/>
      <c r="E31" s="28"/>
      <c r="F31" s="28"/>
      <c r="G31" s="28"/>
      <c r="H31" s="47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spans="1:25" ht="18" customHeight="1" x14ac:dyDescent="0.15">
      <c r="A32" s="97"/>
      <c r="B32" s="98"/>
      <c r="C32" s="98"/>
      <c r="D32" s="99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spans="1:27" ht="18" customHeight="1" x14ac:dyDescent="0.15">
      <c r="A33" s="24" t="s">
        <v>48</v>
      </c>
      <c r="B33" s="25"/>
      <c r="C33" s="26"/>
      <c r="D33" s="49"/>
      <c r="E33" s="27">
        <v>109</v>
      </c>
      <c r="F33" s="27"/>
      <c r="G33" s="27"/>
      <c r="H33" s="27"/>
      <c r="I33" s="27"/>
      <c r="J33" s="27">
        <v>109</v>
      </c>
      <c r="K33" s="27"/>
      <c r="L33" s="27"/>
      <c r="M33" s="27"/>
      <c r="N33" s="27"/>
      <c r="O33" s="27"/>
      <c r="P33" s="27"/>
      <c r="Q33" s="27"/>
      <c r="R33" s="27"/>
      <c r="S33" s="28"/>
      <c r="T33" s="28"/>
      <c r="U33" s="28"/>
      <c r="V33" s="28"/>
      <c r="W33" s="28"/>
      <c r="X33" s="28"/>
    </row>
    <row r="34" spans="1:27" ht="18" customHeight="1" x14ac:dyDescent="0.15">
      <c r="A34" s="24" t="s">
        <v>49</v>
      </c>
      <c r="B34" s="25" t="s">
        <v>43</v>
      </c>
      <c r="C34" s="29">
        <f>SUM(E34:X34)</f>
        <v>63</v>
      </c>
      <c r="D34" s="50" t="s">
        <v>44</v>
      </c>
      <c r="E34" s="27">
        <v>10</v>
      </c>
      <c r="F34" s="27">
        <v>5</v>
      </c>
      <c r="G34" s="27">
        <v>2</v>
      </c>
      <c r="H34" s="27">
        <v>3</v>
      </c>
      <c r="I34" s="27">
        <v>3</v>
      </c>
      <c r="J34" s="27">
        <v>23</v>
      </c>
      <c r="K34" s="27">
        <v>8</v>
      </c>
      <c r="L34" s="27">
        <v>2</v>
      </c>
      <c r="M34" s="27">
        <v>3</v>
      </c>
      <c r="N34" s="27">
        <v>4</v>
      </c>
      <c r="O34" s="27"/>
      <c r="P34" s="27"/>
      <c r="Q34" s="27"/>
      <c r="R34" s="27"/>
      <c r="S34" s="28"/>
      <c r="T34" s="28"/>
      <c r="U34" s="28"/>
      <c r="V34" s="28"/>
      <c r="W34" s="28"/>
      <c r="X34" s="28"/>
      <c r="Y34" s="30"/>
      <c r="Z34" s="31">
        <v>120</v>
      </c>
      <c r="AA34" s="31">
        <f>Z34-INT(Z34/8)-3</f>
        <v>102</v>
      </c>
    </row>
    <row r="35" spans="1:27" ht="18" customHeight="1" x14ac:dyDescent="0.15">
      <c r="A35" s="24" t="s">
        <v>16</v>
      </c>
      <c r="B35" s="25" t="s">
        <v>43</v>
      </c>
      <c r="C35" s="29">
        <f>SUM(E35:X35)</f>
        <v>140</v>
      </c>
      <c r="D35" s="50" t="s">
        <v>44</v>
      </c>
      <c r="E35" s="27">
        <v>71</v>
      </c>
      <c r="F35" s="27">
        <v>5</v>
      </c>
      <c r="G35" s="27">
        <v>2</v>
      </c>
      <c r="H35" s="27">
        <v>3</v>
      </c>
      <c r="I35" s="27">
        <v>3</v>
      </c>
      <c r="J35" s="27">
        <v>39</v>
      </c>
      <c r="K35" s="27">
        <v>8</v>
      </c>
      <c r="L35" s="27">
        <v>2</v>
      </c>
      <c r="M35" s="27">
        <v>3</v>
      </c>
      <c r="N35" s="27">
        <v>4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30"/>
      <c r="Z35" s="31">
        <v>140</v>
      </c>
      <c r="AA35" s="31">
        <f>Z35-INT(Z35/8)-3</f>
        <v>120</v>
      </c>
    </row>
    <row r="36" spans="1:27" ht="18" customHeight="1" x14ac:dyDescent="0.15">
      <c r="A36" s="92" t="s">
        <v>17</v>
      </c>
      <c r="B36" s="93"/>
      <c r="C36" s="93"/>
      <c r="D36" s="94"/>
      <c r="E36" s="27">
        <v>110</v>
      </c>
      <c r="F36" s="27">
        <v>110</v>
      </c>
      <c r="G36" s="27">
        <v>110</v>
      </c>
      <c r="H36" s="27">
        <v>10</v>
      </c>
      <c r="I36" s="27">
        <v>10</v>
      </c>
      <c r="J36" s="27">
        <v>110</v>
      </c>
      <c r="K36" s="27">
        <v>110</v>
      </c>
      <c r="L36" s="27">
        <v>110</v>
      </c>
      <c r="M36" s="27">
        <v>10</v>
      </c>
      <c r="N36" s="27">
        <v>10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7" ht="18" customHeight="1" x14ac:dyDescent="0.15">
      <c r="A37" s="92" t="s">
        <v>18</v>
      </c>
      <c r="B37" s="93"/>
      <c r="C37" s="93"/>
      <c r="D37" s="94"/>
      <c r="E37" s="27">
        <v>6</v>
      </c>
      <c r="F37" s="27">
        <v>0.95</v>
      </c>
      <c r="G37" s="27">
        <v>0.95</v>
      </c>
      <c r="H37" s="27">
        <v>0.95</v>
      </c>
      <c r="I37" s="27">
        <v>0.95</v>
      </c>
      <c r="J37" s="27">
        <v>6</v>
      </c>
      <c r="K37" s="27">
        <v>0.95</v>
      </c>
      <c r="L37" s="27">
        <v>0.95</v>
      </c>
      <c r="M37" s="27">
        <v>0.95</v>
      </c>
      <c r="N37" s="27">
        <v>0.95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7" ht="18" customHeight="1" x14ac:dyDescent="0.15">
      <c r="A38" s="92" t="s">
        <v>19</v>
      </c>
      <c r="B38" s="93"/>
      <c r="C38" s="93"/>
      <c r="D38" s="94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</mergeCells>
  <phoneticPr fontId="1"/>
  <pageMargins left="0.78740157480314965" right="0.19685039370078741" top="0.39370078740157483" bottom="0.59055118110236227" header="0.19685039370078741" footer="0.19685039370078741"/>
  <pageSetup paperSize="9" scale="9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view="pageBreakPreview" zoomScaleNormal="100" workbookViewId="0">
      <selection sqref="A1:E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4" t="s">
        <v>0</v>
      </c>
      <c r="B1" s="134"/>
      <c r="C1" s="134"/>
      <c r="D1" s="134"/>
      <c r="E1" s="134"/>
      <c r="F1" s="137" t="s">
        <v>20</v>
      </c>
      <c r="G1" s="138"/>
      <c r="H1" s="139" t="s">
        <v>1</v>
      </c>
      <c r="I1" s="140"/>
      <c r="J1" s="140"/>
      <c r="K1" s="140"/>
      <c r="L1" s="140"/>
      <c r="M1" s="140"/>
      <c r="N1" s="141" t="s">
        <v>2</v>
      </c>
      <c r="O1" s="141"/>
      <c r="P1" s="134" t="s">
        <v>3</v>
      </c>
      <c r="Q1" s="134"/>
      <c r="R1" s="134"/>
      <c r="S1" s="134"/>
      <c r="T1" s="131" t="s">
        <v>4</v>
      </c>
      <c r="U1" s="131"/>
      <c r="V1" s="125" t="s">
        <v>21</v>
      </c>
      <c r="W1" s="125"/>
      <c r="X1" s="125"/>
    </row>
    <row r="2" spans="1:25" ht="20.100000000000001" customHeight="1" x14ac:dyDescent="0.15">
      <c r="A2" s="126" t="s">
        <v>5</v>
      </c>
      <c r="B2" s="126"/>
      <c r="C2" s="126"/>
      <c r="D2" s="126"/>
      <c r="E2" s="126"/>
      <c r="F2" s="127" t="s">
        <v>22</v>
      </c>
      <c r="G2" s="122"/>
      <c r="H2" s="133" t="s">
        <v>23</v>
      </c>
      <c r="I2" s="133"/>
      <c r="J2" s="133"/>
      <c r="K2" s="133"/>
      <c r="L2" s="142" t="s">
        <v>47</v>
      </c>
      <c r="M2" s="143"/>
      <c r="N2" s="126" t="s">
        <v>6</v>
      </c>
      <c r="O2" s="126"/>
      <c r="P2" s="128">
        <v>0.47569444444444442</v>
      </c>
      <c r="Q2" s="129"/>
      <c r="R2" s="130"/>
      <c r="S2" s="3" t="s">
        <v>7</v>
      </c>
      <c r="T2" s="131" t="s">
        <v>8</v>
      </c>
      <c r="U2" s="131"/>
      <c r="V2" s="132" t="s">
        <v>9</v>
      </c>
      <c r="W2" s="132"/>
      <c r="X2" s="132"/>
    </row>
    <row r="3" spans="1:25" ht="18" customHeight="1" x14ac:dyDescent="0.15">
      <c r="A3" s="135"/>
      <c r="B3" s="136"/>
      <c r="C3" s="136"/>
      <c r="D3" s="13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18"/>
      <c r="B4" s="119"/>
      <c r="C4" s="119"/>
      <c r="D4" s="119"/>
      <c r="X4" s="7"/>
    </row>
    <row r="5" spans="1:25" ht="18" customHeight="1" x14ac:dyDescent="0.15">
      <c r="A5" s="118"/>
      <c r="B5" s="119"/>
      <c r="C5" s="119"/>
      <c r="D5" s="119"/>
      <c r="X5" s="7"/>
    </row>
    <row r="6" spans="1:25" ht="18" customHeight="1" x14ac:dyDescent="0.15">
      <c r="A6" s="118"/>
      <c r="B6" s="119"/>
      <c r="C6" s="119"/>
      <c r="D6" s="119"/>
      <c r="X6" s="7"/>
    </row>
    <row r="7" spans="1:25" ht="18" customHeight="1" x14ac:dyDescent="0.15">
      <c r="A7" s="118"/>
      <c r="B7" s="119"/>
      <c r="C7" s="119"/>
      <c r="D7" s="119"/>
      <c r="X7" s="7"/>
    </row>
    <row r="8" spans="1:25" ht="147.75" customHeight="1" x14ac:dyDescent="0.15">
      <c r="A8" s="118"/>
      <c r="B8" s="119"/>
      <c r="C8" s="119"/>
      <c r="D8" s="119"/>
      <c r="X8" s="7"/>
    </row>
    <row r="9" spans="1:25" ht="18" customHeight="1" x14ac:dyDescent="0.15">
      <c r="A9" s="118"/>
      <c r="B9" s="119"/>
      <c r="C9" s="119"/>
      <c r="D9" s="119"/>
      <c r="X9" s="7"/>
    </row>
    <row r="10" spans="1:25" ht="18" customHeight="1" x14ac:dyDescent="0.15">
      <c r="A10" s="118"/>
      <c r="B10" s="119"/>
      <c r="C10" s="119"/>
      <c r="D10" s="119"/>
      <c r="X10" s="7"/>
    </row>
    <row r="11" spans="1:25" ht="18" customHeight="1" x14ac:dyDescent="0.15">
      <c r="A11" s="118"/>
      <c r="B11" s="119"/>
      <c r="C11" s="119"/>
      <c r="D11" s="119"/>
      <c r="X11" s="7"/>
    </row>
    <row r="12" spans="1:25" ht="18" customHeight="1" x14ac:dyDescent="0.15">
      <c r="A12" s="120"/>
      <c r="B12" s="121"/>
      <c r="C12" s="119"/>
      <c r="D12" s="119"/>
      <c r="X12" s="7"/>
    </row>
    <row r="13" spans="1:25" ht="18" customHeight="1" x14ac:dyDescent="0.15">
      <c r="A13" s="122"/>
      <c r="B13" s="123"/>
      <c r="C13" s="119"/>
      <c r="D13" s="11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24" t="s">
        <v>10</v>
      </c>
      <c r="B14" s="124"/>
      <c r="C14" s="124"/>
      <c r="D14" s="12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24" t="s">
        <v>11</v>
      </c>
      <c r="B15" s="124"/>
      <c r="C15" s="124"/>
      <c r="D15" s="124"/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2" t="s">
        <v>33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15"/>
      <c r="B16" s="116"/>
      <c r="C16" s="116"/>
      <c r="D16" s="117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15" t="s">
        <v>34</v>
      </c>
      <c r="B17" s="116"/>
      <c r="C17" s="116" t="s">
        <v>35</v>
      </c>
      <c r="D17" s="1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15" t="s">
        <v>36</v>
      </c>
      <c r="B18" s="116"/>
      <c r="C18" s="116" t="s">
        <v>37</v>
      </c>
      <c r="D18" s="1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15" t="s">
        <v>38</v>
      </c>
      <c r="B19" s="116"/>
      <c r="C19" s="116" t="s">
        <v>39</v>
      </c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15" t="s">
        <v>40</v>
      </c>
      <c r="B20" s="116"/>
      <c r="C20" s="116" t="s">
        <v>41</v>
      </c>
      <c r="D20" s="1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15"/>
      <c r="B21" s="116"/>
      <c r="C21" s="116"/>
      <c r="D21" s="1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15"/>
      <c r="B22" s="116"/>
      <c r="C22" s="116"/>
      <c r="D22" s="1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09"/>
      <c r="B23" s="110"/>
      <c r="C23" s="110"/>
      <c r="D23" s="111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09"/>
      <c r="B24" s="110"/>
      <c r="C24" s="110"/>
      <c r="D24" s="11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09"/>
      <c r="B25" s="110"/>
      <c r="C25" s="110"/>
      <c r="D25" s="111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09"/>
      <c r="B26" s="110"/>
      <c r="C26" s="110"/>
      <c r="D26" s="111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09"/>
      <c r="B27" s="110"/>
      <c r="C27" s="110"/>
      <c r="D27" s="11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09"/>
      <c r="B28" s="110"/>
      <c r="C28" s="110"/>
      <c r="D28" s="11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09"/>
      <c r="B29" s="110"/>
      <c r="C29" s="110"/>
      <c r="D29" s="111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09"/>
      <c r="B30" s="110"/>
      <c r="C30" s="110"/>
      <c r="D30" s="111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12" t="s">
        <v>12</v>
      </c>
      <c r="B31" s="113"/>
      <c r="C31" s="113"/>
      <c r="D31" s="114"/>
      <c r="E31" s="17"/>
      <c r="F31" s="17"/>
      <c r="G31" s="17"/>
      <c r="H31" s="17"/>
      <c r="I31" s="1" t="s">
        <v>42</v>
      </c>
      <c r="J31" s="17"/>
      <c r="K31" s="17"/>
      <c r="L31" s="17"/>
      <c r="M31" s="17"/>
      <c r="N31" s="1" t="s">
        <v>42</v>
      </c>
      <c r="O31" s="144" t="s">
        <v>14</v>
      </c>
      <c r="P31" s="145"/>
      <c r="Q31" s="148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12" t="s">
        <v>15</v>
      </c>
      <c r="B32" s="113"/>
      <c r="C32" s="113"/>
      <c r="D32" s="114"/>
      <c r="E32" s="1" t="s">
        <v>13</v>
      </c>
      <c r="F32" s="17"/>
      <c r="G32" s="17"/>
      <c r="H32" s="17"/>
      <c r="I32" s="17"/>
      <c r="J32" s="1" t="s">
        <v>13</v>
      </c>
      <c r="K32" s="17"/>
      <c r="L32" s="17"/>
      <c r="M32" s="17"/>
      <c r="N32" s="17"/>
      <c r="O32" s="146"/>
      <c r="P32" s="147"/>
      <c r="Q32" s="149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43</v>
      </c>
      <c r="C33" s="21">
        <f>SUM(E33:X33)</f>
        <v>100</v>
      </c>
      <c r="D33" s="22" t="s">
        <v>44</v>
      </c>
      <c r="E33" s="1">
        <v>47</v>
      </c>
      <c r="F33" s="1">
        <v>5</v>
      </c>
      <c r="G33" s="1">
        <v>2</v>
      </c>
      <c r="H33" s="1">
        <v>3</v>
      </c>
      <c r="I33" s="1">
        <v>3</v>
      </c>
      <c r="J33" s="1">
        <v>23</v>
      </c>
      <c r="K33" s="1">
        <v>8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2" t="s">
        <v>17</v>
      </c>
      <c r="B34" s="113"/>
      <c r="C34" s="113"/>
      <c r="D34" s="114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2" t="s">
        <v>18</v>
      </c>
      <c r="B35" s="113"/>
      <c r="C35" s="113"/>
      <c r="D35" s="114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2" t="s">
        <v>19</v>
      </c>
      <c r="B36" s="113"/>
      <c r="C36" s="113"/>
      <c r="D36" s="114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4:B4"/>
    <mergeCell ref="C4:D4"/>
    <mergeCell ref="A5:B5"/>
    <mergeCell ref="C5:D5"/>
    <mergeCell ref="A6:B6"/>
    <mergeCell ref="C6:D6"/>
    <mergeCell ref="H1:M1"/>
    <mergeCell ref="N1:O1"/>
    <mergeCell ref="L2:M2"/>
    <mergeCell ref="O31:P32"/>
    <mergeCell ref="Q31:Q32"/>
    <mergeCell ref="A10:B10"/>
    <mergeCell ref="C10:D10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A3:B3"/>
    <mergeCell ref="C3:D3"/>
    <mergeCell ref="T1:U1"/>
    <mergeCell ref="A1:E1"/>
    <mergeCell ref="F1:G1"/>
    <mergeCell ref="C7:D7"/>
    <mergeCell ref="A8:B8"/>
    <mergeCell ref="C8:D8"/>
    <mergeCell ref="A9:B9"/>
    <mergeCell ref="C9:D9"/>
    <mergeCell ref="A7:B7"/>
    <mergeCell ref="A18:B18"/>
    <mergeCell ref="C18:D18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6:D36"/>
    <mergeCell ref="A31:D31"/>
    <mergeCell ref="A30:B30"/>
    <mergeCell ref="C30:D30"/>
    <mergeCell ref="A34:D34"/>
    <mergeCell ref="A35:D35"/>
    <mergeCell ref="A32:D32"/>
  </mergeCells>
  <phoneticPr fontId="1"/>
  <pageMargins left="0.78740157480314965" right="0.19685039370078741" top="0.39370078740157483" bottom="0.59055118110236227" header="0.19685039370078741" footer="0.19685039370078741"/>
  <pageSetup paperSize="9" scale="9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2026-02-13</vt:lpstr>
      <vt:lpstr>250097</vt:lpstr>
      <vt:lpstr>'2026-02-13'!Print_Area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2005-12-06T07:41:02Z</cp:lastPrinted>
  <dcterms:created xsi:type="dcterms:W3CDTF">2002-07-31T02:52:57Z</dcterms:created>
  <dcterms:modified xsi:type="dcterms:W3CDTF">2026-02-25T10:51:46Z</dcterms:modified>
</cp:coreProperties>
</file>