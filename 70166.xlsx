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AB3FD7BD-D15C-4891-81C9-A9D241A77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3" sheetId="2" r:id="rId1"/>
    <sheet name="430166" sheetId="1" r:id="rId2"/>
  </sheets>
  <definedNames>
    <definedName name="_xlnm.Print_Area" localSheetId="0">'2026-02-03'!$A$1:$X$38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D14" i="2"/>
  <c r="AA14" i="2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<sst xmlns="http://schemas.openxmlformats.org/spreadsheetml/2006/main" count="107" uniqueCount="57">
  <si>
    <t>規制番号　名称</t>
    <rPh sb="0" eb="2">
      <t>キセイ</t>
    </rPh>
    <rPh sb="2" eb="4">
      <t>バンゴウ</t>
    </rPh>
    <rPh sb="5" eb="7">
      <t>メイショウ</t>
    </rPh>
    <phoneticPr fontId="2"/>
  </si>
  <si>
    <t>千田蓮池南</t>
    <rPh sb="0" eb="2">
      <t>センダ</t>
    </rPh>
    <rPh sb="2" eb="4">
      <t>ハスイケ</t>
    </rPh>
    <rPh sb="4" eb="5">
      <t>ミナミ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</si>
  <si>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</si>
  <si>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</si>
  <si>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</si>
  <si>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</si>
  <si>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</si>
  <si>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</si>
  <si>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</si>
  <si>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</si>
  <si>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</si>
  <si>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</si>
  <si>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</si>
  <si>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</si>
  <si>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</si>
  <si>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</si>
  <si>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</si>
  <si>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</si>
  <si>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</si>
  <si>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>[ 1P ]</t>
    <phoneticPr fontId="2"/>
  </si>
  <si>
    <t>１</t>
    <phoneticPr fontId="2"/>
  </si>
  <si>
    <t>[ 1V ]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</si>
  <si>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</si>
  <si>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</si>
  <si>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</si>
  <si>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</si>
  <si>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</si>
  <si>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</si>
  <si>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</si>
  <si>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</si>
  <si>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</si>
  <si>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</si>
  <si>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</si>
  <si>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7-0166 </t>
    <phoneticPr fontId="2"/>
  </si>
  <si>
    <t xml:space="preserve">    ( １Ｐ ) </t>
    <phoneticPr fontId="2"/>
  </si>
  <si>
    <t xml:space="preserve">  ( ２Ｐ )</t>
    <phoneticPr fontId="2"/>
  </si>
  <si>
    <t xml:space="preserve">070166 </t>
    <phoneticPr fontId="2"/>
  </si>
  <si>
    <t>UC-UD(ルータ）</t>
    <phoneticPr fontId="2"/>
  </si>
  <si>
    <t>　</t>
    <phoneticPr fontId="2"/>
  </si>
  <si>
    <t>4A1944</t>
    <phoneticPr fontId="2"/>
  </si>
  <si>
    <t>10:24～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</si>
  <si>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</si>
  <si>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</si>
  <si>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</si>
  <si>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</si>
  <si>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</si>
  <si>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07-0166</t>
    <phoneticPr fontId="2"/>
  </si>
  <si>
    <t>70166</t>
    <phoneticPr fontId="2"/>
  </si>
  <si>
    <t>千田蓮池（南）</t>
    <phoneticPr fontId="2"/>
  </si>
  <si>
    <t>(UD-RTR)</t>
    <phoneticPr fontId="2"/>
  </si>
  <si>
    <t>ＰＵ</t>
    <phoneticPr fontId="2"/>
  </si>
  <si>
    <t>ＰＬ</t>
    <phoneticPr fontId="2"/>
  </si>
  <si>
    <t>設計書モレ</t>
    <rPh sb="0" eb="3">
      <t>セッケイショ</t>
    </rPh>
    <phoneticPr fontId="2"/>
  </si>
  <si>
    <t xml:space="preserve">( １Ｐ ) </t>
    <phoneticPr fontId="2"/>
  </si>
  <si>
    <t>( ２Ｐ )</t>
    <phoneticPr fontId="2"/>
  </si>
  <si>
    <t>日本信号</t>
    <rPh sb="0" eb="4">
      <t>ニホンシンゴウ</t>
    </rPh>
    <phoneticPr fontId="2"/>
  </si>
  <si>
    <t>K0000003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</si>
</sst>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3" fillId="0" borderId="9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177" fontId="10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181" fontId="9" fillId="0" borderId="0" xfId="0" applyNumberFormat="1" applyFont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5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4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20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9" fillId="0" borderId="20" xfId="0" quotePrefix="1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20" xfId="0" applyFont="1" applyBorder="1" applyAlignment="1">
      <alignment horizontal="center" vertical="center" wrapText="1"/>
    </xf>
    <xf numFmtId="178" fontId="9" fillId="0" borderId="20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4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right" vertical="center"/>
    </xf>
    <xf numFmtId="49" fontId="3" fillId="0" borderId="14" xfId="0" applyNumberFormat="1" applyFont="1" applyBorder="1" applyAlignment="1">
      <alignment horizontal="right" vertical="center"/>
    </xf>
    <xf numFmtId="32" fontId="1" fillId="0" borderId="13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right" vertical="center"/>
    </xf>
    <xf numFmtId="49" fontId="3" fillId="0" borderId="16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7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20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</xdr:row>
      <xdr:rowOff>114806</xdr:rowOff>
    </xdr:from>
    <xdr:to>
      <xdr:col>23</xdr:col>
      <xdr:colOff>28575</xdr:colOff>
      <xdr:row>12</xdr:row>
      <xdr:rowOff>109227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B824C213-3F2C-4290-98AB-09FE6B24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86306"/>
          <a:ext cx="7181850" cy="3471046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CA262B-0895-4687-9A43-3C1C023B6982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0648A94-7C1A-4F79-890F-56F27B5D2DEC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6293A857-936B-4114-95AA-55D19B24E7AB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B1666DD-F258-4164-9F77-97EA1124F660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BAAFBA8F-936D-4F2E-A6AD-7EE00C9A5DE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CAFFB17-3094-4536-A7E6-D6877589463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08DE90A9-FAB2-482D-A89B-348E5B171ED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EE0CB6A3-C33A-43E1-ADEC-5329C8ACF32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A7049A52-4595-4CC9-8365-1E259A4DF1E4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B1D3B90F-7121-4657-8F67-26F0BA8E42A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82C2DE07-292D-4287-B457-2539271B1F0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5C18E3A8-D197-451B-B2C2-49B53F4F1D35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A549EB0-2A46-463B-876A-5A88DE5BD78B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1885950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EAD2407A-5BCB-4659-AFD5-AF8F0AA272C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8EBA1A64-EA4B-4590-A5F8-5E963862811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25F4CEB5-DC31-49C4-A000-F8BD92C6EC66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C1CA204-24E5-443D-8C67-535DEF235726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56CF6160-0EC9-4B12-8F6A-5466565A51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45A5E3C5-6BDF-422A-96CE-A79A4B0D441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F84E3499-04D4-4D3F-BBDE-94BEE089EC3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DEC268F5-BCF7-4475-8CAE-388C6DB25AD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8929940-EF5B-4992-9B1C-2EE2121106E8}"/>
            </a:ext>
          </a:extLst>
        </xdr:cNvPr>
        <xdr:cNvGrpSpPr>
          <a:grpSpLocks/>
        </xdr:cNvGrpSpPr>
      </xdr:nvGrpSpPr>
      <xdr:grpSpPr bwMode="auto">
        <a:xfrm>
          <a:off x="3514725" y="7324725"/>
          <a:ext cx="942975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43576966-C168-4D31-85A2-4CE3E13BE9D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EC0A73F1-19F0-4B46-87D2-EB3D1D8B284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E2F89E97-E8F0-4843-946F-60497C1BE73B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314325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A7C7536B-85CB-41B0-9E3C-61A7BA6FA4D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BCD1971B-99FD-4835-8F28-3E8E4E5419D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CEF8AFB-1D9A-4A93-A095-F86A536B41CB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1571625" cy="47625"/>
          <a:chOff x="158" y="715"/>
          <a:chExt cx="33" cy="5"/>
        </a:xfrm>
      </xdr:grpSpPr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DCC5AF9E-DA46-42BE-8611-A99A75B6ECD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F549B5BA-11E5-4DF8-9511-AEB5475BB34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1DE8FED6-7B17-46B2-A163-C4F4CC7B4F44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1EA4F25D-C18D-42B5-950B-7A4784CE5D72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EE44F6EC-1147-49E7-866B-499E0A98E03D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1571625" cy="47625"/>
          <a:chOff x="158" y="715"/>
          <a:chExt cx="33" cy="5"/>
        </a:xfrm>
      </xdr:grpSpPr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5D59E2BA-820B-4481-BA38-5DB9E43CB74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4E00E8FE-58EC-46ED-9B7E-EFFD86ECC89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7728</xdr:colOff>
      <xdr:row>17</xdr:row>
      <xdr:rowOff>438150</xdr:rowOff>
    </xdr:from>
    <xdr:to>
      <xdr:col>7</xdr:col>
      <xdr:colOff>190500</xdr:colOff>
      <xdr:row>17</xdr:row>
      <xdr:rowOff>742950</xdr:rowOff>
    </xdr:to>
    <xdr:grpSp>
      <xdr:nvGrpSpPr>
        <xdr:cNvPr id="40" name="Group 38">
          <a:extLst>
            <a:ext uri="{FF2B5EF4-FFF2-40B4-BE49-F238E27FC236}">
              <a16:creationId xmlns:a16="http://schemas.microsoft.com/office/drawing/2014/main" id="{4542345B-44EA-4F72-BABC-5F0B991FCDAF}"/>
            </a:ext>
          </a:extLst>
        </xdr:cNvPr>
        <xdr:cNvGrpSpPr>
          <a:grpSpLocks/>
        </xdr:cNvGrpSpPr>
      </xdr:nvGrpSpPr>
      <xdr:grpSpPr bwMode="auto">
        <a:xfrm>
          <a:off x="1636503" y="5629275"/>
          <a:ext cx="811422" cy="304800"/>
          <a:chOff x="110" y="567"/>
          <a:chExt cx="105" cy="32"/>
        </a:xfrm>
      </xdr:grpSpPr>
      <xdr:sp macro="" textlink="">
        <xdr:nvSpPr>
          <xdr:cNvPr id="50" name="Line 39">
            <a:extLst>
              <a:ext uri="{FF2B5EF4-FFF2-40B4-BE49-F238E27FC236}">
                <a16:creationId xmlns:a16="http://schemas.microsoft.com/office/drawing/2014/main" id="{4D558012-0BB4-416C-9B45-5A2B62E128D8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40">
            <a:extLst>
              <a:ext uri="{FF2B5EF4-FFF2-40B4-BE49-F238E27FC236}">
                <a16:creationId xmlns:a16="http://schemas.microsoft.com/office/drawing/2014/main" id="{3BBFD2B5-2649-436A-853E-925BCF98447A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Freeform 41">
            <a:extLst>
              <a:ext uri="{FF2B5EF4-FFF2-40B4-BE49-F238E27FC236}">
                <a16:creationId xmlns:a16="http://schemas.microsoft.com/office/drawing/2014/main" id="{82BE2189-1ACF-437D-9524-7EC83F429CE0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42">
            <a:extLst>
              <a:ext uri="{FF2B5EF4-FFF2-40B4-BE49-F238E27FC236}">
                <a16:creationId xmlns:a16="http://schemas.microsoft.com/office/drawing/2014/main" id="{452AC9BC-5CD7-4048-A23B-A8A5062018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43">
            <a:extLst>
              <a:ext uri="{FF2B5EF4-FFF2-40B4-BE49-F238E27FC236}">
                <a16:creationId xmlns:a16="http://schemas.microsoft.com/office/drawing/2014/main" id="{7772008B-791F-45D7-8C71-34AA84E744D8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Freeform 44">
            <a:extLst>
              <a:ext uri="{FF2B5EF4-FFF2-40B4-BE49-F238E27FC236}">
                <a16:creationId xmlns:a16="http://schemas.microsoft.com/office/drawing/2014/main" id="{09423719-01A1-4C63-98A5-86E5C10EEED7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" name="Line 45">
            <a:extLst>
              <a:ext uri="{FF2B5EF4-FFF2-40B4-BE49-F238E27FC236}">
                <a16:creationId xmlns:a16="http://schemas.microsoft.com/office/drawing/2014/main" id="{46E23351-F89B-451D-9B42-ECF4A66504B4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Freeform 46">
            <a:extLst>
              <a:ext uri="{FF2B5EF4-FFF2-40B4-BE49-F238E27FC236}">
                <a16:creationId xmlns:a16="http://schemas.microsoft.com/office/drawing/2014/main" id="{709272DF-99E3-401F-A4AE-4992170E2DB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17</xdr:row>
      <xdr:rowOff>800100</xdr:rowOff>
    </xdr:from>
    <xdr:to>
      <xdr:col>7</xdr:col>
      <xdr:colOff>190500</xdr:colOff>
      <xdr:row>17</xdr:row>
      <xdr:rowOff>1104900</xdr:rowOff>
    </xdr:to>
    <xdr:grpSp>
      <xdr:nvGrpSpPr>
        <xdr:cNvPr id="41" name="Group 47">
          <a:extLst>
            <a:ext uri="{FF2B5EF4-FFF2-40B4-BE49-F238E27FC236}">
              <a16:creationId xmlns:a16="http://schemas.microsoft.com/office/drawing/2014/main" id="{25BFBDBD-C629-430A-A950-23A5C1E4BC00}"/>
            </a:ext>
          </a:extLst>
        </xdr:cNvPr>
        <xdr:cNvGrpSpPr>
          <a:grpSpLocks/>
        </xdr:cNvGrpSpPr>
      </xdr:nvGrpSpPr>
      <xdr:grpSpPr bwMode="auto">
        <a:xfrm>
          <a:off x="1628775" y="5991225"/>
          <a:ext cx="819150" cy="304800"/>
          <a:chOff x="105" y="627"/>
          <a:chExt cx="106" cy="32"/>
        </a:xfrm>
      </xdr:grpSpPr>
      <xdr:sp macro="" textlink="">
        <xdr:nvSpPr>
          <xdr:cNvPr id="42" name="Line 48">
            <a:extLst>
              <a:ext uri="{FF2B5EF4-FFF2-40B4-BE49-F238E27FC236}">
                <a16:creationId xmlns:a16="http://schemas.microsoft.com/office/drawing/2014/main" id="{69FBAEFF-7336-4CEA-B92A-498750032166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Freeform 49">
            <a:extLst>
              <a:ext uri="{FF2B5EF4-FFF2-40B4-BE49-F238E27FC236}">
                <a16:creationId xmlns:a16="http://schemas.microsoft.com/office/drawing/2014/main" id="{46D85A60-8FDF-4D5C-8808-BED892DE00CC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Freeform 50">
            <a:extLst>
              <a:ext uri="{FF2B5EF4-FFF2-40B4-BE49-F238E27FC236}">
                <a16:creationId xmlns:a16="http://schemas.microsoft.com/office/drawing/2014/main" id="{337DCD64-0159-4126-9AE5-A68ACE3AC612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Line 51">
            <a:extLst>
              <a:ext uri="{FF2B5EF4-FFF2-40B4-BE49-F238E27FC236}">
                <a16:creationId xmlns:a16="http://schemas.microsoft.com/office/drawing/2014/main" id="{AB261CA6-B469-46BF-93AB-44506E0A7087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Freeform 52">
            <a:extLst>
              <a:ext uri="{FF2B5EF4-FFF2-40B4-BE49-F238E27FC236}">
                <a16:creationId xmlns:a16="http://schemas.microsoft.com/office/drawing/2014/main" id="{9CD7D7B2-DF55-49C3-AA6B-834AD64D6B9F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" name="Freeform 53">
            <a:extLst>
              <a:ext uri="{FF2B5EF4-FFF2-40B4-BE49-F238E27FC236}">
                <a16:creationId xmlns:a16="http://schemas.microsoft.com/office/drawing/2014/main" id="{291BC27D-2585-4456-8C92-0F40E7177966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4">
            <a:extLst>
              <a:ext uri="{FF2B5EF4-FFF2-40B4-BE49-F238E27FC236}">
                <a16:creationId xmlns:a16="http://schemas.microsoft.com/office/drawing/2014/main" id="{A4442AB1-B2AA-4EB9-ACDA-ACBC65A9527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Freeform 55">
            <a:extLst>
              <a:ext uri="{FF2B5EF4-FFF2-40B4-BE49-F238E27FC236}">
                <a16:creationId xmlns:a16="http://schemas.microsoft.com/office/drawing/2014/main" id="{6F12B36D-5DC6-44D8-8B54-899CBC7A82F0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428625</xdr:rowOff>
    </xdr:from>
    <xdr:to>
      <xdr:col>10</xdr:col>
      <xdr:colOff>38100</xdr:colOff>
      <xdr:row>17</xdr:row>
      <xdr:rowOff>1162050</xdr:rowOff>
    </xdr:to>
    <xdr:grpSp>
      <xdr:nvGrpSpPr>
        <xdr:cNvPr id="83" name="Group 81">
          <a:extLst>
            <a:ext uri="{FF2B5EF4-FFF2-40B4-BE49-F238E27FC236}">
              <a16:creationId xmlns:a16="http://schemas.microsoft.com/office/drawing/2014/main" id="{81BE073C-E3D2-42E7-A345-918B5D770847}"/>
            </a:ext>
          </a:extLst>
        </xdr:cNvPr>
        <xdr:cNvGrpSpPr>
          <a:grpSpLocks/>
        </xdr:cNvGrpSpPr>
      </xdr:nvGrpSpPr>
      <xdr:grpSpPr bwMode="auto">
        <a:xfrm rot="5400000">
          <a:off x="2843212" y="5957888"/>
          <a:ext cx="733425" cy="57150"/>
          <a:chOff x="123" y="549"/>
          <a:chExt cx="77" cy="6"/>
        </a:xfrm>
      </xdr:grpSpPr>
      <xdr:sp macro="" textlink="">
        <xdr:nvSpPr>
          <xdr:cNvPr id="84" name="Line 82">
            <a:extLst>
              <a:ext uri="{FF2B5EF4-FFF2-40B4-BE49-F238E27FC236}">
                <a16:creationId xmlns:a16="http://schemas.microsoft.com/office/drawing/2014/main" id="{DEDCBFB5-66BE-451D-ABBE-4ACCFBA0BEA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83">
            <a:extLst>
              <a:ext uri="{FF2B5EF4-FFF2-40B4-BE49-F238E27FC236}">
                <a16:creationId xmlns:a16="http://schemas.microsoft.com/office/drawing/2014/main" id="{B9BEE82D-B8A9-4DDC-BED0-B0B8DF5870B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Freeform 84">
            <a:extLst>
              <a:ext uri="{FF2B5EF4-FFF2-40B4-BE49-F238E27FC236}">
                <a16:creationId xmlns:a16="http://schemas.microsoft.com/office/drawing/2014/main" id="{CD88B878-2E6A-4DE5-8E40-6CC359AC7FB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17</xdr:row>
      <xdr:rowOff>0</xdr:rowOff>
    </xdr:from>
    <xdr:to>
      <xdr:col>10</xdr:col>
      <xdr:colOff>104775</xdr:colOff>
      <xdr:row>18</xdr:row>
      <xdr:rowOff>0</xdr:rowOff>
    </xdr:to>
    <xdr:sp macro="" textlink="">
      <xdr:nvSpPr>
        <xdr:cNvPr id="87" name="Text Box 85">
          <a:extLst>
            <a:ext uri="{FF2B5EF4-FFF2-40B4-BE49-F238E27FC236}">
              <a16:creationId xmlns:a16="http://schemas.microsoft.com/office/drawing/2014/main" id="{8E1F1239-5A68-4CA6-BA5C-98A2DAE93AF6}"/>
            </a:ext>
          </a:extLst>
        </xdr:cNvPr>
        <xdr:cNvSpPr txBox="1">
          <a:spLocks noChangeArrowheads="1"/>
        </xdr:cNvSpPr>
      </xdr:nvSpPr>
      <xdr:spPr bwMode="auto">
        <a:xfrm>
          <a:off x="2676525" y="5114925"/>
          <a:ext cx="1905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12</xdr:col>
      <xdr:colOff>295275</xdr:colOff>
      <xdr:row>17</xdr:row>
      <xdr:rowOff>428625</xdr:rowOff>
    </xdr:from>
    <xdr:to>
      <xdr:col>13</xdr:col>
      <xdr:colOff>38100</xdr:colOff>
      <xdr:row>17</xdr:row>
      <xdr:rowOff>1162050</xdr:rowOff>
    </xdr:to>
    <xdr:grpSp>
      <xdr:nvGrpSpPr>
        <xdr:cNvPr id="88" name="Group 86">
          <a:extLst>
            <a:ext uri="{FF2B5EF4-FFF2-40B4-BE49-F238E27FC236}">
              <a16:creationId xmlns:a16="http://schemas.microsoft.com/office/drawing/2014/main" id="{49D9A7F2-292C-4E3B-8725-5F67747210AE}"/>
            </a:ext>
          </a:extLst>
        </xdr:cNvPr>
        <xdr:cNvGrpSpPr>
          <a:grpSpLocks/>
        </xdr:cNvGrpSpPr>
      </xdr:nvGrpSpPr>
      <xdr:grpSpPr bwMode="auto">
        <a:xfrm rot="5400000">
          <a:off x="3786187" y="5957888"/>
          <a:ext cx="733425" cy="57150"/>
          <a:chOff x="123" y="549"/>
          <a:chExt cx="77" cy="6"/>
        </a:xfrm>
      </xdr:grpSpPr>
      <xdr:sp macro="" textlink="">
        <xdr:nvSpPr>
          <xdr:cNvPr id="89" name="Line 87">
            <a:extLst>
              <a:ext uri="{FF2B5EF4-FFF2-40B4-BE49-F238E27FC236}">
                <a16:creationId xmlns:a16="http://schemas.microsoft.com/office/drawing/2014/main" id="{FD9D4A14-3E84-47B3-A575-8C22AB96390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88">
            <a:extLst>
              <a:ext uri="{FF2B5EF4-FFF2-40B4-BE49-F238E27FC236}">
                <a16:creationId xmlns:a16="http://schemas.microsoft.com/office/drawing/2014/main" id="{1803FA81-7012-4D2D-95D6-5DC3233BC8B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89">
            <a:extLst>
              <a:ext uri="{FF2B5EF4-FFF2-40B4-BE49-F238E27FC236}">
                <a16:creationId xmlns:a16="http://schemas.microsoft.com/office/drawing/2014/main" id="{50E18DAB-C6B9-41AF-B7EB-AB65E0711C1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228600</xdr:colOff>
      <xdr:row>17</xdr:row>
      <xdr:rowOff>0</xdr:rowOff>
    </xdr:from>
    <xdr:to>
      <xdr:col>13</xdr:col>
      <xdr:colOff>104775</xdr:colOff>
      <xdr:row>18</xdr:row>
      <xdr:rowOff>0</xdr:rowOff>
    </xdr:to>
    <xdr:sp macro="" textlink="">
      <xdr:nvSpPr>
        <xdr:cNvPr id="92" name="Text Box 90">
          <a:extLst>
            <a:ext uri="{FF2B5EF4-FFF2-40B4-BE49-F238E27FC236}">
              <a16:creationId xmlns:a16="http://schemas.microsoft.com/office/drawing/2014/main" id="{F64AC33C-CAE5-4E5C-9E5B-8DD1777A51A7}"/>
            </a:ext>
          </a:extLst>
        </xdr:cNvPr>
        <xdr:cNvSpPr txBox="1">
          <a:spLocks noChangeArrowheads="1"/>
        </xdr:cNvSpPr>
      </xdr:nvSpPr>
      <xdr:spPr bwMode="auto">
        <a:xfrm>
          <a:off x="3619500" y="5114925"/>
          <a:ext cx="1905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oneCellAnchor>
    <xdr:from>
      <xdr:col>12</xdr:col>
      <xdr:colOff>142875</xdr:colOff>
      <xdr:row>17</xdr:row>
      <xdr:rowOff>1333500</xdr:rowOff>
    </xdr:from>
    <xdr:ext cx="361244" cy="150041"/>
    <xdr:sp macro="" textlink="">
      <xdr:nvSpPr>
        <xdr:cNvPr id="93" name="Text Box 91">
          <a:extLst>
            <a:ext uri="{FF2B5EF4-FFF2-40B4-BE49-F238E27FC236}">
              <a16:creationId xmlns:a16="http://schemas.microsoft.com/office/drawing/2014/main" id="{7BAAE720-44D1-4F20-B6BB-87A2B83B2E55}"/>
            </a:ext>
          </a:extLst>
        </xdr:cNvPr>
        <xdr:cNvSpPr txBox="1">
          <a:spLocks noChangeArrowheads="1"/>
        </xdr:cNvSpPr>
      </xdr:nvSpPr>
      <xdr:spPr bwMode="auto">
        <a:xfrm>
          <a:off x="3971925" y="65246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15.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95250</xdr:colOff>
      <xdr:row>17</xdr:row>
      <xdr:rowOff>38100</xdr:rowOff>
    </xdr:from>
    <xdr:ext cx="534368" cy="150041"/>
    <xdr:sp macro="" textlink="">
      <xdr:nvSpPr>
        <xdr:cNvPr id="95" name="Text Box 93">
          <a:extLst>
            <a:ext uri="{FF2B5EF4-FFF2-40B4-BE49-F238E27FC236}">
              <a16:creationId xmlns:a16="http://schemas.microsoft.com/office/drawing/2014/main" id="{B5E1463E-713B-4010-B184-40AE7906EF8F}"/>
            </a:ext>
          </a:extLst>
        </xdr:cNvPr>
        <xdr:cNvSpPr txBox="1">
          <a:spLocks noChangeArrowheads="1"/>
        </xdr:cNvSpPr>
      </xdr:nvSpPr>
      <xdr:spPr bwMode="auto">
        <a:xfrm>
          <a:off x="3924300" y="5229225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twoCellAnchor>
    <xdr:from>
      <xdr:col>12</xdr:col>
      <xdr:colOff>304800</xdr:colOff>
      <xdr:row>9</xdr:row>
      <xdr:rowOff>666750</xdr:rowOff>
    </xdr:from>
    <xdr:to>
      <xdr:col>14</xdr:col>
      <xdr:colOff>200025</xdr:colOff>
      <xdr:row>9</xdr:row>
      <xdr:rowOff>914400</xdr:rowOff>
    </xdr:to>
    <xdr:sp macro="" textlink="">
      <xdr:nvSpPr>
        <xdr:cNvPr id="96" name="Rectangle 96">
          <a:extLst>
            <a:ext uri="{FF2B5EF4-FFF2-40B4-BE49-F238E27FC236}">
              <a16:creationId xmlns:a16="http://schemas.microsoft.com/office/drawing/2014/main" id="{45B0AD2F-1381-4F81-B274-B263C7BEB0D9}"/>
            </a:ext>
          </a:extLst>
        </xdr:cNvPr>
        <xdr:cNvSpPr>
          <a:spLocks noChangeArrowheads="1"/>
        </xdr:cNvSpPr>
      </xdr:nvSpPr>
      <xdr:spPr bwMode="auto">
        <a:xfrm>
          <a:off x="3695700" y="2305050"/>
          <a:ext cx="5238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104775</xdr:colOff>
      <xdr:row>9</xdr:row>
      <xdr:rowOff>1143000</xdr:rowOff>
    </xdr:from>
    <xdr:to>
      <xdr:col>8</xdr:col>
      <xdr:colOff>47625</xdr:colOff>
      <xdr:row>9</xdr:row>
      <xdr:rowOff>1409700</xdr:rowOff>
    </xdr:to>
    <xdr:sp macro="" textlink="">
      <xdr:nvSpPr>
        <xdr:cNvPr id="97" name="Rectangle 97">
          <a:extLst>
            <a:ext uri="{FF2B5EF4-FFF2-40B4-BE49-F238E27FC236}">
              <a16:creationId xmlns:a16="http://schemas.microsoft.com/office/drawing/2014/main" id="{0A47D0DC-6053-418F-8461-699BA4CD309F}"/>
            </a:ext>
          </a:extLst>
        </xdr:cNvPr>
        <xdr:cNvSpPr>
          <a:spLocks noChangeArrowheads="1"/>
        </xdr:cNvSpPr>
      </xdr:nvSpPr>
      <xdr:spPr bwMode="auto">
        <a:xfrm>
          <a:off x="1295400" y="2781300"/>
          <a:ext cx="88582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180975</xdr:colOff>
      <xdr:row>9</xdr:row>
      <xdr:rowOff>552450</xdr:rowOff>
    </xdr:from>
    <xdr:to>
      <xdr:col>19</xdr:col>
      <xdr:colOff>152400</xdr:colOff>
      <xdr:row>9</xdr:row>
      <xdr:rowOff>847725</xdr:rowOff>
    </xdr:to>
    <xdr:sp macro="" textlink="">
      <xdr:nvSpPr>
        <xdr:cNvPr id="98" name="Rectangle 98">
          <a:extLst>
            <a:ext uri="{FF2B5EF4-FFF2-40B4-BE49-F238E27FC236}">
              <a16:creationId xmlns:a16="http://schemas.microsoft.com/office/drawing/2014/main" id="{F96893ED-51A3-4755-945E-C3326C137041}"/>
            </a:ext>
          </a:extLst>
        </xdr:cNvPr>
        <xdr:cNvSpPr>
          <a:spLocks noChangeArrowheads="1"/>
        </xdr:cNvSpPr>
      </xdr:nvSpPr>
      <xdr:spPr bwMode="auto">
        <a:xfrm>
          <a:off x="5143500" y="2190750"/>
          <a:ext cx="6000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9</xdr:col>
      <xdr:colOff>9525</xdr:colOff>
      <xdr:row>17</xdr:row>
      <xdr:rowOff>38100</xdr:rowOff>
    </xdr:from>
    <xdr:ext cx="534368" cy="150041"/>
    <xdr:sp macro="" textlink="">
      <xdr:nvSpPr>
        <xdr:cNvPr id="100" name="Text Box 101">
          <a:extLst>
            <a:ext uri="{FF2B5EF4-FFF2-40B4-BE49-F238E27FC236}">
              <a16:creationId xmlns:a16="http://schemas.microsoft.com/office/drawing/2014/main" id="{A2943DA7-D1AA-419B-9530-8A067E3C4C53}"/>
            </a:ext>
          </a:extLst>
        </xdr:cNvPr>
        <xdr:cNvSpPr txBox="1">
          <a:spLocks noChangeArrowheads="1"/>
        </xdr:cNvSpPr>
      </xdr:nvSpPr>
      <xdr:spPr bwMode="auto">
        <a:xfrm>
          <a:off x="2895600" y="5229225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twoCellAnchor>
    <xdr:from>
      <xdr:col>12</xdr:col>
      <xdr:colOff>114301</xdr:colOff>
      <xdr:row>8</xdr:row>
      <xdr:rowOff>19050</xdr:rowOff>
    </xdr:from>
    <xdr:to>
      <xdr:col>13</xdr:col>
      <xdr:colOff>228600</xdr:colOff>
      <xdr:row>9</xdr:row>
      <xdr:rowOff>971551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127EF71-7B16-4A16-A04E-6C4806124661}"/>
            </a:ext>
          </a:extLst>
        </xdr:cNvPr>
        <xdr:cNvCxnSpPr/>
      </xdr:nvCxnSpPr>
      <xdr:spPr>
        <a:xfrm flipH="1">
          <a:off x="3943351" y="1504950"/>
          <a:ext cx="428624" cy="118110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295274</xdr:colOff>
      <xdr:row>9</xdr:row>
      <xdr:rowOff>647700</xdr:rowOff>
    </xdr:from>
    <xdr:ext cx="436521" cy="250453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55275508-AD65-43A9-B3F2-26078170E1CC}"/>
            </a:ext>
          </a:extLst>
        </xdr:cNvPr>
        <xdr:cNvSpPr txBox="1"/>
      </xdr:nvSpPr>
      <xdr:spPr>
        <a:xfrm>
          <a:off x="4124324" y="2362200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26.2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10</xdr:col>
      <xdr:colOff>142875</xdr:colOff>
      <xdr:row>9</xdr:row>
      <xdr:rowOff>390525</xdr:rowOff>
    </xdr:from>
    <xdr:to>
      <xdr:col>16</xdr:col>
      <xdr:colOff>114300</xdr:colOff>
      <xdr:row>9</xdr:row>
      <xdr:rowOff>409575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B2774A39-66A7-445E-AB88-24F2283D98D8}"/>
            </a:ext>
          </a:extLst>
        </xdr:cNvPr>
        <xdr:cNvCxnSpPr/>
      </xdr:nvCxnSpPr>
      <xdr:spPr>
        <a:xfrm flipV="1">
          <a:off x="3343275" y="2105025"/>
          <a:ext cx="1857375" cy="190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133349</xdr:colOff>
      <xdr:row>9</xdr:row>
      <xdr:rowOff>123825</xdr:rowOff>
    </xdr:from>
    <xdr:ext cx="436521" cy="250453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F3F051AD-01A4-4D63-A8D5-9A07991B1B0C}"/>
            </a:ext>
          </a:extLst>
        </xdr:cNvPr>
        <xdr:cNvSpPr txBox="1"/>
      </xdr:nvSpPr>
      <xdr:spPr>
        <a:xfrm>
          <a:off x="4591049" y="183832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32.2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12</xdr:col>
      <xdr:colOff>114299</xdr:colOff>
      <xdr:row>9</xdr:row>
      <xdr:rowOff>1171575</xdr:rowOff>
    </xdr:from>
    <xdr:to>
      <xdr:col>13</xdr:col>
      <xdr:colOff>60558</xdr:colOff>
      <xdr:row>9</xdr:row>
      <xdr:rowOff>1580068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3B09C40C-9D21-4339-BE12-EF0F253402F5}"/>
            </a:ext>
          </a:extLst>
        </xdr:cNvPr>
        <xdr:cNvGrpSpPr/>
      </xdr:nvGrpSpPr>
      <xdr:grpSpPr>
        <a:xfrm>
          <a:off x="3943349" y="2886075"/>
          <a:ext cx="260584" cy="408493"/>
          <a:chOff x="4867327" y="302986"/>
          <a:chExt cx="260584" cy="408493"/>
        </a:xfrm>
      </xdr:grpSpPr>
      <xdr:sp macro="" textlink="">
        <xdr:nvSpPr>
          <xdr:cNvPr id="120" name="Text Box 216">
            <a:extLst>
              <a:ext uri="{FF2B5EF4-FFF2-40B4-BE49-F238E27FC236}">
                <a16:creationId xmlns:a16="http://schemas.microsoft.com/office/drawing/2014/main" id="{99687FA0-7335-4213-ADA7-CEE3DAFA74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1" name="図 120">
            <a:extLst>
              <a:ext uri="{FF2B5EF4-FFF2-40B4-BE49-F238E27FC236}">
                <a16:creationId xmlns:a16="http://schemas.microsoft.com/office/drawing/2014/main" id="{504C492B-18D6-425A-A42D-565D001692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 editAs="oneCell">
    <xdr:from>
      <xdr:col>19</xdr:col>
      <xdr:colOff>257174</xdr:colOff>
      <xdr:row>9</xdr:row>
      <xdr:rowOff>314325</xdr:rowOff>
    </xdr:from>
    <xdr:to>
      <xdr:col>20</xdr:col>
      <xdr:colOff>230101</xdr:colOff>
      <xdr:row>9</xdr:row>
      <xdr:rowOff>602325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7FCA3005-2589-4532-8BBD-3690CEB3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499" y="20288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</xdr:colOff>
      <xdr:row>8</xdr:row>
      <xdr:rowOff>57150</xdr:rowOff>
    </xdr:from>
    <xdr:to>
      <xdr:col>6</xdr:col>
      <xdr:colOff>20551</xdr:colOff>
      <xdr:row>9</xdr:row>
      <xdr:rowOff>116550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49B769A3-90C2-4FD6-AF0E-7963D2592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399" y="1543050"/>
          <a:ext cx="287252" cy="288000"/>
        </a:xfrm>
        <a:prstGeom prst="rect">
          <a:avLst/>
        </a:prstGeom>
      </xdr:spPr>
    </xdr:pic>
    <xdr:clientData/>
  </xdr:twoCellAnchor>
  <xdr:oneCellAnchor>
    <xdr:from>
      <xdr:col>9</xdr:col>
      <xdr:colOff>142875</xdr:colOff>
      <xdr:row>17</xdr:row>
      <xdr:rowOff>1333500</xdr:rowOff>
    </xdr:from>
    <xdr:ext cx="361244" cy="150041"/>
    <xdr:sp macro="" textlink="">
      <xdr:nvSpPr>
        <xdr:cNvPr id="124" name="Text Box 91">
          <a:extLst>
            <a:ext uri="{FF2B5EF4-FFF2-40B4-BE49-F238E27FC236}">
              <a16:creationId xmlns:a16="http://schemas.microsoft.com/office/drawing/2014/main" id="{2A80F113-06BF-4B0E-A13E-0A00ECB630E9}"/>
            </a:ext>
          </a:extLst>
        </xdr:cNvPr>
        <xdr:cNvSpPr txBox="1">
          <a:spLocks noChangeArrowheads="1"/>
        </xdr:cNvSpPr>
      </xdr:nvSpPr>
      <xdr:spPr bwMode="auto">
        <a:xfrm>
          <a:off x="3028950" y="65246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15.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10</xdr:col>
      <xdr:colOff>310461</xdr:colOff>
      <xdr:row>17</xdr:row>
      <xdr:rowOff>599480</xdr:rowOff>
    </xdr:from>
    <xdr:to>
      <xdr:col>11</xdr:col>
      <xdr:colOff>300937</xdr:colOff>
      <xdr:row>17</xdr:row>
      <xdr:rowOff>1215335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F765A327-360B-48A8-82E0-F74833E20731}"/>
            </a:ext>
          </a:extLst>
        </xdr:cNvPr>
        <xdr:cNvGrpSpPr/>
      </xdr:nvGrpSpPr>
      <xdr:grpSpPr>
        <a:xfrm>
          <a:off x="3510861" y="5790605"/>
          <a:ext cx="304801" cy="615855"/>
          <a:chOff x="3507725" y="5803382"/>
          <a:chExt cx="304104" cy="615855"/>
        </a:xfrm>
      </xdr:grpSpPr>
      <xdr:sp macro="" textlink="">
        <xdr:nvSpPr>
          <xdr:cNvPr id="126" name="Line 39">
            <a:extLst>
              <a:ext uri="{FF2B5EF4-FFF2-40B4-BE49-F238E27FC236}">
                <a16:creationId xmlns:a16="http://schemas.microsoft.com/office/drawing/2014/main" id="{55CFC951-C6C2-4925-8DEC-E8338FBED71E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389777" y="6149237"/>
            <a:ext cx="54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Freeform 41">
            <a:extLst>
              <a:ext uri="{FF2B5EF4-FFF2-40B4-BE49-F238E27FC236}">
                <a16:creationId xmlns:a16="http://schemas.microsoft.com/office/drawing/2014/main" id="{2AA324AD-F2DE-4000-98DC-6A32AFCAF202}"/>
              </a:ext>
            </a:extLst>
          </xdr:cNvPr>
          <xdr:cNvSpPr>
            <a:spLocks/>
          </xdr:cNvSpPr>
        </xdr:nvSpPr>
        <xdr:spPr bwMode="auto">
          <a:xfrm rot="16200000">
            <a:off x="3594717" y="6168709"/>
            <a:ext cx="54095" cy="76026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9" name="Line 42">
            <a:extLst>
              <a:ext uri="{FF2B5EF4-FFF2-40B4-BE49-F238E27FC236}">
                <a16:creationId xmlns:a16="http://schemas.microsoft.com/office/drawing/2014/main" id="{CB0D3E89-6FE5-43E9-8E94-D14125CE324D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545738" y="6141662"/>
            <a:ext cx="0" cy="760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Freeform 43">
            <a:extLst>
              <a:ext uri="{FF2B5EF4-FFF2-40B4-BE49-F238E27FC236}">
                <a16:creationId xmlns:a16="http://schemas.microsoft.com/office/drawing/2014/main" id="{26770418-B893-400A-AB08-162DD945889B}"/>
              </a:ext>
            </a:extLst>
          </xdr:cNvPr>
          <xdr:cNvSpPr>
            <a:spLocks/>
          </xdr:cNvSpPr>
        </xdr:nvSpPr>
        <xdr:spPr bwMode="auto">
          <a:xfrm rot="16200000">
            <a:off x="3510075" y="6146414"/>
            <a:ext cx="61823" cy="66523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" name="Freeform 44">
            <a:extLst>
              <a:ext uri="{FF2B5EF4-FFF2-40B4-BE49-F238E27FC236}">
                <a16:creationId xmlns:a16="http://schemas.microsoft.com/office/drawing/2014/main" id="{A7E946E5-78FA-4350-BF45-9B2AB9BB17BE}"/>
              </a:ext>
            </a:extLst>
          </xdr:cNvPr>
          <xdr:cNvSpPr>
            <a:spLocks/>
          </xdr:cNvSpPr>
        </xdr:nvSpPr>
        <xdr:spPr bwMode="auto">
          <a:xfrm rot="16200000">
            <a:off x="3662127" y="5831943"/>
            <a:ext cx="61823" cy="66523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2" name="Line 45">
            <a:extLst>
              <a:ext uri="{FF2B5EF4-FFF2-40B4-BE49-F238E27FC236}">
                <a16:creationId xmlns:a16="http://schemas.microsoft.com/office/drawing/2014/main" id="{6CC31E00-26B0-44EF-AD1C-F056A8777DA6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764312" y="5796280"/>
            <a:ext cx="0" cy="760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Freeform 46">
            <a:extLst>
              <a:ext uri="{FF2B5EF4-FFF2-40B4-BE49-F238E27FC236}">
                <a16:creationId xmlns:a16="http://schemas.microsoft.com/office/drawing/2014/main" id="{BE8FFCC5-2A42-45FF-A48E-C6DD4B9E9195}"/>
              </a:ext>
            </a:extLst>
          </xdr:cNvPr>
          <xdr:cNvSpPr>
            <a:spLocks/>
          </xdr:cNvSpPr>
        </xdr:nvSpPr>
        <xdr:spPr bwMode="auto">
          <a:xfrm rot="16200000">
            <a:off x="3747656" y="5801032"/>
            <a:ext cx="61823" cy="66523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47625</xdr:colOff>
      <xdr:row>12</xdr:row>
      <xdr:rowOff>19050</xdr:rowOff>
    </xdr:from>
    <xdr:ext cx="844265" cy="636516"/>
    <xdr:sp macro="" textlink="">
      <xdr:nvSpPr>
        <xdr:cNvPr id="82" name="Text Box 80">
          <a:extLst>
            <a:ext uri="{FF2B5EF4-FFF2-40B4-BE49-F238E27FC236}">
              <a16:creationId xmlns:a16="http://schemas.microsoft.com/office/drawing/2014/main" id="{D48BDB0D-3DD1-49C6-91F7-FB0CDCCC9D30}"/>
            </a:ext>
          </a:extLst>
        </xdr:cNvPr>
        <xdr:cNvSpPr txBox="1">
          <a:spLocks noChangeArrowheads="1"/>
        </xdr:cNvSpPr>
      </xdr:nvSpPr>
      <xdr:spPr bwMode="auto">
        <a:xfrm>
          <a:off x="47625" y="4067175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20</xdr:col>
      <xdr:colOff>238125</xdr:colOff>
      <xdr:row>17</xdr:row>
      <xdr:rowOff>1095375</xdr:rowOff>
    </xdr:from>
    <xdr:ext cx="1015715" cy="666750"/>
    <xdr:sp macro="" textlink="">
      <xdr:nvSpPr>
        <xdr:cNvPr id="37" name="Text Box 91">
          <a:extLst>
            <a:ext uri="{FF2B5EF4-FFF2-40B4-BE49-F238E27FC236}">
              <a16:creationId xmlns:a16="http://schemas.microsoft.com/office/drawing/2014/main" id="{04C6CE8C-508E-4F3C-8E8A-067CE212C87A}"/>
            </a:ext>
          </a:extLst>
        </xdr:cNvPr>
        <xdr:cNvSpPr txBox="1">
          <a:spLocks noChangeArrowheads="1"/>
        </xdr:cNvSpPr>
      </xdr:nvSpPr>
      <xdr:spPr bwMode="auto">
        <a:xfrm>
          <a:off x="6581775" y="62865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3A54E212-B718-4B27-88D0-0616BD88FA6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24BF5A0E-2C12-4AC5-8D95-3AE879526791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7" name="Freeform 3">
          <a:extLst>
            <a:ext uri="{FF2B5EF4-FFF2-40B4-BE49-F238E27FC236}">
              <a16:creationId xmlns:a16="http://schemas.microsoft.com/office/drawing/2014/main" id="{2FE6EEB7-E48A-40D6-9129-16F851C48EB3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8FE4BDAA-6E03-427A-B424-9C369DAFDA3E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4DF6D040-C1F5-441C-90C5-CC2EF2B8422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5213CD55-70CE-44C0-A8D1-564535B45F1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359C24FC-6BB9-45B8-B2FE-5D64DF34B94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DCF9021F-5C76-4352-8F8C-0CC4498DA61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CED0D3E4-7D0B-475C-A69E-D4D4CE238407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C8D7F573-63A1-4BEF-8478-1113D62A1F6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1E0FC4FD-FC1E-4DDC-98F6-93681D5E288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FA6185BC-31E5-4A1D-BC54-A38ECF518618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031B1930-E70D-4D88-86B3-B9EB3B2EAEF7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26B7FF24-F9CB-432B-8826-72ECEA9F38B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85E45039-755C-4102-8AA1-CDA7CBA1CB7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0" name="Freeform 16">
          <a:extLst>
            <a:ext uri="{FF2B5EF4-FFF2-40B4-BE49-F238E27FC236}">
              <a16:creationId xmlns:a16="http://schemas.microsoft.com/office/drawing/2014/main" id="{04D563CF-37A8-4281-BF3A-AFDE118D2FE9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05E6AB55-DD2A-49F7-BD94-7FC2084FDD47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447624ED-3A99-4C6A-ADA5-3D1756A9594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F79C6241-D1C1-484B-AC4E-DE61531923A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55B00321-4C0B-4B53-B0E2-1F81E7AD9DC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D458B173-4E7C-4E5B-AD21-7B19D268B8E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B8E943F4-C19C-410F-8C94-0FD58BCF258C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DC6585EA-CEE6-4B9F-9851-AB863E2F7D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D180A88F-041E-4653-9447-A815ABFBB56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2D399F34-65D9-4347-9B69-032C11638530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EC4531B1-54FA-447B-9A00-2DD2AA6259D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B3F7FF6B-D9F4-406D-A2D8-732E7835E59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2" name="Group 28">
          <a:extLst>
            <a:ext uri="{FF2B5EF4-FFF2-40B4-BE49-F238E27FC236}">
              <a16:creationId xmlns:a16="http://schemas.microsoft.com/office/drawing/2014/main" id="{E849ADB1-1778-4B68-B8FD-866C1A611078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788C9101-946F-4B45-8E4D-E70052D96F0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DFA84D0E-AAB1-4FAF-80B4-DFCFD8D6BEC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9FB049E9-4356-4CE7-AE8C-DFA0E32EF425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51289469-E4CB-480C-B3EB-42E839BF1A93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57" name="Group 33">
          <a:extLst>
            <a:ext uri="{FF2B5EF4-FFF2-40B4-BE49-F238E27FC236}">
              <a16:creationId xmlns:a16="http://schemas.microsoft.com/office/drawing/2014/main" id="{7AC940D6-3D42-4691-AEAB-37E46A3DDBCA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DC395A7F-E793-432D-88B0-9E94F4BBCE9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32808836-BC01-40F1-9000-416C67D5EC6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142875</xdr:colOff>
      <xdr:row>6</xdr:row>
      <xdr:rowOff>200025</xdr:rowOff>
    </xdr:from>
    <xdr:to>
      <xdr:col>5</xdr:col>
      <xdr:colOff>76200</xdr:colOff>
      <xdr:row>8</xdr:row>
      <xdr:rowOff>85725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D4BFAAA9-6831-452D-98F9-6BADE179FB61}"/>
            </a:ext>
          </a:extLst>
        </xdr:cNvPr>
        <xdr:cNvSpPr txBox="1">
          <a:spLocks noChangeArrowheads="1"/>
        </xdr:cNvSpPr>
      </xdr:nvSpPr>
      <xdr:spPr bwMode="auto">
        <a:xfrm>
          <a:off x="1019175" y="1609725"/>
          <a:ext cx="24765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福山東インター南</a:t>
          </a:r>
        </a:p>
      </xdr:txBody>
    </xdr:sp>
    <xdr:clientData/>
  </xdr:twoCellAnchor>
  <xdr:twoCellAnchor>
    <xdr:from>
      <xdr:col>19</xdr:col>
      <xdr:colOff>266700</xdr:colOff>
      <xdr:row>7</xdr:row>
      <xdr:rowOff>76200</xdr:rowOff>
    </xdr:from>
    <xdr:to>
      <xdr:col>20</xdr:col>
      <xdr:colOff>200025</xdr:colOff>
      <xdr:row>7</xdr:row>
      <xdr:rowOff>1666875</xdr:rowOff>
    </xdr:to>
    <xdr:sp macro="" textlink="">
      <xdr:nvSpPr>
        <xdr:cNvPr id="1061" name="Text Box 37">
          <a:extLst>
            <a:ext uri="{FF2B5EF4-FFF2-40B4-BE49-F238E27FC236}">
              <a16:creationId xmlns:a16="http://schemas.microsoft.com/office/drawing/2014/main" id="{5F89A464-CB36-461A-AECF-CC65AD4A7A1D}"/>
            </a:ext>
          </a:extLst>
        </xdr:cNvPr>
        <xdr:cNvSpPr txBox="1">
          <a:spLocks noChangeArrowheads="1"/>
        </xdr:cNvSpPr>
      </xdr:nvSpPr>
      <xdr:spPr bwMode="auto">
        <a:xfrm>
          <a:off x="5857875" y="17145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十九軒屋</a:t>
          </a:r>
        </a:p>
      </xdr:txBody>
    </xdr:sp>
    <xdr:clientData/>
  </xdr:twoCellAnchor>
  <xdr:twoCellAnchor>
    <xdr:from>
      <xdr:col>5</xdr:col>
      <xdr:colOff>0</xdr:colOff>
      <xdr:row>15</xdr:row>
      <xdr:rowOff>438150</xdr:rowOff>
    </xdr:from>
    <xdr:to>
      <xdr:col>7</xdr:col>
      <xdr:colOff>190500</xdr:colOff>
      <xdr:row>15</xdr:row>
      <xdr:rowOff>1104900</xdr:rowOff>
    </xdr:to>
    <xdr:grpSp>
      <xdr:nvGrpSpPr>
        <xdr:cNvPr id="1118" name="Group 94">
          <a:extLst>
            <a:ext uri="{FF2B5EF4-FFF2-40B4-BE49-F238E27FC236}">
              <a16:creationId xmlns:a16="http://schemas.microsoft.com/office/drawing/2014/main" id="{A5F71B4E-5FBE-41BF-870F-02683E4FA236}"/>
            </a:ext>
          </a:extLst>
        </xdr:cNvPr>
        <xdr:cNvGrpSpPr>
          <a:grpSpLocks/>
        </xdr:cNvGrpSpPr>
      </xdr:nvGrpSpPr>
      <xdr:grpSpPr bwMode="auto">
        <a:xfrm>
          <a:off x="1190625" y="5553075"/>
          <a:ext cx="819150" cy="666750"/>
          <a:chOff x="138" y="583"/>
          <a:chExt cx="106" cy="70"/>
        </a:xfrm>
      </xdr:grpSpPr>
      <xdr:grpSp>
        <xdr:nvGrpSpPr>
          <xdr:cNvPr id="1062" name="Group 38">
            <a:extLst>
              <a:ext uri="{FF2B5EF4-FFF2-40B4-BE49-F238E27FC236}">
                <a16:creationId xmlns:a16="http://schemas.microsoft.com/office/drawing/2014/main" id="{F9C941CD-D2EF-4B56-820B-5F0DA86A34A3}"/>
              </a:ext>
            </a:extLst>
          </xdr:cNvPr>
          <xdr:cNvGrpSpPr>
            <a:grpSpLocks/>
          </xdr:cNvGrpSpPr>
        </xdr:nvGrpSpPr>
        <xdr:grpSpPr bwMode="auto">
          <a:xfrm>
            <a:off x="139" y="583"/>
            <a:ext cx="105" cy="32"/>
            <a:chOff x="110" y="567"/>
            <a:chExt cx="105" cy="32"/>
          </a:xfrm>
        </xdr:grpSpPr>
        <xdr:sp macro="" textlink="">
          <xdr:nvSpPr>
            <xdr:cNvPr id="1063" name="Line 39">
              <a:extLst>
                <a:ext uri="{FF2B5EF4-FFF2-40B4-BE49-F238E27FC236}">
                  <a16:creationId xmlns:a16="http://schemas.microsoft.com/office/drawing/2014/main" id="{D546826D-1287-4B3C-A6B3-D207FE654C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4" name="Freeform 40">
              <a:extLst>
                <a:ext uri="{FF2B5EF4-FFF2-40B4-BE49-F238E27FC236}">
                  <a16:creationId xmlns:a16="http://schemas.microsoft.com/office/drawing/2014/main" id="{4C6F2F57-36F1-40C3-A47B-11E2E5ABCAB5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" name="Freeform 41">
              <a:extLst>
                <a:ext uri="{FF2B5EF4-FFF2-40B4-BE49-F238E27FC236}">
                  <a16:creationId xmlns:a16="http://schemas.microsoft.com/office/drawing/2014/main" id="{3C75FE6C-5669-42AF-BCED-43B53400B946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6" name="Line 42">
              <a:extLst>
                <a:ext uri="{FF2B5EF4-FFF2-40B4-BE49-F238E27FC236}">
                  <a16:creationId xmlns:a16="http://schemas.microsoft.com/office/drawing/2014/main" id="{07408562-BE2A-4E15-A05C-7BCCE36135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7" name="Freeform 43">
              <a:extLst>
                <a:ext uri="{FF2B5EF4-FFF2-40B4-BE49-F238E27FC236}">
                  <a16:creationId xmlns:a16="http://schemas.microsoft.com/office/drawing/2014/main" id="{2EEEF2D2-4F87-469F-A0A2-FA0F2989A2FD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8" name="Freeform 44">
              <a:extLst>
                <a:ext uri="{FF2B5EF4-FFF2-40B4-BE49-F238E27FC236}">
                  <a16:creationId xmlns:a16="http://schemas.microsoft.com/office/drawing/2014/main" id="{AFE9AE69-632F-4673-9D08-34DEAE1D713F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9" name="Line 45">
              <a:extLst>
                <a:ext uri="{FF2B5EF4-FFF2-40B4-BE49-F238E27FC236}">
                  <a16:creationId xmlns:a16="http://schemas.microsoft.com/office/drawing/2014/main" id="{26654549-753A-4C69-9F17-D5E3418F95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0" name="Freeform 46">
              <a:extLst>
                <a:ext uri="{FF2B5EF4-FFF2-40B4-BE49-F238E27FC236}">
                  <a16:creationId xmlns:a16="http://schemas.microsoft.com/office/drawing/2014/main" id="{DE243DAE-E643-4D33-9FB2-5FB0C9396F82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71" name="Group 47">
            <a:extLst>
              <a:ext uri="{FF2B5EF4-FFF2-40B4-BE49-F238E27FC236}">
                <a16:creationId xmlns:a16="http://schemas.microsoft.com/office/drawing/2014/main" id="{9BB7D262-DF0F-459E-AEDA-4F6C3CD9C295}"/>
              </a:ext>
            </a:extLst>
          </xdr:cNvPr>
          <xdr:cNvGrpSpPr>
            <a:grpSpLocks/>
          </xdr:cNvGrpSpPr>
        </xdr:nvGrpSpPr>
        <xdr:grpSpPr bwMode="auto">
          <a:xfrm>
            <a:off x="138" y="621"/>
            <a:ext cx="106" cy="32"/>
            <a:chOff x="105" y="627"/>
            <a:chExt cx="106" cy="32"/>
          </a:xfrm>
        </xdr:grpSpPr>
        <xdr:sp macro="" textlink="">
          <xdr:nvSpPr>
            <xdr:cNvPr id="1072" name="Line 48">
              <a:extLst>
                <a:ext uri="{FF2B5EF4-FFF2-40B4-BE49-F238E27FC236}">
                  <a16:creationId xmlns:a16="http://schemas.microsoft.com/office/drawing/2014/main" id="{824852AD-A415-49BC-8221-034E42F9469A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07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3" name="Freeform 49">
              <a:extLst>
                <a:ext uri="{FF2B5EF4-FFF2-40B4-BE49-F238E27FC236}">
                  <a16:creationId xmlns:a16="http://schemas.microsoft.com/office/drawing/2014/main" id="{B7685200-7CD4-4A03-8C4A-2412FE421B95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05" y="64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4" name="Freeform 50">
              <a:extLst>
                <a:ext uri="{FF2B5EF4-FFF2-40B4-BE49-F238E27FC236}">
                  <a16:creationId xmlns:a16="http://schemas.microsoft.com/office/drawing/2014/main" id="{5D27F914-7C80-4435-8C7B-09D08B4086C6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79" y="64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5" name="Line 51">
              <a:extLst>
                <a:ext uri="{FF2B5EF4-FFF2-40B4-BE49-F238E27FC236}">
                  <a16:creationId xmlns:a16="http://schemas.microsoft.com/office/drawing/2014/main" id="{B8571C59-2A0B-48AB-9194-A220672BFD8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79" y="65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6" name="Freeform 52">
              <a:extLst>
                <a:ext uri="{FF2B5EF4-FFF2-40B4-BE49-F238E27FC236}">
                  <a16:creationId xmlns:a16="http://schemas.microsoft.com/office/drawing/2014/main" id="{F44AF085-FA22-4302-96D5-B1769B5C94C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75" y="652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7" name="Freeform 53">
              <a:extLst>
                <a:ext uri="{FF2B5EF4-FFF2-40B4-BE49-F238E27FC236}">
                  <a16:creationId xmlns:a16="http://schemas.microsoft.com/office/drawing/2014/main" id="{3C68807E-E7AF-44ED-87DB-9F57E6029CCD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8" y="63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8" name="Line 54">
              <a:extLst>
                <a:ext uri="{FF2B5EF4-FFF2-40B4-BE49-F238E27FC236}">
                  <a16:creationId xmlns:a16="http://schemas.microsoft.com/office/drawing/2014/main" id="{B5988F31-E5B4-40A6-B961-B94C1A89ED3A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68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9" name="Freeform 55">
              <a:extLst>
                <a:ext uri="{FF2B5EF4-FFF2-40B4-BE49-F238E27FC236}">
                  <a16:creationId xmlns:a16="http://schemas.microsoft.com/office/drawing/2014/main" id="{72149402-19EF-44FA-B5A8-A00B2484092B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4" y="627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10</xdr:col>
      <xdr:colOff>161925</xdr:colOff>
      <xdr:row>15</xdr:row>
      <xdr:rowOff>304800</xdr:rowOff>
    </xdr:from>
    <xdr:to>
      <xdr:col>11</xdr:col>
      <xdr:colOff>190500</xdr:colOff>
      <xdr:row>15</xdr:row>
      <xdr:rowOff>1209675</xdr:rowOff>
    </xdr:to>
    <xdr:grpSp>
      <xdr:nvGrpSpPr>
        <xdr:cNvPr id="1080" name="Group 56">
          <a:extLst>
            <a:ext uri="{FF2B5EF4-FFF2-40B4-BE49-F238E27FC236}">
              <a16:creationId xmlns:a16="http://schemas.microsoft.com/office/drawing/2014/main" id="{FC03627B-1BEC-4EF7-A66E-7446764C39DA}"/>
            </a:ext>
          </a:extLst>
        </xdr:cNvPr>
        <xdr:cNvGrpSpPr>
          <a:grpSpLocks/>
        </xdr:cNvGrpSpPr>
      </xdr:nvGrpSpPr>
      <xdr:grpSpPr bwMode="auto">
        <a:xfrm>
          <a:off x="2924175" y="5419725"/>
          <a:ext cx="342900" cy="904875"/>
          <a:chOff x="340" y="569"/>
          <a:chExt cx="36" cy="95"/>
        </a:xfrm>
      </xdr:grpSpPr>
      <xdr:grpSp>
        <xdr:nvGrpSpPr>
          <xdr:cNvPr id="1081" name="Group 57">
            <a:extLst>
              <a:ext uri="{FF2B5EF4-FFF2-40B4-BE49-F238E27FC236}">
                <a16:creationId xmlns:a16="http://schemas.microsoft.com/office/drawing/2014/main" id="{0E282D96-820A-4CE0-BC17-055E0C22D466}"/>
              </a:ext>
            </a:extLst>
          </xdr:cNvPr>
          <xdr:cNvGrpSpPr>
            <a:grpSpLocks/>
          </xdr:cNvGrpSpPr>
        </xdr:nvGrpSpPr>
        <xdr:grpSpPr bwMode="auto">
          <a:xfrm>
            <a:off x="341" y="633"/>
            <a:ext cx="16" cy="11"/>
            <a:chOff x="637" y="653"/>
            <a:chExt cx="16" cy="11"/>
          </a:xfrm>
        </xdr:grpSpPr>
        <xdr:sp macro="" textlink="">
          <xdr:nvSpPr>
            <xdr:cNvPr id="1082" name="Freeform 58">
              <a:extLst>
                <a:ext uri="{FF2B5EF4-FFF2-40B4-BE49-F238E27FC236}">
                  <a16:creationId xmlns:a16="http://schemas.microsoft.com/office/drawing/2014/main" id="{15922EE2-F54C-44CE-BAE0-51DFA80056F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45" y="65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3" name="Line 59">
              <a:extLst>
                <a:ext uri="{FF2B5EF4-FFF2-40B4-BE49-F238E27FC236}">
                  <a16:creationId xmlns:a16="http://schemas.microsoft.com/office/drawing/2014/main" id="{7962EFF4-8B00-400E-990B-216386474563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641" y="65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4" name="Freeform 60">
              <a:extLst>
                <a:ext uri="{FF2B5EF4-FFF2-40B4-BE49-F238E27FC236}">
                  <a16:creationId xmlns:a16="http://schemas.microsoft.com/office/drawing/2014/main" id="{2E1FA602-0808-430C-8E55-2B6945B18D10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37" y="65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5" name="Group 61">
            <a:extLst>
              <a:ext uri="{FF2B5EF4-FFF2-40B4-BE49-F238E27FC236}">
                <a16:creationId xmlns:a16="http://schemas.microsoft.com/office/drawing/2014/main" id="{5F86D644-E3CC-4102-BA35-36E9105EF860}"/>
              </a:ext>
            </a:extLst>
          </xdr:cNvPr>
          <xdr:cNvGrpSpPr>
            <a:grpSpLocks/>
          </xdr:cNvGrpSpPr>
        </xdr:nvGrpSpPr>
        <xdr:grpSpPr bwMode="auto">
          <a:xfrm>
            <a:off x="360" y="619"/>
            <a:ext cx="16" cy="12"/>
            <a:chOff x="653" y="642"/>
            <a:chExt cx="16" cy="12"/>
          </a:xfrm>
        </xdr:grpSpPr>
        <xdr:sp macro="" textlink="">
          <xdr:nvSpPr>
            <xdr:cNvPr id="1086" name="Freeform 62">
              <a:extLst>
                <a:ext uri="{FF2B5EF4-FFF2-40B4-BE49-F238E27FC236}">
                  <a16:creationId xmlns:a16="http://schemas.microsoft.com/office/drawing/2014/main" id="{B58D8F9F-A6B3-45B7-9B94-8DFC70DEA99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53" y="64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7" name="Line 63">
              <a:extLst>
                <a:ext uri="{FF2B5EF4-FFF2-40B4-BE49-F238E27FC236}">
                  <a16:creationId xmlns:a16="http://schemas.microsoft.com/office/drawing/2014/main" id="{AB90D87B-39DD-4AA2-A5FA-8F9BEA0D85F7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664" y="642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8" name="Freeform 64">
              <a:extLst>
                <a:ext uri="{FF2B5EF4-FFF2-40B4-BE49-F238E27FC236}">
                  <a16:creationId xmlns:a16="http://schemas.microsoft.com/office/drawing/2014/main" id="{A47A47D4-4AE2-41B4-AC9E-196F219D6248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62" y="64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089" name="Freeform 65">
            <a:extLst>
              <a:ext uri="{FF2B5EF4-FFF2-40B4-BE49-F238E27FC236}">
                <a16:creationId xmlns:a16="http://schemas.microsoft.com/office/drawing/2014/main" id="{E7827813-2E3E-471B-92BA-1DADACF81B27}"/>
              </a:ext>
            </a:extLst>
          </xdr:cNvPr>
          <xdr:cNvSpPr>
            <a:spLocks/>
          </xdr:cNvSpPr>
        </xdr:nvSpPr>
        <xdr:spPr bwMode="auto">
          <a:xfrm rot="-4501102">
            <a:off x="307" y="605"/>
            <a:ext cx="92" cy="25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DFEC756D-2F58-45FD-B79C-FF014351340A}"/>
              </a:ext>
            </a:extLst>
          </xdr:cNvPr>
          <xdr:cNvSpPr>
            <a:spLocks/>
          </xdr:cNvSpPr>
        </xdr:nvSpPr>
        <xdr:spPr bwMode="auto">
          <a:xfrm rot="-8100000">
            <a:off x="351" y="57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104775</xdr:colOff>
      <xdr:row>15</xdr:row>
      <xdr:rowOff>333375</xdr:rowOff>
    </xdr:from>
    <xdr:to>
      <xdr:col>12</xdr:col>
      <xdr:colOff>152400</xdr:colOff>
      <xdr:row>15</xdr:row>
      <xdr:rowOff>1257300</xdr:rowOff>
    </xdr:to>
    <xdr:grpSp>
      <xdr:nvGrpSpPr>
        <xdr:cNvPr id="1091" name="Group 67">
          <a:extLst>
            <a:ext uri="{FF2B5EF4-FFF2-40B4-BE49-F238E27FC236}">
              <a16:creationId xmlns:a16="http://schemas.microsoft.com/office/drawing/2014/main" id="{F621AFFF-4E28-4DEA-A760-B579ACF627BF}"/>
            </a:ext>
          </a:extLst>
        </xdr:cNvPr>
        <xdr:cNvGrpSpPr>
          <a:grpSpLocks/>
        </xdr:cNvGrpSpPr>
      </xdr:nvGrpSpPr>
      <xdr:grpSpPr bwMode="auto">
        <a:xfrm>
          <a:off x="3181350" y="5448300"/>
          <a:ext cx="361950" cy="923925"/>
          <a:chOff x="367" y="572"/>
          <a:chExt cx="38" cy="97"/>
        </a:xfrm>
      </xdr:grpSpPr>
      <xdr:sp macro="" textlink="">
        <xdr:nvSpPr>
          <xdr:cNvPr id="1092" name="Freeform 68">
            <a:extLst>
              <a:ext uri="{FF2B5EF4-FFF2-40B4-BE49-F238E27FC236}">
                <a16:creationId xmlns:a16="http://schemas.microsoft.com/office/drawing/2014/main" id="{9E2A2870-019B-4D53-B0D9-2B041CB3004B}"/>
              </a:ext>
            </a:extLst>
          </xdr:cNvPr>
          <xdr:cNvSpPr>
            <a:spLocks/>
          </xdr:cNvSpPr>
        </xdr:nvSpPr>
        <xdr:spPr bwMode="auto">
          <a:xfrm rot="-4501102">
            <a:off x="332" y="607"/>
            <a:ext cx="95" cy="25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093" name="Group 69">
            <a:extLst>
              <a:ext uri="{FF2B5EF4-FFF2-40B4-BE49-F238E27FC236}">
                <a16:creationId xmlns:a16="http://schemas.microsoft.com/office/drawing/2014/main" id="{10F1A2BF-86FC-4323-977D-1B563F368758}"/>
              </a:ext>
            </a:extLst>
          </xdr:cNvPr>
          <xdr:cNvGrpSpPr>
            <a:grpSpLocks/>
          </xdr:cNvGrpSpPr>
        </xdr:nvGrpSpPr>
        <xdr:grpSpPr bwMode="auto">
          <a:xfrm>
            <a:off x="373" y="592"/>
            <a:ext cx="32" cy="77"/>
            <a:chOff x="373" y="592"/>
            <a:chExt cx="32" cy="77"/>
          </a:xfrm>
        </xdr:grpSpPr>
        <xdr:sp macro="" textlink="">
          <xdr:nvSpPr>
            <xdr:cNvPr id="1094" name="Freeform 70">
              <a:extLst>
                <a:ext uri="{FF2B5EF4-FFF2-40B4-BE49-F238E27FC236}">
                  <a16:creationId xmlns:a16="http://schemas.microsoft.com/office/drawing/2014/main" id="{BD4FCBD3-04D8-4A43-9175-1517A204EE12}"/>
                </a:ext>
              </a:extLst>
            </xdr:cNvPr>
            <xdr:cNvSpPr>
              <a:spLocks/>
            </xdr:cNvSpPr>
          </xdr:nvSpPr>
          <xdr:spPr bwMode="auto">
            <a:xfrm rot="-15415179">
              <a:off x="376" y="663"/>
              <a:ext cx="7" cy="5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grpSp>
          <xdr:nvGrpSpPr>
            <xdr:cNvPr id="1095" name="Group 71">
              <a:extLst>
                <a:ext uri="{FF2B5EF4-FFF2-40B4-BE49-F238E27FC236}">
                  <a16:creationId xmlns:a16="http://schemas.microsoft.com/office/drawing/2014/main" id="{C4536F4C-E4E3-46F0-BCA9-1D4CD9439511}"/>
                </a:ext>
              </a:extLst>
            </xdr:cNvPr>
            <xdr:cNvGrpSpPr>
              <a:grpSpLocks/>
            </xdr:cNvGrpSpPr>
          </xdr:nvGrpSpPr>
          <xdr:grpSpPr bwMode="auto">
            <a:xfrm flipV="1">
              <a:off x="373" y="608"/>
              <a:ext cx="16" cy="11"/>
              <a:chOff x="637" y="653"/>
              <a:chExt cx="16" cy="11"/>
            </a:xfrm>
          </xdr:grpSpPr>
          <xdr:sp macro="" textlink="">
            <xdr:nvSpPr>
              <xdr:cNvPr id="1096" name="Freeform 72">
                <a:extLst>
                  <a:ext uri="{FF2B5EF4-FFF2-40B4-BE49-F238E27FC236}">
                    <a16:creationId xmlns:a16="http://schemas.microsoft.com/office/drawing/2014/main" id="{E650D8F6-FBBF-4CAE-B54A-3FC14DB557A1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45" y="657"/>
                <a:ext cx="7" cy="8"/>
              </a:xfrm>
              <a:custGeom>
                <a:avLst/>
                <a:gdLst>
                  <a:gd name="T0" fmla="*/ 203 w 203"/>
                  <a:gd name="T1" fmla="*/ 2 h 199"/>
                  <a:gd name="T2" fmla="*/ 203 w 203"/>
                  <a:gd name="T3" fmla="*/ 7 h 199"/>
                  <a:gd name="T4" fmla="*/ 202 w 203"/>
                  <a:gd name="T5" fmla="*/ 12 h 199"/>
                  <a:gd name="T6" fmla="*/ 202 w 203"/>
                  <a:gd name="T7" fmla="*/ 17 h 199"/>
                  <a:gd name="T8" fmla="*/ 200 w 203"/>
                  <a:gd name="T9" fmla="*/ 22 h 199"/>
                  <a:gd name="T10" fmla="*/ 199 w 203"/>
                  <a:gd name="T11" fmla="*/ 27 h 199"/>
                  <a:gd name="T12" fmla="*/ 199 w 203"/>
                  <a:gd name="T13" fmla="*/ 33 h 199"/>
                  <a:gd name="T14" fmla="*/ 198 w 203"/>
                  <a:gd name="T15" fmla="*/ 38 h 199"/>
                  <a:gd name="T16" fmla="*/ 197 w 203"/>
                  <a:gd name="T17" fmla="*/ 42 h 199"/>
                  <a:gd name="T18" fmla="*/ 195 w 203"/>
                  <a:gd name="T19" fmla="*/ 47 h 199"/>
                  <a:gd name="T20" fmla="*/ 194 w 203"/>
                  <a:gd name="T21" fmla="*/ 52 h 199"/>
                  <a:gd name="T22" fmla="*/ 193 w 203"/>
                  <a:gd name="T23" fmla="*/ 57 h 199"/>
                  <a:gd name="T24" fmla="*/ 191 w 203"/>
                  <a:gd name="T25" fmla="*/ 61 h 199"/>
                  <a:gd name="T26" fmla="*/ 189 w 203"/>
                  <a:gd name="T27" fmla="*/ 66 h 199"/>
                  <a:gd name="T28" fmla="*/ 188 w 203"/>
                  <a:gd name="T29" fmla="*/ 70 h 199"/>
                  <a:gd name="T30" fmla="*/ 186 w 203"/>
                  <a:gd name="T31" fmla="*/ 75 h 199"/>
                  <a:gd name="T32" fmla="*/ 184 w 203"/>
                  <a:gd name="T33" fmla="*/ 79 h 199"/>
                  <a:gd name="T34" fmla="*/ 182 w 203"/>
                  <a:gd name="T35" fmla="*/ 85 h 199"/>
                  <a:gd name="T36" fmla="*/ 179 w 203"/>
                  <a:gd name="T37" fmla="*/ 89 h 199"/>
                  <a:gd name="T38" fmla="*/ 177 w 203"/>
                  <a:gd name="T39" fmla="*/ 94 h 199"/>
                  <a:gd name="T40" fmla="*/ 175 w 203"/>
                  <a:gd name="T41" fmla="*/ 98 h 199"/>
                  <a:gd name="T42" fmla="*/ 171 w 203"/>
                  <a:gd name="T43" fmla="*/ 102 h 199"/>
                  <a:gd name="T44" fmla="*/ 169 w 203"/>
                  <a:gd name="T45" fmla="*/ 106 h 199"/>
                  <a:gd name="T46" fmla="*/ 166 w 203"/>
                  <a:gd name="T47" fmla="*/ 110 h 199"/>
                  <a:gd name="T48" fmla="*/ 163 w 203"/>
                  <a:gd name="T49" fmla="*/ 114 h 199"/>
                  <a:gd name="T50" fmla="*/ 160 w 203"/>
                  <a:gd name="T51" fmla="*/ 118 h 199"/>
                  <a:gd name="T52" fmla="*/ 157 w 203"/>
                  <a:gd name="T53" fmla="*/ 122 h 199"/>
                  <a:gd name="T54" fmla="*/ 154 w 203"/>
                  <a:gd name="T55" fmla="*/ 126 h 199"/>
                  <a:gd name="T56" fmla="*/ 151 w 203"/>
                  <a:gd name="T57" fmla="*/ 131 h 199"/>
                  <a:gd name="T58" fmla="*/ 147 w 203"/>
                  <a:gd name="T59" fmla="*/ 134 h 199"/>
                  <a:gd name="T60" fmla="*/ 143 w 203"/>
                  <a:gd name="T61" fmla="*/ 138 h 199"/>
                  <a:gd name="T62" fmla="*/ 140 w 203"/>
                  <a:gd name="T63" fmla="*/ 141 h 199"/>
                  <a:gd name="T64" fmla="*/ 136 w 203"/>
                  <a:gd name="T65" fmla="*/ 145 h 199"/>
                  <a:gd name="T66" fmla="*/ 132 w 203"/>
                  <a:gd name="T67" fmla="*/ 148 h 199"/>
                  <a:gd name="T68" fmla="*/ 129 w 203"/>
                  <a:gd name="T69" fmla="*/ 151 h 199"/>
                  <a:gd name="T70" fmla="*/ 125 w 203"/>
                  <a:gd name="T71" fmla="*/ 154 h 199"/>
                  <a:gd name="T72" fmla="*/ 121 w 203"/>
                  <a:gd name="T73" fmla="*/ 157 h 199"/>
                  <a:gd name="T74" fmla="*/ 116 w 203"/>
                  <a:gd name="T75" fmla="*/ 160 h 199"/>
                  <a:gd name="T76" fmla="*/ 112 w 203"/>
                  <a:gd name="T77" fmla="*/ 163 h 199"/>
                  <a:gd name="T78" fmla="*/ 108 w 203"/>
                  <a:gd name="T79" fmla="*/ 166 h 199"/>
                  <a:gd name="T80" fmla="*/ 104 w 203"/>
                  <a:gd name="T81" fmla="*/ 168 h 199"/>
                  <a:gd name="T82" fmla="*/ 100 w 203"/>
                  <a:gd name="T83" fmla="*/ 171 h 199"/>
                  <a:gd name="T84" fmla="*/ 95 w 203"/>
                  <a:gd name="T85" fmla="*/ 173 h 199"/>
                  <a:gd name="T86" fmla="*/ 90 w 203"/>
                  <a:gd name="T87" fmla="*/ 177 h 199"/>
                  <a:gd name="T88" fmla="*/ 86 w 203"/>
                  <a:gd name="T89" fmla="*/ 179 h 199"/>
                  <a:gd name="T90" fmla="*/ 81 w 203"/>
                  <a:gd name="T91" fmla="*/ 181 h 199"/>
                  <a:gd name="T92" fmla="*/ 77 w 203"/>
                  <a:gd name="T93" fmla="*/ 183 h 199"/>
                  <a:gd name="T94" fmla="*/ 72 w 203"/>
                  <a:gd name="T95" fmla="*/ 185 h 199"/>
                  <a:gd name="T96" fmla="*/ 68 w 203"/>
                  <a:gd name="T97" fmla="*/ 187 h 199"/>
                  <a:gd name="T98" fmla="*/ 62 w 203"/>
                  <a:gd name="T99" fmla="*/ 188 h 199"/>
                  <a:gd name="T100" fmla="*/ 57 w 203"/>
                  <a:gd name="T101" fmla="*/ 190 h 199"/>
                  <a:gd name="T102" fmla="*/ 53 w 203"/>
                  <a:gd name="T103" fmla="*/ 191 h 199"/>
                  <a:gd name="T104" fmla="*/ 48 w 203"/>
                  <a:gd name="T105" fmla="*/ 192 h 199"/>
                  <a:gd name="T106" fmla="*/ 43 w 203"/>
                  <a:gd name="T107" fmla="*/ 194 h 199"/>
                  <a:gd name="T108" fmla="*/ 38 w 203"/>
                  <a:gd name="T109" fmla="*/ 195 h 199"/>
                  <a:gd name="T110" fmla="*/ 33 w 203"/>
                  <a:gd name="T111" fmla="*/ 196 h 199"/>
                  <a:gd name="T112" fmla="*/ 28 w 203"/>
                  <a:gd name="T113" fmla="*/ 196 h 199"/>
                  <a:gd name="T114" fmla="*/ 23 w 203"/>
                  <a:gd name="T115" fmla="*/ 197 h 199"/>
                  <a:gd name="T116" fmla="*/ 18 w 203"/>
                  <a:gd name="T117" fmla="*/ 198 h 199"/>
                  <a:gd name="T118" fmla="*/ 13 w 203"/>
                  <a:gd name="T119" fmla="*/ 198 h 199"/>
                  <a:gd name="T120" fmla="*/ 7 w 203"/>
                  <a:gd name="T121" fmla="*/ 199 h 199"/>
                  <a:gd name="T122" fmla="*/ 2 w 203"/>
                  <a:gd name="T123" fmla="*/ 199 h 1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097" name="Line 73">
                <a:extLst>
                  <a:ext uri="{FF2B5EF4-FFF2-40B4-BE49-F238E27FC236}">
                    <a16:creationId xmlns:a16="http://schemas.microsoft.com/office/drawing/2014/main" id="{D8261F12-380C-461B-9496-7A85EA27533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V="1">
                <a:off x="641" y="653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98" name="Freeform 74">
                <a:extLst>
                  <a:ext uri="{FF2B5EF4-FFF2-40B4-BE49-F238E27FC236}">
                    <a16:creationId xmlns:a16="http://schemas.microsoft.com/office/drawing/2014/main" id="{491A6A0F-7AE4-4CD2-9406-07EBFC619F01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37" y="653"/>
                <a:ext cx="8" cy="7"/>
              </a:xfrm>
              <a:custGeom>
                <a:avLst/>
                <a:gdLst>
                  <a:gd name="T0" fmla="*/ 207 w 207"/>
                  <a:gd name="T1" fmla="*/ 176 h 176"/>
                  <a:gd name="T2" fmla="*/ 104 w 207"/>
                  <a:gd name="T3" fmla="*/ 0 h 176"/>
                  <a:gd name="T4" fmla="*/ 0 w 207"/>
                  <a:gd name="T5" fmla="*/ 176 h 1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1099" name="Group 75">
              <a:extLst>
                <a:ext uri="{FF2B5EF4-FFF2-40B4-BE49-F238E27FC236}">
                  <a16:creationId xmlns:a16="http://schemas.microsoft.com/office/drawing/2014/main" id="{3B72D845-5F43-422E-AF62-EC8C07A221DA}"/>
                </a:ext>
              </a:extLst>
            </xdr:cNvPr>
            <xdr:cNvGrpSpPr>
              <a:grpSpLocks/>
            </xdr:cNvGrpSpPr>
          </xdr:nvGrpSpPr>
          <xdr:grpSpPr bwMode="auto">
            <a:xfrm flipV="1">
              <a:off x="389" y="592"/>
              <a:ext cx="16" cy="12"/>
              <a:chOff x="653" y="642"/>
              <a:chExt cx="16" cy="12"/>
            </a:xfrm>
          </xdr:grpSpPr>
          <xdr:sp macro="" textlink="">
            <xdr:nvSpPr>
              <xdr:cNvPr id="1100" name="Freeform 76">
                <a:extLst>
                  <a:ext uri="{FF2B5EF4-FFF2-40B4-BE49-F238E27FC236}">
                    <a16:creationId xmlns:a16="http://schemas.microsoft.com/office/drawing/2014/main" id="{F3F2DEF6-B9DE-499A-AD51-2D22CC0ED4DB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53" y="646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101" name="Line 77">
                <a:extLst>
                  <a:ext uri="{FF2B5EF4-FFF2-40B4-BE49-F238E27FC236}">
                    <a16:creationId xmlns:a16="http://schemas.microsoft.com/office/drawing/2014/main" id="{4E23CD27-CD28-42A1-B0C7-56CD2975CF0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664" y="642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02" name="Freeform 78">
                <a:extLst>
                  <a:ext uri="{FF2B5EF4-FFF2-40B4-BE49-F238E27FC236}">
                    <a16:creationId xmlns:a16="http://schemas.microsoft.com/office/drawing/2014/main" id="{F7FD7CE0-8CDB-4823-A00D-D101AE910B13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62" y="642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</xdr:grpSp>
    <xdr:clientData/>
  </xdr:twoCellAnchor>
  <xdr:twoCellAnchor editAs="oneCell">
    <xdr:from>
      <xdr:col>5</xdr:col>
      <xdr:colOff>209550</xdr:colOff>
      <xdr:row>6</xdr:row>
      <xdr:rowOff>85725</xdr:rowOff>
    </xdr:from>
    <xdr:to>
      <xdr:col>19</xdr:col>
      <xdr:colOff>142875</xdr:colOff>
      <xdr:row>8</xdr:row>
      <xdr:rowOff>47625</xdr:rowOff>
    </xdr:to>
    <xdr:pic>
      <xdr:nvPicPr>
        <xdr:cNvPr id="1103" name="Picture 79">
          <a:extLst>
            <a:ext uri="{FF2B5EF4-FFF2-40B4-BE49-F238E27FC236}">
              <a16:creationId xmlns:a16="http://schemas.microsoft.com/office/drawing/2014/main" id="{96187E76-5732-45E3-9929-025E7165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1495425"/>
          <a:ext cx="4333875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9</xdr:row>
      <xdr:rowOff>28575</xdr:rowOff>
    </xdr:from>
    <xdr:to>
      <xdr:col>6</xdr:col>
      <xdr:colOff>200025</xdr:colOff>
      <xdr:row>13</xdr:row>
      <xdr:rowOff>9525</xdr:rowOff>
    </xdr:to>
    <xdr:sp macro="" textlink="">
      <xdr:nvSpPr>
        <xdr:cNvPr id="1104" name="Text Box 80">
          <a:extLst>
            <a:ext uri="{FF2B5EF4-FFF2-40B4-BE49-F238E27FC236}">
              <a16:creationId xmlns:a16="http://schemas.microsoft.com/office/drawing/2014/main" id="{EA2AA71A-3912-40DC-A885-8346CFF019D3}"/>
            </a:ext>
          </a:extLst>
        </xdr:cNvPr>
        <xdr:cNvSpPr txBox="1">
          <a:spLocks noChangeArrowheads="1"/>
        </xdr:cNvSpPr>
      </xdr:nvSpPr>
      <xdr:spPr bwMode="auto">
        <a:xfrm>
          <a:off x="76200" y="3771900"/>
          <a:ext cx="1628775" cy="895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Ｓ８０筐体</a:t>
          </a:r>
        </a:p>
      </xdr:txBody>
    </xdr:sp>
    <xdr:clientData/>
  </xdr:twoCellAnchor>
  <xdr:twoCellAnchor>
    <xdr:from>
      <xdr:col>9</xdr:col>
      <xdr:colOff>295275</xdr:colOff>
      <xdr:row>15</xdr:row>
      <xdr:rowOff>428625</xdr:rowOff>
    </xdr:from>
    <xdr:to>
      <xdr:col>10</xdr:col>
      <xdr:colOff>38100</xdr:colOff>
      <xdr:row>15</xdr:row>
      <xdr:rowOff>1162050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16F1FA1F-DD71-41A4-82E9-D20C4FA6CC4D}"/>
            </a:ext>
          </a:extLst>
        </xdr:cNvPr>
        <xdr:cNvGrpSpPr>
          <a:grpSpLocks/>
        </xdr:cNvGrpSpPr>
      </xdr:nvGrpSpPr>
      <xdr:grpSpPr bwMode="auto">
        <a:xfrm rot="5400000">
          <a:off x="2405062" y="5881688"/>
          <a:ext cx="733425" cy="57150"/>
          <a:chOff x="123" y="549"/>
          <a:chExt cx="77" cy="6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7BB8240C-A7E3-46C4-A164-6E8E6B00F98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Freeform 83">
            <a:extLst>
              <a:ext uri="{FF2B5EF4-FFF2-40B4-BE49-F238E27FC236}">
                <a16:creationId xmlns:a16="http://schemas.microsoft.com/office/drawing/2014/main" id="{A5EB4FA5-3A4F-4669-816A-27BB5FB4A72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8" name="Freeform 84">
            <a:extLst>
              <a:ext uri="{FF2B5EF4-FFF2-40B4-BE49-F238E27FC236}">
                <a16:creationId xmlns:a16="http://schemas.microsoft.com/office/drawing/2014/main" id="{E5C4B2AA-704D-494E-98A6-F5703E951C9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0</xdr:rowOff>
    </xdr:from>
    <xdr:to>
      <xdr:col>10</xdr:col>
      <xdr:colOff>104775</xdr:colOff>
      <xdr:row>16</xdr:row>
      <xdr:rowOff>0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F515B1DB-3DBA-4F32-8477-93CA39DEA10B}"/>
            </a:ext>
          </a:extLst>
        </xdr:cNvPr>
        <xdr:cNvSpPr txBox="1">
          <a:spLocks noChangeArrowheads="1"/>
        </xdr:cNvSpPr>
      </xdr:nvSpPr>
      <xdr:spPr bwMode="auto">
        <a:xfrm>
          <a:off x="2676525" y="5114925"/>
          <a:ext cx="1905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12</xdr:col>
      <xdr:colOff>295275</xdr:colOff>
      <xdr:row>15</xdr:row>
      <xdr:rowOff>428625</xdr:rowOff>
    </xdr:from>
    <xdr:to>
      <xdr:col>13</xdr:col>
      <xdr:colOff>38100</xdr:colOff>
      <xdr:row>15</xdr:row>
      <xdr:rowOff>1162050</xdr:rowOff>
    </xdr:to>
    <xdr:grpSp>
      <xdr:nvGrpSpPr>
        <xdr:cNvPr id="1110" name="Group 86">
          <a:extLst>
            <a:ext uri="{FF2B5EF4-FFF2-40B4-BE49-F238E27FC236}">
              <a16:creationId xmlns:a16="http://schemas.microsoft.com/office/drawing/2014/main" id="{7ED18DBE-0F69-4E84-A3D1-05C314078B98}"/>
            </a:ext>
          </a:extLst>
        </xdr:cNvPr>
        <xdr:cNvGrpSpPr>
          <a:grpSpLocks/>
        </xdr:cNvGrpSpPr>
      </xdr:nvGrpSpPr>
      <xdr:grpSpPr bwMode="auto">
        <a:xfrm rot="5400000">
          <a:off x="3348037" y="5881688"/>
          <a:ext cx="733425" cy="57150"/>
          <a:chOff x="123" y="549"/>
          <a:chExt cx="77" cy="6"/>
        </a:xfrm>
      </xdr:grpSpPr>
      <xdr:sp macro="" textlink="">
        <xdr:nvSpPr>
          <xdr:cNvPr id="1111" name="Line 87">
            <a:extLst>
              <a:ext uri="{FF2B5EF4-FFF2-40B4-BE49-F238E27FC236}">
                <a16:creationId xmlns:a16="http://schemas.microsoft.com/office/drawing/2014/main" id="{4A52D268-095D-4408-BA82-7BFFB9DF97D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AB59B627-BFB2-45D4-B713-D862BD3CB60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3" name="Freeform 89">
            <a:extLst>
              <a:ext uri="{FF2B5EF4-FFF2-40B4-BE49-F238E27FC236}">
                <a16:creationId xmlns:a16="http://schemas.microsoft.com/office/drawing/2014/main" id="{30B4DAD5-4673-4D6C-AF05-29F2D8E53FE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228600</xdr:colOff>
      <xdr:row>15</xdr:row>
      <xdr:rowOff>0</xdr:rowOff>
    </xdr:from>
    <xdr:to>
      <xdr:col>13</xdr:col>
      <xdr:colOff>104775</xdr:colOff>
      <xdr:row>16</xdr:row>
      <xdr:rowOff>0</xdr:rowOff>
    </xdr:to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87EF32A7-DE2C-4ABD-A26B-CFF4F4640506}"/>
            </a:ext>
          </a:extLst>
        </xdr:cNvPr>
        <xdr:cNvSpPr txBox="1">
          <a:spLocks noChangeArrowheads="1"/>
        </xdr:cNvSpPr>
      </xdr:nvSpPr>
      <xdr:spPr bwMode="auto">
        <a:xfrm>
          <a:off x="3619500" y="5114925"/>
          <a:ext cx="1905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12</xdr:col>
      <xdr:colOff>142875</xdr:colOff>
      <xdr:row>15</xdr:row>
      <xdr:rowOff>1285875</xdr:rowOff>
    </xdr:from>
    <xdr:to>
      <xdr:col>13</xdr:col>
      <xdr:colOff>180975</xdr:colOff>
      <xdr:row>15</xdr:row>
      <xdr:rowOff>1447800</xdr:rowOff>
    </xdr:to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2FC6C404-E99C-4E93-AF2C-CD20F328048C}"/>
            </a:ext>
          </a:extLst>
        </xdr:cNvPr>
        <xdr:cNvSpPr txBox="1">
          <a:spLocks noChangeArrowheads="1"/>
        </xdr:cNvSpPr>
      </xdr:nvSpPr>
      <xdr:spPr bwMode="auto">
        <a:xfrm>
          <a:off x="353377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15.6m</a:t>
          </a:r>
        </a:p>
      </xdr:txBody>
    </xdr:sp>
    <xdr:clientData/>
  </xdr:twoCellAnchor>
  <xdr:twoCellAnchor editAs="oneCell">
    <xdr:from>
      <xdr:col>20</xdr:col>
      <xdr:colOff>257175</xdr:colOff>
      <xdr:row>2</xdr:row>
      <xdr:rowOff>142875</xdr:rowOff>
    </xdr:from>
    <xdr:to>
      <xdr:col>23</xdr:col>
      <xdr:colOff>9525</xdr:colOff>
      <xdr:row>5</xdr:row>
      <xdr:rowOff>152400</xdr:rowOff>
    </xdr:to>
    <xdr:pic>
      <xdr:nvPicPr>
        <xdr:cNvPr id="1116" name="Picture 92">
          <a:extLst>
            <a:ext uri="{FF2B5EF4-FFF2-40B4-BE49-F238E27FC236}">
              <a16:creationId xmlns:a16="http://schemas.microsoft.com/office/drawing/2014/main" id="{4D4C7E6C-FA24-4221-BD67-FCA579907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6381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180975</xdr:colOff>
      <xdr:row>15</xdr:row>
      <xdr:rowOff>1419225</xdr:rowOff>
    </xdr:from>
    <xdr:to>
      <xdr:col>14</xdr:col>
      <xdr:colOff>190500</xdr:colOff>
      <xdr:row>16</xdr:row>
      <xdr:rowOff>0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761AE805-76B2-4D92-A393-49432F15B710}"/>
            </a:ext>
          </a:extLst>
        </xdr:cNvPr>
        <xdr:cNvSpPr txBox="1">
          <a:spLocks noChangeArrowheads="1"/>
        </xdr:cNvSpPr>
      </xdr:nvSpPr>
      <xdr:spPr bwMode="auto">
        <a:xfrm>
          <a:off x="3571875" y="6534150"/>
          <a:ext cx="63817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歩灯無</a:t>
          </a:r>
        </a:p>
      </xdr:txBody>
    </xdr:sp>
    <xdr:clientData/>
  </xdr:twoCellAnchor>
  <xdr:twoCellAnchor>
    <xdr:from>
      <xdr:col>12</xdr:col>
      <xdr:colOff>304800</xdr:colOff>
      <xdr:row>7</xdr:row>
      <xdr:rowOff>666750</xdr:rowOff>
    </xdr:from>
    <xdr:to>
      <xdr:col>14</xdr:col>
      <xdr:colOff>200025</xdr:colOff>
      <xdr:row>7</xdr:row>
      <xdr:rowOff>914400</xdr:rowOff>
    </xdr:to>
    <xdr:sp macro="" textlink="">
      <xdr:nvSpPr>
        <xdr:cNvPr id="1120" name="Rectangle 96">
          <a:extLst>
            <a:ext uri="{FF2B5EF4-FFF2-40B4-BE49-F238E27FC236}">
              <a16:creationId xmlns:a16="http://schemas.microsoft.com/office/drawing/2014/main" id="{D9482E17-7BA1-4010-807F-DCA17A7643BC}"/>
            </a:ext>
          </a:extLst>
        </xdr:cNvPr>
        <xdr:cNvSpPr>
          <a:spLocks noChangeArrowheads="1"/>
        </xdr:cNvSpPr>
      </xdr:nvSpPr>
      <xdr:spPr bwMode="auto">
        <a:xfrm>
          <a:off x="3695700" y="2305050"/>
          <a:ext cx="5238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104775</xdr:colOff>
      <xdr:row>7</xdr:row>
      <xdr:rowOff>1143000</xdr:rowOff>
    </xdr:from>
    <xdr:to>
      <xdr:col>8</xdr:col>
      <xdr:colOff>47625</xdr:colOff>
      <xdr:row>7</xdr:row>
      <xdr:rowOff>1409700</xdr:rowOff>
    </xdr:to>
    <xdr:sp macro="" textlink="">
      <xdr:nvSpPr>
        <xdr:cNvPr id="1121" name="Rectangle 97">
          <a:extLst>
            <a:ext uri="{FF2B5EF4-FFF2-40B4-BE49-F238E27FC236}">
              <a16:creationId xmlns:a16="http://schemas.microsoft.com/office/drawing/2014/main" id="{7E85DBEB-32B2-4C9A-A9C8-372A49BECABD}"/>
            </a:ext>
          </a:extLst>
        </xdr:cNvPr>
        <xdr:cNvSpPr>
          <a:spLocks noChangeArrowheads="1"/>
        </xdr:cNvSpPr>
      </xdr:nvSpPr>
      <xdr:spPr bwMode="auto">
        <a:xfrm>
          <a:off x="1295400" y="2781300"/>
          <a:ext cx="88582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180975</xdr:colOff>
      <xdr:row>7</xdr:row>
      <xdr:rowOff>552450</xdr:rowOff>
    </xdr:from>
    <xdr:to>
      <xdr:col>19</xdr:col>
      <xdr:colOff>152400</xdr:colOff>
      <xdr:row>7</xdr:row>
      <xdr:rowOff>847725</xdr:rowOff>
    </xdr:to>
    <xdr:sp macro="" textlink="">
      <xdr:nvSpPr>
        <xdr:cNvPr id="1122" name="Rectangle 98">
          <a:extLst>
            <a:ext uri="{FF2B5EF4-FFF2-40B4-BE49-F238E27FC236}">
              <a16:creationId xmlns:a16="http://schemas.microsoft.com/office/drawing/2014/main" id="{DF7FBE74-243A-4B8E-8186-DAB15F4320E5}"/>
            </a:ext>
          </a:extLst>
        </xdr:cNvPr>
        <xdr:cNvSpPr>
          <a:spLocks noChangeArrowheads="1"/>
        </xdr:cNvSpPr>
      </xdr:nvSpPr>
      <xdr:spPr bwMode="auto">
        <a:xfrm>
          <a:off x="5143500" y="2190750"/>
          <a:ext cx="6000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285750</xdr:colOff>
      <xdr:row>7</xdr:row>
      <xdr:rowOff>819150</xdr:rowOff>
    </xdr:from>
    <xdr:to>
      <xdr:col>13</xdr:col>
      <xdr:colOff>180975</xdr:colOff>
      <xdr:row>7</xdr:row>
      <xdr:rowOff>1066800</xdr:rowOff>
    </xdr:to>
    <xdr:sp macro="" textlink="">
      <xdr:nvSpPr>
        <xdr:cNvPr id="1123" name="Rectangle 99">
          <a:extLst>
            <a:ext uri="{FF2B5EF4-FFF2-40B4-BE49-F238E27FC236}">
              <a16:creationId xmlns:a16="http://schemas.microsoft.com/office/drawing/2014/main" id="{D9EFEB97-1059-4725-B608-46BFD9667FA7}"/>
            </a:ext>
          </a:extLst>
        </xdr:cNvPr>
        <xdr:cNvSpPr>
          <a:spLocks noChangeArrowheads="1"/>
        </xdr:cNvSpPr>
      </xdr:nvSpPr>
      <xdr:spPr bwMode="auto">
        <a:xfrm>
          <a:off x="3362325" y="2457450"/>
          <a:ext cx="5238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161925</xdr:colOff>
      <xdr:row>15</xdr:row>
      <xdr:rowOff>1371600</xdr:rowOff>
    </xdr:from>
    <xdr:to>
      <xdr:col>11</xdr:col>
      <xdr:colOff>238125</xdr:colOff>
      <xdr:row>15</xdr:row>
      <xdr:rowOff>1533525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91C8ECDC-4FA1-424A-853C-C6D3AE8C78B7}"/>
            </a:ext>
          </a:extLst>
        </xdr:cNvPr>
        <xdr:cNvSpPr txBox="1">
          <a:spLocks noChangeArrowheads="1"/>
        </xdr:cNvSpPr>
      </xdr:nvSpPr>
      <xdr:spPr bwMode="auto">
        <a:xfrm>
          <a:off x="2609850" y="6486525"/>
          <a:ext cx="7048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歩灯無</a:t>
          </a:r>
        </a:p>
      </xdr:txBody>
    </xdr:sp>
    <xdr:clientData/>
  </xdr:twoCellAnchor>
  <xdr:twoCellAnchor editAs="oneCell">
    <xdr:from>
      <xdr:col>17</xdr:col>
      <xdr:colOff>276225</xdr:colOff>
      <xdr:row>15</xdr:row>
      <xdr:rowOff>476250</xdr:rowOff>
    </xdr:from>
    <xdr:to>
      <xdr:col>20</xdr:col>
      <xdr:colOff>28575</xdr:colOff>
      <xdr:row>15</xdr:row>
      <xdr:rowOff>1171575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200C8813-05BC-4899-93FF-5B73C629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5911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76200</xdr:colOff>
      <xdr:row>15</xdr:row>
      <xdr:rowOff>1200150</xdr:rowOff>
    </xdr:from>
    <xdr:to>
      <xdr:col>7</xdr:col>
      <xdr:colOff>209550</xdr:colOff>
      <xdr:row>15</xdr:row>
      <xdr:rowOff>1295400</xdr:rowOff>
    </xdr:to>
    <xdr:grpSp>
      <xdr:nvGrpSpPr>
        <xdr:cNvPr id="1127" name="Group 103">
          <a:extLst>
            <a:ext uri="{FF2B5EF4-FFF2-40B4-BE49-F238E27FC236}">
              <a16:creationId xmlns:a16="http://schemas.microsoft.com/office/drawing/2014/main" id="{EA4920F5-DBCE-4100-A5CD-ADA54D4F1B5B}"/>
            </a:ext>
          </a:extLst>
        </xdr:cNvPr>
        <xdr:cNvGrpSpPr>
          <a:grpSpLocks/>
        </xdr:cNvGrpSpPr>
      </xdr:nvGrpSpPr>
      <xdr:grpSpPr bwMode="auto">
        <a:xfrm>
          <a:off x="1266825" y="6315075"/>
          <a:ext cx="762000" cy="95250"/>
          <a:chOff x="123" y="549"/>
          <a:chExt cx="77" cy="6"/>
        </a:xfrm>
      </xdr:grpSpPr>
      <xdr:sp macro="" textlink="">
        <xdr:nvSpPr>
          <xdr:cNvPr id="1128" name="Line 104">
            <a:extLst>
              <a:ext uri="{FF2B5EF4-FFF2-40B4-BE49-F238E27FC236}">
                <a16:creationId xmlns:a16="http://schemas.microsoft.com/office/drawing/2014/main" id="{D0473A38-E822-4505-9F8A-91A8533587F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9" name="Freeform 105">
            <a:extLst>
              <a:ext uri="{FF2B5EF4-FFF2-40B4-BE49-F238E27FC236}">
                <a16:creationId xmlns:a16="http://schemas.microsoft.com/office/drawing/2014/main" id="{A8F5EE97-B698-4436-A952-621009568FA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B9B90A95-E92B-4DFD-B8FB-140C9906298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190500</xdr:colOff>
      <xdr:row>15</xdr:row>
      <xdr:rowOff>1114425</xdr:rowOff>
    </xdr:from>
    <xdr:to>
      <xdr:col>8</xdr:col>
      <xdr:colOff>142875</xdr:colOff>
      <xdr:row>15</xdr:row>
      <xdr:rowOff>1381125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25037C2B-D9B8-4C5B-B0B1-15610AEC56E7}"/>
            </a:ext>
          </a:extLst>
        </xdr:cNvPr>
        <xdr:cNvSpPr txBox="1">
          <a:spLocks noChangeArrowheads="1"/>
        </xdr:cNvSpPr>
      </xdr:nvSpPr>
      <xdr:spPr bwMode="auto">
        <a:xfrm>
          <a:off x="1066800" y="6229350"/>
          <a:ext cx="12096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6</xdr:col>
      <xdr:colOff>19050</xdr:colOff>
      <xdr:row>15</xdr:row>
      <xdr:rowOff>1295400</xdr:rowOff>
    </xdr:from>
    <xdr:to>
      <xdr:col>7</xdr:col>
      <xdr:colOff>57150</xdr:colOff>
      <xdr:row>15</xdr:row>
      <xdr:rowOff>1457325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3E08CA40-9FFC-443F-A696-96E53AB3365F}"/>
            </a:ext>
          </a:extLst>
        </xdr:cNvPr>
        <xdr:cNvSpPr txBox="1">
          <a:spLocks noChangeArrowheads="1"/>
        </xdr:cNvSpPr>
      </xdr:nvSpPr>
      <xdr:spPr bwMode="auto">
        <a:xfrm>
          <a:off x="1524000" y="64103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15.8m</a:t>
          </a:r>
        </a:p>
      </xdr:txBody>
    </xdr:sp>
    <xdr:clientData/>
  </xdr:twoCellAnchor>
  <xdr:twoCellAnchor>
    <xdr:from>
      <xdr:col>6</xdr:col>
      <xdr:colOff>219075</xdr:colOff>
      <xdr:row>15</xdr:row>
      <xdr:rowOff>1438275</xdr:rowOff>
    </xdr:from>
    <xdr:to>
      <xdr:col>8</xdr:col>
      <xdr:colOff>228600</xdr:colOff>
      <xdr:row>16</xdr:row>
      <xdr:rowOff>19050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63414B70-719C-4172-98C7-1DD442E7D449}"/>
            </a:ext>
          </a:extLst>
        </xdr:cNvPr>
        <xdr:cNvSpPr txBox="1">
          <a:spLocks noChangeArrowheads="1"/>
        </xdr:cNvSpPr>
      </xdr:nvSpPr>
      <xdr:spPr bwMode="auto">
        <a:xfrm>
          <a:off x="1724025" y="6553200"/>
          <a:ext cx="63817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K37" sqref="K37"/>
    </sheetView>
  </sheetViews>
  <sheetFormatPr defaultRowHeight="12" x14ac:dyDescent="0.15"/>
  <cols>
    <col min="1" max="1" width="7.5" style="58" bestFit="1" customWidth="1"/>
    <col min="2" max="2" width="2.25" style="48" bestFit="1" customWidth="1"/>
    <col min="3" max="3" width="5.25" style="48" bestFit="1" customWidth="1"/>
    <col min="4" max="4" width="2.25" style="49" bestFit="1" customWidth="1"/>
    <col min="5" max="24" width="4.125" style="32" customWidth="1"/>
    <col min="25" max="16384" width="9" style="32"/>
  </cols>
  <sheetData>
    <row r="1" spans="1:30" ht="15" customHeight="1" x14ac:dyDescent="0.15">
      <c r="A1" s="89" t="s">
        <v>0</v>
      </c>
      <c r="B1" s="90"/>
      <c r="C1" s="90"/>
      <c r="D1" s="90"/>
      <c r="E1" s="91"/>
      <c r="F1" s="109" t="s">
        <v>46</v>
      </c>
      <c r="G1" s="110"/>
      <c r="H1" s="113" t="s">
        <v>48</v>
      </c>
      <c r="I1" s="113"/>
      <c r="J1" s="113"/>
      <c r="K1" s="113"/>
      <c r="L1" s="90" t="s">
        <v>49</v>
      </c>
      <c r="M1" s="91"/>
      <c r="N1" s="115" t="s">
        <v>41</v>
      </c>
      <c r="O1" s="91"/>
      <c r="P1" s="116">
        <v>46056</v>
      </c>
      <c r="Q1" s="117"/>
      <c r="R1" s="117"/>
      <c r="S1" s="118"/>
      <c r="T1" s="108" t="s">
        <v>3</v>
      </c>
      <c r="U1" s="108"/>
      <c r="V1" s="108" t="s">
        <v>56</v>
      </c>
      <c r="W1" s="108"/>
      <c r="X1" s="108"/>
    </row>
    <row r="2" spans="1:30" ht="7.5" customHeight="1" x14ac:dyDescent="0.15">
      <c r="A2" s="92"/>
      <c r="B2" s="93"/>
      <c r="C2" s="93"/>
      <c r="D2" s="93"/>
      <c r="E2" s="94"/>
      <c r="F2" s="111"/>
      <c r="G2" s="112"/>
      <c r="H2" s="114"/>
      <c r="I2" s="114"/>
      <c r="J2" s="114"/>
      <c r="K2" s="114"/>
      <c r="L2" s="93"/>
      <c r="M2" s="94"/>
      <c r="N2" s="66"/>
      <c r="O2" s="68"/>
      <c r="P2" s="119"/>
      <c r="Q2" s="120"/>
      <c r="R2" s="120"/>
      <c r="S2" s="121"/>
      <c r="T2" s="89" t="s">
        <v>6</v>
      </c>
      <c r="U2" s="91"/>
      <c r="V2" s="122">
        <v>46023</v>
      </c>
      <c r="W2" s="123"/>
      <c r="X2" s="124"/>
    </row>
    <row r="3" spans="1:30" ht="7.5" customHeight="1" x14ac:dyDescent="0.15">
      <c r="A3" s="66" t="s">
        <v>4</v>
      </c>
      <c r="B3" s="67"/>
      <c r="C3" s="67"/>
      <c r="D3" s="67"/>
      <c r="E3" s="68"/>
      <c r="F3" s="72" t="s">
        <v>47</v>
      </c>
      <c r="G3" s="73"/>
      <c r="H3" s="76" t="s">
        <v>48</v>
      </c>
      <c r="I3" s="76"/>
      <c r="J3" s="76"/>
      <c r="K3" s="76"/>
      <c r="L3" s="78" t="s">
        <v>42</v>
      </c>
      <c r="M3" s="79"/>
      <c r="N3" s="66"/>
      <c r="O3" s="68"/>
      <c r="P3" s="82">
        <v>0.11180555555555556</v>
      </c>
      <c r="Q3" s="83"/>
      <c r="R3" s="83"/>
      <c r="S3" s="128" t="s">
        <v>43</v>
      </c>
      <c r="T3" s="69"/>
      <c r="U3" s="71"/>
      <c r="V3" s="125"/>
      <c r="W3" s="126"/>
      <c r="X3" s="127"/>
    </row>
    <row r="4" spans="1:30" ht="15" customHeight="1" x14ac:dyDescent="0.15">
      <c r="A4" s="69"/>
      <c r="B4" s="70"/>
      <c r="C4" s="70"/>
      <c r="D4" s="70"/>
      <c r="E4" s="71"/>
      <c r="F4" s="74"/>
      <c r="G4" s="75"/>
      <c r="H4" s="77"/>
      <c r="I4" s="77"/>
      <c r="J4" s="77"/>
      <c r="K4" s="77"/>
      <c r="L4" s="80"/>
      <c r="M4" s="81"/>
      <c r="N4" s="69"/>
      <c r="O4" s="71"/>
      <c r="P4" s="84"/>
      <c r="Q4" s="85"/>
      <c r="R4" s="85"/>
      <c r="S4" s="71"/>
      <c r="T4" s="108" t="s">
        <v>44</v>
      </c>
      <c r="U4" s="108"/>
      <c r="V4" s="108" t="s">
        <v>55</v>
      </c>
      <c r="W4" s="108"/>
      <c r="X4" s="108"/>
      <c r="Z4" s="33" t="s">
        <v>45</v>
      </c>
      <c r="AA4" s="34">
        <v>1705</v>
      </c>
    </row>
    <row r="5" spans="1:30" ht="18" customHeight="1" x14ac:dyDescent="0.15">
      <c r="A5" s="106"/>
      <c r="B5" s="107"/>
      <c r="C5" s="107"/>
      <c r="D5" s="107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6"/>
    </row>
    <row r="6" spans="1:30" ht="18" customHeight="1" x14ac:dyDescent="0.15">
      <c r="A6" s="104"/>
      <c r="B6" s="105"/>
      <c r="C6" s="105"/>
      <c r="D6" s="105"/>
      <c r="X6" s="47"/>
    </row>
    <row r="7" spans="1:30" ht="18" customHeight="1" x14ac:dyDescent="0.15">
      <c r="A7" s="104"/>
      <c r="B7" s="105"/>
      <c r="C7" s="105"/>
      <c r="D7" s="105"/>
      <c r="X7" s="47"/>
    </row>
    <row r="8" spans="1:30" ht="18" customHeight="1" x14ac:dyDescent="0.15">
      <c r="A8" s="104"/>
      <c r="B8" s="105"/>
      <c r="C8" s="105"/>
      <c r="D8" s="105"/>
      <c r="X8" s="47"/>
    </row>
    <row r="9" spans="1:30" ht="18" customHeight="1" x14ac:dyDescent="0.15">
      <c r="A9" s="104"/>
      <c r="B9" s="105"/>
      <c r="C9" s="105"/>
      <c r="D9" s="105"/>
      <c r="X9" s="47"/>
    </row>
    <row r="10" spans="1:30" ht="147.75" customHeight="1" x14ac:dyDescent="0.15">
      <c r="A10" s="104"/>
      <c r="B10" s="105"/>
      <c r="C10" s="105"/>
      <c r="D10" s="105"/>
      <c r="X10" s="47"/>
    </row>
    <row r="11" spans="1:30" ht="18" customHeight="1" x14ac:dyDescent="0.15">
      <c r="A11" s="104"/>
      <c r="B11" s="105"/>
      <c r="C11" s="105"/>
      <c r="D11" s="105"/>
      <c r="X11" s="47"/>
    </row>
    <row r="12" spans="1:30" ht="18" customHeight="1" x14ac:dyDescent="0.15">
      <c r="A12" s="104"/>
      <c r="B12" s="105"/>
      <c r="C12" s="105"/>
      <c r="D12" s="105"/>
      <c r="X12" s="47"/>
    </row>
    <row r="13" spans="1:30" ht="18" customHeight="1" x14ac:dyDescent="0.15">
      <c r="A13" s="98"/>
      <c r="B13" s="99"/>
      <c r="C13" s="105"/>
      <c r="D13" s="105"/>
      <c r="E13" s="48"/>
      <c r="F13" s="49"/>
      <c r="G13" s="49"/>
      <c r="H13" s="49"/>
      <c r="I13" s="48"/>
      <c r="X13" s="47"/>
    </row>
    <row r="14" spans="1:30" ht="18" customHeight="1" x14ac:dyDescent="0.15">
      <c r="A14" s="98"/>
      <c r="B14" s="99"/>
      <c r="C14" s="100"/>
      <c r="D14" s="100"/>
      <c r="X14" s="47"/>
      <c r="Z14" s="32">
        <v>50</v>
      </c>
      <c r="AA14" s="32">
        <f>Z14/3.6</f>
        <v>13.888888888888889</v>
      </c>
      <c r="AC14" s="65">
        <v>32.200000000000003</v>
      </c>
      <c r="AD14" s="65">
        <f>AC14/AA14</f>
        <v>2.3184</v>
      </c>
    </row>
    <row r="15" spans="1:30" ht="18" customHeight="1" x14ac:dyDescent="0.15">
      <c r="A15" s="101"/>
      <c r="B15" s="102"/>
      <c r="C15" s="102"/>
      <c r="D15" s="102"/>
      <c r="E15" s="50"/>
      <c r="F15" s="50"/>
      <c r="G15" s="50"/>
      <c r="H15" s="50"/>
      <c r="I15" s="50"/>
      <c r="J15" s="50"/>
      <c r="K15" s="50"/>
      <c r="L15" s="51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3"/>
      <c r="Z15" s="32">
        <v>30</v>
      </c>
      <c r="AA15" s="32">
        <f>Z15/3.6</f>
        <v>8.3333333333333339</v>
      </c>
      <c r="AC15" s="65">
        <v>26.2</v>
      </c>
      <c r="AD15" s="65">
        <f>AC15/AA15</f>
        <v>3.1439999999999997</v>
      </c>
    </row>
    <row r="16" spans="1:30" s="44" customFormat="1" ht="18" customHeight="1" x14ac:dyDescent="0.15">
      <c r="A16" s="103" t="s">
        <v>7</v>
      </c>
      <c r="B16" s="103"/>
      <c r="C16" s="103"/>
      <c r="D16" s="103"/>
      <c r="E16" s="54">
        <v>1</v>
      </c>
      <c r="F16" s="54">
        <v>2</v>
      </c>
      <c r="G16" s="54">
        <v>3</v>
      </c>
      <c r="H16" s="54">
        <v>4</v>
      </c>
      <c r="I16" s="54">
        <v>5</v>
      </c>
      <c r="J16" s="54">
        <v>6</v>
      </c>
      <c r="K16" s="54">
        <v>7</v>
      </c>
      <c r="L16" s="54">
        <v>8</v>
      </c>
      <c r="M16" s="54">
        <v>9</v>
      </c>
      <c r="N16" s="54">
        <v>10</v>
      </c>
      <c r="O16" s="54">
        <v>11</v>
      </c>
      <c r="P16" s="54">
        <v>12</v>
      </c>
      <c r="Q16" s="54">
        <v>13</v>
      </c>
      <c r="R16" s="55">
        <v>14</v>
      </c>
      <c r="S16" s="54">
        <v>15</v>
      </c>
      <c r="T16" s="54">
        <v>16</v>
      </c>
      <c r="U16" s="54">
        <v>17</v>
      </c>
      <c r="V16" s="54">
        <v>18</v>
      </c>
      <c r="W16" s="54">
        <v>19</v>
      </c>
      <c r="X16" s="54">
        <v>20</v>
      </c>
    </row>
    <row r="17" spans="1:25" s="58" customFormat="1" ht="18" customHeight="1" x14ac:dyDescent="0.15">
      <c r="A17" s="103" t="s">
        <v>8</v>
      </c>
      <c r="B17" s="103"/>
      <c r="C17" s="103"/>
      <c r="D17" s="103"/>
      <c r="E17" s="56" t="s">
        <v>9</v>
      </c>
      <c r="F17" s="56" t="s">
        <v>10</v>
      </c>
      <c r="G17" s="56" t="s">
        <v>11</v>
      </c>
      <c r="H17" s="56" t="s">
        <v>12</v>
      </c>
      <c r="I17" s="56" t="s">
        <v>13</v>
      </c>
      <c r="J17" s="56" t="s">
        <v>14</v>
      </c>
      <c r="K17" s="56" t="s">
        <v>15</v>
      </c>
      <c r="L17" s="56" t="s">
        <v>16</v>
      </c>
      <c r="M17" s="56" t="s">
        <v>17</v>
      </c>
      <c r="N17" s="57" t="s">
        <v>18</v>
      </c>
      <c r="O17" s="56"/>
      <c r="P17" s="56"/>
      <c r="Q17" s="56"/>
      <c r="R17" s="57"/>
      <c r="S17" s="56"/>
      <c r="T17" s="56"/>
      <c r="U17" s="56"/>
      <c r="V17" s="56"/>
      <c r="W17" s="56"/>
      <c r="X17" s="56"/>
    </row>
    <row r="18" spans="1:25" s="58" customFormat="1" ht="125.1" customHeight="1" x14ac:dyDescent="0.15">
      <c r="A18" s="86"/>
      <c r="B18" s="87"/>
      <c r="C18" s="87"/>
      <c r="D18" s="88"/>
      <c r="E18" s="59"/>
      <c r="F18" s="60"/>
      <c r="G18" s="60"/>
      <c r="H18" s="60"/>
      <c r="I18" s="57"/>
      <c r="J18" s="60"/>
      <c r="K18" s="60"/>
      <c r="L18" s="60"/>
      <c r="M18" s="60"/>
      <c r="N18" s="57"/>
      <c r="O18" s="59"/>
      <c r="P18" s="60"/>
      <c r="Q18" s="60"/>
      <c r="R18" s="60"/>
      <c r="S18" s="60"/>
      <c r="T18" s="60"/>
      <c r="U18" s="60"/>
      <c r="V18" s="60"/>
      <c r="W18" s="60"/>
      <c r="X18" s="57"/>
      <c r="Y18" s="61"/>
    </row>
    <row r="19" spans="1:25" ht="18" customHeight="1" x14ac:dyDescent="0.15">
      <c r="A19" s="86" t="s">
        <v>53</v>
      </c>
      <c r="B19" s="87"/>
      <c r="C19" s="87" t="s">
        <v>19</v>
      </c>
      <c r="D19" s="88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5" ht="18" customHeight="1" x14ac:dyDescent="0.15">
      <c r="A20" s="86" t="s">
        <v>20</v>
      </c>
      <c r="B20" s="87"/>
      <c r="C20" s="87" t="s">
        <v>21</v>
      </c>
      <c r="D20" s="88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5" ht="18" customHeight="1" x14ac:dyDescent="0.15">
      <c r="A21" s="86" t="s">
        <v>54</v>
      </c>
      <c r="B21" s="87"/>
      <c r="C21" s="87" t="s">
        <v>22</v>
      </c>
      <c r="D21" s="88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5" ht="18" customHeight="1" x14ac:dyDescent="0.15">
      <c r="A22" s="86" t="s">
        <v>23</v>
      </c>
      <c r="B22" s="87"/>
      <c r="C22" s="87" t="s">
        <v>24</v>
      </c>
      <c r="D22" s="88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5" ht="18" customHeight="1" x14ac:dyDescent="0.15">
      <c r="A23" s="86"/>
      <c r="B23" s="87"/>
      <c r="C23" s="87"/>
      <c r="D23" s="88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5" ht="18" customHeight="1" x14ac:dyDescent="0.15">
      <c r="A24" s="86"/>
      <c r="B24" s="87"/>
      <c r="C24" s="87"/>
      <c r="D24" s="88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5" ht="18" customHeight="1" x14ac:dyDescent="0.15">
      <c r="A25" s="95"/>
      <c r="B25" s="96"/>
      <c r="C25" s="96"/>
      <c r="D25" s="9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5" ht="18" customHeight="1" x14ac:dyDescent="0.15">
      <c r="A26" s="95"/>
      <c r="B26" s="96"/>
      <c r="C26" s="96"/>
      <c r="D26" s="9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5" ht="18" customHeight="1" x14ac:dyDescent="0.15">
      <c r="A27" s="95"/>
      <c r="B27" s="96"/>
      <c r="C27" s="96"/>
      <c r="D27" s="9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5" ht="18" customHeight="1" x14ac:dyDescent="0.15">
      <c r="A28" s="95"/>
      <c r="B28" s="96"/>
      <c r="C28" s="96"/>
      <c r="D28" s="9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5" ht="18" customHeight="1" x14ac:dyDescent="0.15">
      <c r="A29" s="95"/>
      <c r="B29" s="96"/>
      <c r="C29" s="96"/>
      <c r="D29" s="9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5" ht="18" customHeight="1" x14ac:dyDescent="0.15">
      <c r="A30" s="95"/>
      <c r="B30" s="96"/>
      <c r="C30" s="96"/>
      <c r="D30" s="97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5" ht="18" customHeight="1" x14ac:dyDescent="0.15">
      <c r="A31" s="95"/>
      <c r="B31" s="96"/>
      <c r="C31" s="96"/>
      <c r="D31" s="97"/>
      <c r="E31" s="40"/>
      <c r="F31" s="40"/>
      <c r="G31" s="62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5" ht="18" customHeight="1" x14ac:dyDescent="0.15">
      <c r="A32" s="95"/>
      <c r="B32" s="96"/>
      <c r="C32" s="96"/>
      <c r="D32" s="97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7" ht="18" customHeight="1" x14ac:dyDescent="0.15">
      <c r="A33" s="35" t="s">
        <v>50</v>
      </c>
      <c r="B33" s="36"/>
      <c r="C33" s="37"/>
      <c r="D33" s="63"/>
      <c r="E33" s="38">
        <v>109</v>
      </c>
      <c r="F33" s="38"/>
      <c r="G33" s="38"/>
      <c r="H33" s="38"/>
      <c r="I33" s="38"/>
      <c r="J33" s="38">
        <v>109</v>
      </c>
      <c r="K33" s="38"/>
      <c r="L33" s="39"/>
      <c r="M33" s="38"/>
      <c r="N33" s="38"/>
      <c r="O33" s="38"/>
      <c r="P33" s="38"/>
      <c r="Q33" s="38"/>
      <c r="R33" s="38"/>
      <c r="S33" s="40"/>
      <c r="T33" s="40"/>
      <c r="U33" s="40"/>
      <c r="V33" s="40"/>
      <c r="W33" s="40"/>
      <c r="X33" s="40"/>
    </row>
    <row r="34" spans="1:27" ht="18" customHeight="1" x14ac:dyDescent="0.15">
      <c r="A34" s="41" t="s">
        <v>51</v>
      </c>
      <c r="B34" s="42" t="s">
        <v>26</v>
      </c>
      <c r="C34" s="43">
        <f>SUM(E34:X34)</f>
        <v>53</v>
      </c>
      <c r="D34" s="64" t="s">
        <v>27</v>
      </c>
      <c r="E34" s="38">
        <v>10</v>
      </c>
      <c r="F34" s="38">
        <v>6</v>
      </c>
      <c r="G34" s="38">
        <v>2</v>
      </c>
      <c r="H34" s="38">
        <v>3</v>
      </c>
      <c r="I34" s="38">
        <v>2</v>
      </c>
      <c r="J34" s="38">
        <v>16</v>
      </c>
      <c r="K34" s="38">
        <v>6</v>
      </c>
      <c r="L34" s="38">
        <v>2</v>
      </c>
      <c r="M34" s="38">
        <v>3</v>
      </c>
      <c r="N34" s="38">
        <v>3</v>
      </c>
      <c r="O34" s="38"/>
      <c r="P34" s="38"/>
      <c r="Q34" s="38"/>
      <c r="R34" s="38"/>
      <c r="S34" s="40"/>
      <c r="T34" s="40"/>
      <c r="U34" s="40"/>
      <c r="V34" s="40"/>
      <c r="W34" s="40"/>
      <c r="X34" s="40"/>
      <c r="Z34" s="44">
        <v>80</v>
      </c>
      <c r="AA34" s="44">
        <f>Z34-INT(Z34/8)-3</f>
        <v>67</v>
      </c>
    </row>
    <row r="35" spans="1:27" ht="18" customHeight="1" x14ac:dyDescent="0.15">
      <c r="A35" s="41" t="s">
        <v>25</v>
      </c>
      <c r="B35" s="42" t="s">
        <v>26</v>
      </c>
      <c r="C35" s="43">
        <f>SUM(E35:X35)</f>
        <v>140</v>
      </c>
      <c r="D35" s="64" t="s">
        <v>27</v>
      </c>
      <c r="E35" s="54">
        <v>88</v>
      </c>
      <c r="F35" s="54">
        <v>6</v>
      </c>
      <c r="G35" s="54">
        <v>2</v>
      </c>
      <c r="H35" s="54">
        <v>3</v>
      </c>
      <c r="I35" s="54">
        <v>2</v>
      </c>
      <c r="J35" s="54">
        <v>25</v>
      </c>
      <c r="K35" s="54">
        <v>6</v>
      </c>
      <c r="L35" s="54">
        <v>2</v>
      </c>
      <c r="M35" s="54">
        <v>3</v>
      </c>
      <c r="N35" s="54">
        <v>3</v>
      </c>
      <c r="O35" s="54"/>
      <c r="P35" s="54"/>
      <c r="Q35" s="54"/>
      <c r="R35" s="54"/>
      <c r="S35" s="54"/>
      <c r="T35" s="54"/>
      <c r="U35" s="54"/>
      <c r="V35" s="54"/>
      <c r="W35" s="54"/>
      <c r="X35" s="54"/>
      <c r="Z35" s="44">
        <v>140</v>
      </c>
      <c r="AA35" s="44">
        <f>Z35-INT(Z35/8)-3</f>
        <v>120</v>
      </c>
    </row>
    <row r="36" spans="1:27" ht="18" customHeight="1" x14ac:dyDescent="0.15">
      <c r="A36" s="86" t="s">
        <v>28</v>
      </c>
      <c r="B36" s="87"/>
      <c r="C36" s="87"/>
      <c r="D36" s="88"/>
      <c r="E36" s="54">
        <v>110</v>
      </c>
      <c r="F36" s="54">
        <v>110</v>
      </c>
      <c r="G36" s="54">
        <v>110</v>
      </c>
      <c r="H36" s="54">
        <v>10</v>
      </c>
      <c r="I36" s="54">
        <v>10</v>
      </c>
      <c r="J36" s="54">
        <v>110</v>
      </c>
      <c r="K36" s="54">
        <v>110</v>
      </c>
      <c r="L36" s="54">
        <v>110</v>
      </c>
      <c r="M36" s="54">
        <v>10</v>
      </c>
      <c r="N36" s="54">
        <v>10</v>
      </c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 spans="1:27" ht="18" customHeight="1" x14ac:dyDescent="0.15">
      <c r="A37" s="86" t="s">
        <v>29</v>
      </c>
      <c r="B37" s="87"/>
      <c r="C37" s="87"/>
      <c r="D37" s="88"/>
      <c r="E37" s="54">
        <v>6</v>
      </c>
      <c r="F37" s="54">
        <v>0.95</v>
      </c>
      <c r="G37" s="54">
        <v>0.95</v>
      </c>
      <c r="H37" s="54">
        <v>0.95</v>
      </c>
      <c r="I37" s="54">
        <v>0.95</v>
      </c>
      <c r="J37" s="54">
        <v>6</v>
      </c>
      <c r="K37" s="54">
        <v>0.95</v>
      </c>
      <c r="L37" s="54">
        <v>0.95</v>
      </c>
      <c r="M37" s="54">
        <v>0.95</v>
      </c>
      <c r="N37" s="54">
        <v>0.95</v>
      </c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 spans="1:27" ht="18" customHeight="1" x14ac:dyDescent="0.15">
      <c r="A38" s="86" t="s">
        <v>30</v>
      </c>
      <c r="B38" s="87"/>
      <c r="C38" s="87"/>
      <c r="D38" s="88"/>
      <c r="E38" s="54" t="s">
        <v>31</v>
      </c>
      <c r="F38" s="54" t="s">
        <v>32</v>
      </c>
      <c r="G38" s="54" t="s">
        <v>32</v>
      </c>
      <c r="H38" s="54" t="s">
        <v>32</v>
      </c>
      <c r="I38" s="54" t="s">
        <v>32</v>
      </c>
      <c r="J38" s="54" t="s">
        <v>32</v>
      </c>
      <c r="K38" s="54" t="s">
        <v>31</v>
      </c>
      <c r="L38" s="54" t="s">
        <v>31</v>
      </c>
      <c r="M38" s="54" t="s">
        <v>31</v>
      </c>
      <c r="N38" s="54" t="s">
        <v>31</v>
      </c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32" t="s">
        <v>52</v>
      </c>
    </row>
  </sheetData>
  <mergeCells count="74">
    <mergeCell ref="V1:X1"/>
    <mergeCell ref="T4:U4"/>
    <mergeCell ref="V4:X4"/>
    <mergeCell ref="F1:G2"/>
    <mergeCell ref="H1:K2"/>
    <mergeCell ref="L1:M2"/>
    <mergeCell ref="T1:U1"/>
    <mergeCell ref="N1:O4"/>
    <mergeCell ref="P1:S2"/>
    <mergeCell ref="T2:U3"/>
    <mergeCell ref="V2:X3"/>
    <mergeCell ref="S3:S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36:D36"/>
    <mergeCell ref="A37:D37"/>
    <mergeCell ref="A38:D38"/>
    <mergeCell ref="A1:E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3:E4"/>
    <mergeCell ref="F3:G4"/>
    <mergeCell ref="H3:K4"/>
    <mergeCell ref="L3:M4"/>
    <mergeCell ref="P3:R4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1"/>
  <dimension ref="A1:Y36"/>
  <sheetViews>
    <sheetView zoomScaleNormal="100" workbookViewId="0">
      <selection sqref="A1:E1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24" width="4.125" style="3" customWidth="1"/>
    <col min="25" max="16384" width="9" style="3"/>
  </cols>
  <sheetData>
    <row r="1" spans="1:25" ht="20.100000000000001" customHeight="1" x14ac:dyDescent="0.15">
      <c r="A1" s="152" t="s">
        <v>0</v>
      </c>
      <c r="B1" s="152"/>
      <c r="C1" s="152"/>
      <c r="D1" s="152"/>
      <c r="E1" s="152"/>
      <c r="F1" s="148" t="s">
        <v>33</v>
      </c>
      <c r="G1" s="149"/>
      <c r="H1" s="150" t="s">
        <v>1</v>
      </c>
      <c r="I1" s="151"/>
      <c r="J1" s="151"/>
      <c r="K1" s="151"/>
      <c r="L1" s="151"/>
      <c r="M1" s="151"/>
      <c r="N1" s="153" t="s">
        <v>2</v>
      </c>
      <c r="O1" s="153"/>
      <c r="P1" s="154">
        <v>38044</v>
      </c>
      <c r="Q1" s="155"/>
      <c r="R1" s="155"/>
      <c r="S1" s="155"/>
      <c r="T1" s="147" t="s">
        <v>3</v>
      </c>
      <c r="U1" s="147"/>
      <c r="V1" s="140" t="s">
        <v>39</v>
      </c>
      <c r="W1" s="140"/>
      <c r="X1" s="140"/>
    </row>
    <row r="2" spans="1:25" ht="20.100000000000001" customHeight="1" x14ac:dyDescent="0.15">
      <c r="A2" s="141" t="s">
        <v>4</v>
      </c>
      <c r="B2" s="141"/>
      <c r="C2" s="141"/>
      <c r="D2" s="141"/>
      <c r="E2" s="141"/>
      <c r="F2" s="142" t="s">
        <v>36</v>
      </c>
      <c r="G2" s="143"/>
      <c r="H2" s="28" t="s">
        <v>1</v>
      </c>
      <c r="I2" s="28"/>
      <c r="J2" s="28"/>
      <c r="K2" s="28"/>
      <c r="L2" s="29" t="s">
        <v>37</v>
      </c>
      <c r="M2" s="30"/>
      <c r="N2" s="141" t="s">
        <v>5</v>
      </c>
      <c r="O2" s="141"/>
      <c r="P2" s="144" t="s">
        <v>40</v>
      </c>
      <c r="Q2" s="145"/>
      <c r="R2" s="146"/>
      <c r="S2" s="31" t="s">
        <v>38</v>
      </c>
      <c r="T2" s="147" t="s">
        <v>6</v>
      </c>
      <c r="U2" s="147"/>
      <c r="V2" s="140">
        <v>2004.1</v>
      </c>
      <c r="W2" s="140"/>
      <c r="X2" s="140"/>
    </row>
    <row r="3" spans="1:25" ht="18" customHeight="1" x14ac:dyDescent="0.15">
      <c r="A3" s="158"/>
      <c r="B3" s="159"/>
      <c r="C3" s="159"/>
      <c r="D3" s="15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29"/>
      <c r="B4" s="130"/>
      <c r="C4" s="130"/>
      <c r="D4" s="130"/>
      <c r="X4" s="9"/>
    </row>
    <row r="5" spans="1:25" ht="18" customHeight="1" x14ac:dyDescent="0.15">
      <c r="A5" s="129"/>
      <c r="B5" s="130"/>
      <c r="C5" s="130"/>
      <c r="D5" s="130"/>
      <c r="X5" s="9"/>
    </row>
    <row r="6" spans="1:25" ht="18" customHeight="1" x14ac:dyDescent="0.15">
      <c r="A6" s="129"/>
      <c r="B6" s="130"/>
      <c r="C6" s="130"/>
      <c r="D6" s="130"/>
      <c r="X6" s="9"/>
    </row>
    <row r="7" spans="1:25" ht="18" customHeight="1" x14ac:dyDescent="0.15">
      <c r="A7" s="129"/>
      <c r="B7" s="130"/>
      <c r="C7" s="130"/>
      <c r="D7" s="130"/>
      <c r="X7" s="9"/>
    </row>
    <row r="8" spans="1:25" ht="147.75" customHeight="1" x14ac:dyDescent="0.15">
      <c r="A8" s="129"/>
      <c r="B8" s="130"/>
      <c r="C8" s="130"/>
      <c r="D8" s="130"/>
      <c r="X8" s="9"/>
    </row>
    <row r="9" spans="1:25" ht="18" customHeight="1" x14ac:dyDescent="0.15">
      <c r="A9" s="129"/>
      <c r="B9" s="130"/>
      <c r="C9" s="130"/>
      <c r="D9" s="130"/>
      <c r="X9" s="9"/>
    </row>
    <row r="10" spans="1:25" ht="18" customHeight="1" x14ac:dyDescent="0.15">
      <c r="A10" s="129"/>
      <c r="B10" s="130"/>
      <c r="C10" s="130"/>
      <c r="D10" s="130"/>
      <c r="X10" s="9"/>
    </row>
    <row r="11" spans="1:25" ht="18" customHeight="1" x14ac:dyDescent="0.15">
      <c r="A11" s="156"/>
      <c r="B11" s="157"/>
      <c r="C11" s="130"/>
      <c r="D11" s="130"/>
      <c r="E11" s="8"/>
      <c r="F11" s="10"/>
      <c r="G11" s="10"/>
      <c r="H11" s="10"/>
      <c r="I11" s="8"/>
      <c r="X11" s="9"/>
    </row>
    <row r="12" spans="1:25" ht="18" customHeight="1" x14ac:dyDescent="0.15">
      <c r="A12" s="156"/>
      <c r="B12" s="157"/>
      <c r="C12" s="160"/>
      <c r="D12" s="160"/>
      <c r="X12" s="9"/>
    </row>
    <row r="13" spans="1:25" ht="18" customHeight="1" x14ac:dyDescent="0.15">
      <c r="A13" s="135"/>
      <c r="B13" s="136"/>
      <c r="C13" s="136"/>
      <c r="D13" s="136"/>
      <c r="E13" s="11"/>
      <c r="F13" s="11"/>
      <c r="G13" s="11"/>
      <c r="H13" s="11"/>
      <c r="I13" s="11"/>
      <c r="J13" s="11"/>
      <c r="K13" s="11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4"/>
    </row>
    <row r="14" spans="1:25" s="15" customFormat="1" ht="18" customHeight="1" x14ac:dyDescent="0.15">
      <c r="A14" s="134" t="s">
        <v>7</v>
      </c>
      <c r="B14" s="134"/>
      <c r="C14" s="134"/>
      <c r="D14" s="13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8" customFormat="1" ht="18" customHeight="1" x14ac:dyDescent="0.15">
      <c r="A15" s="134" t="s">
        <v>8</v>
      </c>
      <c r="B15" s="134"/>
      <c r="C15" s="134"/>
      <c r="D15" s="134"/>
      <c r="E15" s="16" t="s">
        <v>9</v>
      </c>
      <c r="F15" s="16" t="s">
        <v>10</v>
      </c>
      <c r="G15" s="16" t="s">
        <v>11</v>
      </c>
      <c r="H15" s="16" t="s">
        <v>12</v>
      </c>
      <c r="I15" s="16" t="s">
        <v>13</v>
      </c>
      <c r="J15" s="16" t="s">
        <v>14</v>
      </c>
      <c r="K15" s="16" t="s">
        <v>15</v>
      </c>
      <c r="L15" s="16" t="s">
        <v>16</v>
      </c>
      <c r="M15" s="16" t="s">
        <v>17</v>
      </c>
      <c r="N15" s="17" t="s">
        <v>18</v>
      </c>
      <c r="O15" s="16"/>
      <c r="P15" s="16"/>
      <c r="Q15" s="16"/>
      <c r="R15" s="17"/>
      <c r="S15" s="16"/>
      <c r="T15" s="16"/>
      <c r="U15" s="16"/>
      <c r="V15" s="16"/>
      <c r="W15" s="16"/>
      <c r="X15" s="16"/>
    </row>
    <row r="16" spans="1:25" s="18" customFormat="1" ht="125.1" customHeight="1" x14ac:dyDescent="0.15">
      <c r="A16" s="137"/>
      <c r="B16" s="138"/>
      <c r="C16" s="138"/>
      <c r="D16" s="139"/>
      <c r="E16" s="19"/>
      <c r="F16" s="20"/>
      <c r="G16" s="20"/>
      <c r="H16" s="20"/>
      <c r="I16" s="17"/>
      <c r="J16" s="20"/>
      <c r="K16" s="20"/>
      <c r="L16" s="20"/>
      <c r="M16" s="20"/>
      <c r="N16" s="17"/>
      <c r="O16" s="19"/>
      <c r="P16" s="20"/>
      <c r="Q16" s="20"/>
      <c r="R16" s="20"/>
      <c r="S16" s="20"/>
      <c r="T16" s="20"/>
      <c r="U16" s="20"/>
      <c r="V16" s="20"/>
      <c r="W16" s="20"/>
      <c r="X16" s="17"/>
      <c r="Y16" s="21"/>
    </row>
    <row r="17" spans="1:24" ht="18" customHeight="1" x14ac:dyDescent="0.15">
      <c r="A17" s="137" t="s">
        <v>34</v>
      </c>
      <c r="B17" s="138"/>
      <c r="C17" s="138" t="s">
        <v>19</v>
      </c>
      <c r="D17" s="139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8" customHeight="1" x14ac:dyDescent="0.15">
      <c r="A18" s="137" t="s">
        <v>20</v>
      </c>
      <c r="B18" s="138"/>
      <c r="C18" s="138" t="s">
        <v>21</v>
      </c>
      <c r="D18" s="139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" customHeight="1" x14ac:dyDescent="0.15">
      <c r="A19" s="137" t="s">
        <v>35</v>
      </c>
      <c r="B19" s="138"/>
      <c r="C19" s="138" t="s">
        <v>22</v>
      </c>
      <c r="D19" s="139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8" customHeight="1" x14ac:dyDescent="0.15">
      <c r="A20" s="137" t="s">
        <v>23</v>
      </c>
      <c r="B20" s="138"/>
      <c r="C20" s="138" t="s">
        <v>24</v>
      </c>
      <c r="D20" s="139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" customHeight="1" x14ac:dyDescent="0.15">
      <c r="A21" s="137"/>
      <c r="B21" s="138"/>
      <c r="C21" s="138"/>
      <c r="D21" s="139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" customHeight="1" x14ac:dyDescent="0.15">
      <c r="A22" s="137"/>
      <c r="B22" s="138"/>
      <c r="C22" s="138"/>
      <c r="D22" s="139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8" customHeight="1" x14ac:dyDescent="0.15">
      <c r="A23" s="131"/>
      <c r="B23" s="132"/>
      <c r="C23" s="132"/>
      <c r="D23" s="133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8" customHeight="1" x14ac:dyDescent="0.15">
      <c r="A24" s="131"/>
      <c r="B24" s="132"/>
      <c r="C24" s="132"/>
      <c r="D24" s="13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8" customHeight="1" x14ac:dyDescent="0.15">
      <c r="A25" s="131"/>
      <c r="B25" s="132"/>
      <c r="C25" s="132"/>
      <c r="D25" s="133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8" customHeight="1" x14ac:dyDescent="0.15">
      <c r="A26" s="131"/>
      <c r="B26" s="132"/>
      <c r="C26" s="132"/>
      <c r="D26" s="133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8" customHeight="1" x14ac:dyDescent="0.15">
      <c r="A27" s="131"/>
      <c r="B27" s="132"/>
      <c r="C27" s="132"/>
      <c r="D27" s="133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8" customHeight="1" x14ac:dyDescent="0.15">
      <c r="A28" s="131"/>
      <c r="B28" s="132"/>
      <c r="C28" s="132"/>
      <c r="D28" s="133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8" customHeight="1" x14ac:dyDescent="0.15">
      <c r="A29" s="131"/>
      <c r="B29" s="132"/>
      <c r="C29" s="132"/>
      <c r="D29" s="133"/>
      <c r="E29" s="22"/>
      <c r="F29" s="22"/>
      <c r="G29" s="23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8" customHeight="1" x14ac:dyDescent="0.15">
      <c r="A30" s="131"/>
      <c r="B30" s="132"/>
      <c r="C30" s="132"/>
      <c r="D30" s="133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8" customHeight="1" x14ac:dyDescent="0.15">
      <c r="A31" s="131"/>
      <c r="B31" s="132"/>
      <c r="C31" s="132"/>
      <c r="D31" s="133"/>
      <c r="E31" s="22"/>
      <c r="F31" s="22"/>
      <c r="G31" s="22"/>
      <c r="H31" s="1"/>
      <c r="I31" s="1"/>
      <c r="J31" s="22"/>
      <c r="K31" s="22"/>
      <c r="L31" s="22"/>
      <c r="M31" s="1"/>
      <c r="N31" s="1"/>
      <c r="O31" s="2"/>
      <c r="P31" s="2"/>
      <c r="Q31" s="2"/>
      <c r="R31" s="2"/>
      <c r="S31" s="22"/>
      <c r="T31" s="22"/>
      <c r="U31" s="22"/>
      <c r="V31" s="22"/>
      <c r="W31" s="22"/>
      <c r="X31" s="22"/>
    </row>
    <row r="32" spans="1:24" ht="18" customHeight="1" x14ac:dyDescent="0.15">
      <c r="A32" s="131"/>
      <c r="B32" s="132"/>
      <c r="C32" s="132"/>
      <c r="D32" s="133"/>
      <c r="E32" s="1"/>
      <c r="F32" s="1"/>
      <c r="G32" s="1"/>
      <c r="H32" s="1"/>
      <c r="I32" s="1"/>
      <c r="J32" s="1"/>
      <c r="K32" s="1"/>
      <c r="L32" s="1"/>
      <c r="M32" s="1"/>
      <c r="N32" s="22"/>
      <c r="O32" s="2"/>
      <c r="P32" s="2"/>
      <c r="Q32" s="2"/>
      <c r="R32" s="2"/>
      <c r="S32" s="22"/>
      <c r="T32" s="22"/>
      <c r="U32" s="22"/>
      <c r="V32" s="22"/>
      <c r="W32" s="22"/>
      <c r="X32" s="22"/>
    </row>
    <row r="33" spans="1:24" ht="18" customHeight="1" x14ac:dyDescent="0.15">
      <c r="A33" s="24" t="s">
        <v>25</v>
      </c>
      <c r="B33" s="25" t="s">
        <v>26</v>
      </c>
      <c r="C33" s="26">
        <f>SUM(E33:X33)</f>
        <v>150</v>
      </c>
      <c r="D33" s="27" t="s">
        <v>27</v>
      </c>
      <c r="E33" s="1">
        <v>95</v>
      </c>
      <c r="F33" s="1">
        <v>6</v>
      </c>
      <c r="G33" s="1">
        <v>2</v>
      </c>
      <c r="H33" s="1">
        <v>3</v>
      </c>
      <c r="I33" s="1">
        <v>2</v>
      </c>
      <c r="J33" s="1">
        <v>28</v>
      </c>
      <c r="K33" s="1">
        <v>6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61" t="s">
        <v>28</v>
      </c>
      <c r="B34" s="162"/>
      <c r="C34" s="162"/>
      <c r="D34" s="163"/>
      <c r="E34" s="5">
        <v>110</v>
      </c>
      <c r="F34" s="5">
        <v>10</v>
      </c>
      <c r="G34" s="5">
        <v>110</v>
      </c>
      <c r="H34" s="5">
        <v>10</v>
      </c>
      <c r="I34" s="5">
        <v>10</v>
      </c>
      <c r="J34" s="5">
        <v>110</v>
      </c>
      <c r="K34" s="5">
        <v>10</v>
      </c>
      <c r="L34" s="5">
        <v>110</v>
      </c>
      <c r="M34" s="5">
        <v>10</v>
      </c>
      <c r="N34" s="5"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61" t="s">
        <v>29</v>
      </c>
      <c r="B35" s="162"/>
      <c r="C35" s="162"/>
      <c r="D35" s="163"/>
      <c r="E35" s="5">
        <v>8</v>
      </c>
      <c r="F35" s="5">
        <v>0.95</v>
      </c>
      <c r="G35" s="5">
        <v>0.95</v>
      </c>
      <c r="H35" s="5">
        <v>0.95</v>
      </c>
      <c r="I35" s="5">
        <v>0.95</v>
      </c>
      <c r="J35" s="5">
        <v>8</v>
      </c>
      <c r="K35" s="5">
        <v>0.95</v>
      </c>
      <c r="L35" s="5">
        <v>0.95</v>
      </c>
      <c r="M35" s="5">
        <v>0.95</v>
      </c>
      <c r="N35" s="5">
        <v>0.95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61" t="s">
        <v>30</v>
      </c>
      <c r="B36" s="162"/>
      <c r="C36" s="162"/>
      <c r="D36" s="163"/>
      <c r="E36" s="5" t="s">
        <v>31</v>
      </c>
      <c r="F36" s="5" t="s">
        <v>32</v>
      </c>
      <c r="G36" s="5" t="s">
        <v>32</v>
      </c>
      <c r="H36" s="5" t="s">
        <v>32</v>
      </c>
      <c r="I36" s="5" t="s">
        <v>32</v>
      </c>
      <c r="J36" s="5" t="s">
        <v>32</v>
      </c>
      <c r="K36" s="5" t="s">
        <v>31</v>
      </c>
      <c r="L36" s="5" t="s">
        <v>31</v>
      </c>
      <c r="M36" s="5" t="s">
        <v>31</v>
      </c>
      <c r="N36" s="5" t="s">
        <v>31</v>
      </c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73">
    <mergeCell ref="A36:D36"/>
    <mergeCell ref="C25:D25"/>
    <mergeCell ref="A26:B26"/>
    <mergeCell ref="C26:D26"/>
    <mergeCell ref="A27:B27"/>
    <mergeCell ref="C29:D29"/>
    <mergeCell ref="A25:B25"/>
    <mergeCell ref="A34:D34"/>
    <mergeCell ref="A35:D35"/>
    <mergeCell ref="A30:B30"/>
    <mergeCell ref="C30:D30"/>
    <mergeCell ref="A28:B28"/>
    <mergeCell ref="C28:D28"/>
    <mergeCell ref="A29:B29"/>
    <mergeCell ref="C23:D23"/>
    <mergeCell ref="A24:B24"/>
    <mergeCell ref="C24:D24"/>
    <mergeCell ref="A23:B23"/>
    <mergeCell ref="C27:D27"/>
    <mergeCell ref="C18:D18"/>
    <mergeCell ref="A20:B20"/>
    <mergeCell ref="C20:D20"/>
    <mergeCell ref="A19:B19"/>
    <mergeCell ref="C19:D19"/>
    <mergeCell ref="A18:B18"/>
    <mergeCell ref="N1:O1"/>
    <mergeCell ref="P1:S1"/>
    <mergeCell ref="C5:D5"/>
    <mergeCell ref="C13:D13"/>
    <mergeCell ref="A16:D16"/>
    <mergeCell ref="C8:D8"/>
    <mergeCell ref="A6:B6"/>
    <mergeCell ref="C6:D6"/>
    <mergeCell ref="A15:D15"/>
    <mergeCell ref="A11:B11"/>
    <mergeCell ref="A12:B12"/>
    <mergeCell ref="A3:B3"/>
    <mergeCell ref="C3:D3"/>
    <mergeCell ref="A4:B4"/>
    <mergeCell ref="C4:D4"/>
    <mergeCell ref="C12:D12"/>
    <mergeCell ref="C11:D11"/>
    <mergeCell ref="A32:B32"/>
    <mergeCell ref="C32:D32"/>
    <mergeCell ref="V1:X1"/>
    <mergeCell ref="A2:E2"/>
    <mergeCell ref="F2:G2"/>
    <mergeCell ref="N2:O2"/>
    <mergeCell ref="P2:R2"/>
    <mergeCell ref="T2:U2"/>
    <mergeCell ref="V2:X2"/>
    <mergeCell ref="F1:G1"/>
    <mergeCell ref="T1:U1"/>
    <mergeCell ref="A9:B9"/>
    <mergeCell ref="H1:M1"/>
    <mergeCell ref="C9:D9"/>
    <mergeCell ref="A1:E1"/>
    <mergeCell ref="A5:B5"/>
    <mergeCell ref="A31:B31"/>
    <mergeCell ref="C31:D31"/>
    <mergeCell ref="A7:B7"/>
    <mergeCell ref="C7:D7"/>
    <mergeCell ref="A8:B8"/>
    <mergeCell ref="A10:B10"/>
    <mergeCell ref="C10:D10"/>
    <mergeCell ref="A14:D14"/>
    <mergeCell ref="A13:B13"/>
    <mergeCell ref="A17:B17"/>
    <mergeCell ref="C17:D17"/>
    <mergeCell ref="A21:B21"/>
    <mergeCell ref="C21:D21"/>
    <mergeCell ref="A22:B22"/>
    <mergeCell ref="C22:D22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2026-02-03</vt:lpstr>
      <vt:lpstr>430166</vt:lpstr>
      <vt:lpstr>'2026-02-03'!Print_Area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2025-06-09T03:58:44Z</cp:lastPrinted>
  <dcterms:created xsi:type="dcterms:W3CDTF">2003-04-03T02:20:40Z</dcterms:created>
  <dcterms:modified xsi:type="dcterms:W3CDTF">2026-02-21T14:07:25Z</dcterms:modified>
</cp:coreProperties>
</file>