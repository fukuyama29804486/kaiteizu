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DC4EEE06-462B-4F6D-A1D7-E06EF7F3B7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3" sheetId="2" r:id="rId1"/>
    <sheet name="250093" sheetId="1" r:id="rId2"/>
  </sheets>
  <definedNames>
    <definedName name="_xlnm.Print_Area" localSheetId="0">'2026-02-13'!$A$1:$X$38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2" l="1"/>
  <c r="AD15" i="2" s="1"/>
  <c r="AA14" i="2"/>
  <c r="AD14" i="2" s="1"/>
  <c r="AA35" i="2"/>
  <c r="AA34" i="2"/>
  <c r="C34" i="2"/>
  <c r="C35" i="2"/>
  <c r="C33" i="1"/>
</calcChain>
</file>

<file path=xl/sharedStrings.xml><?xml version="1.0" encoding="utf-8"?>
<sst xmlns="http://schemas.openxmlformats.org/spreadsheetml/2006/main" count="104" uniqueCount="61">
  <si>
    <t>規制番号　名称</t>
    <rPh sb="0" eb="2">
      <t>キセイ</t>
    </rPh>
    <rPh sb="2" eb="4">
      <t>バンゴウ</t>
    </rPh>
    <rPh sb="5" eb="7">
      <t>メイショウ</t>
    </rPh>
    <phoneticPr fontId="1"/>
  </si>
  <si>
    <t>明神橋（東）</t>
    <rPh sb="0" eb="2">
      <t>ミョウジン</t>
    </rPh>
    <rPh sb="2" eb="3">
      <t>バシ</t>
    </rPh>
    <rPh sb="4" eb="5">
      <t>ヒガシ</t>
    </rPh>
    <phoneticPr fontId="1"/>
  </si>
  <si>
    <t>運　用</t>
    <rPh sb="0" eb="1">
      <t>ウン</t>
    </rPh>
    <rPh sb="2" eb="3">
      <t>ヨウ</t>
    </rPh>
    <phoneticPr fontId="1"/>
  </si>
  <si>
    <t>H.13年10月30日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</si>
  <si>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</si>
  <si>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</si>
  <si>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</si>
  <si>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</si>
  <si>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</si>
  <si>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平成13年 9月</t>
    <rPh sb="0" eb="2">
      <t>ヘイセイ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</si>
  <si>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</si>
  <si>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</si>
  <si>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</si>
  <si>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</si>
  <si>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</si>
  <si>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</si>
  <si>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保安秒時</t>
    <rPh sb="0" eb="2">
      <t>ホアン</t>
    </rPh>
    <rPh sb="2" eb="4">
      <t>ビョウジ</t>
    </rPh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</si>
  <si>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</si>
  <si>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</si>
  <si>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</si>
  <si>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 xml:space="preserve">2-0093 </t>
    <phoneticPr fontId="1"/>
  </si>
  <si>
    <t>1B0934</t>
    <phoneticPr fontId="1"/>
  </si>
  <si>
    <t xml:space="preserve">250093 </t>
    <phoneticPr fontId="1"/>
  </si>
  <si>
    <t>明神橋（東）</t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</si>
  <si>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</si>
  <si>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</si>
  <si>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</si>
  <si>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</si>
  <si>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</si>
  <si>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</si>
  <si>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</si>
  <si>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</si>
  <si>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</si>
  <si>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</si>
  <si>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>　１Ｐ</t>
    <phoneticPr fontId="1"/>
  </si>
  <si>
    <t>[ 1P ]</t>
    <phoneticPr fontId="1"/>
  </si>
  <si>
    <t>１</t>
    <phoneticPr fontId="1"/>
  </si>
  <si>
    <t>[ 1V ]</t>
    <phoneticPr fontId="1"/>
  </si>
  <si>
    <t>　２Ｐ</t>
    <phoneticPr fontId="1"/>
  </si>
  <si>
    <t>[ 2P ]</t>
    <phoneticPr fontId="1"/>
  </si>
  <si>
    <t>２</t>
    <phoneticPr fontId="1"/>
  </si>
  <si>
    <t>[ 2V ]</t>
    <phoneticPr fontId="1"/>
  </si>
  <si>
    <t>○</t>
    <phoneticPr fontId="1"/>
  </si>
  <si>
    <t>(</t>
    <phoneticPr fontId="1"/>
  </si>
  <si>
    <t>)</t>
    <phoneticPr fontId="1"/>
  </si>
  <si>
    <t>A</t>
    <phoneticPr fontId="1"/>
  </si>
  <si>
    <t>B</t>
    <phoneticPr fontId="1"/>
  </si>
  <si>
    <t>（ＵＣ形）</t>
    <rPh sb="3" eb="4">
      <t>カタチ</t>
    </rPh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</si>
  <si>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</si>
  <si>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</si>
  <si>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メーカー</t>
    <phoneticPr fontId="1"/>
  </si>
  <si>
    <t>Int№：</t>
    <phoneticPr fontId="1"/>
  </si>
  <si>
    <t>ＰＵ</t>
    <phoneticPr fontId="1"/>
  </si>
  <si>
    <t>ＰＬ</t>
    <phoneticPr fontId="1"/>
  </si>
  <si>
    <t>02-0093</t>
    <phoneticPr fontId="1"/>
  </si>
  <si>
    <t>20093</t>
    <phoneticPr fontId="1"/>
  </si>
  <si>
    <t>(S9-TCU)</t>
    <phoneticPr fontId="1"/>
  </si>
  <si>
    <t>１Ｐ</t>
    <phoneticPr fontId="1"/>
  </si>
  <si>
    <t>２Ｐ</t>
    <phoneticPr fontId="1"/>
  </si>
  <si>
    <t>日本信号</t>
    <rPh sb="0" eb="4">
      <t>ニホンシンゴウ</t>
    </rPh>
    <phoneticPr fontId="1"/>
  </si>
  <si>
    <t>K0000009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</si>
</sst>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right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left" vertical="center"/>
    </xf>
    <xf numFmtId="177" fontId="10" fillId="0" borderId="9" xfId="0" applyNumberFormat="1" applyFont="1" applyBorder="1" applyAlignment="1">
      <alignment horizontal="center" vertical="center"/>
    </xf>
    <xf numFmtId="176" fontId="10" fillId="0" borderId="7" xfId="0" applyNumberFormat="1" applyFont="1" applyBorder="1" applyAlignment="1">
      <alignment horizontal="left" vertical="center"/>
    </xf>
    <xf numFmtId="0" fontId="9" fillId="0" borderId="0" xfId="0" quotePrefix="1" applyFont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right" vertical="center"/>
    </xf>
    <xf numFmtId="181" fontId="9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78" fontId="9" fillId="0" borderId="10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178" fontId="9" fillId="0" borderId="20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8" fontId="9" fillId="0" borderId="2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9" fontId="9" fillId="0" borderId="10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11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9" fillId="0" borderId="12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12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9" fillId="0" borderId="11" xfId="0" applyNumberFormat="1" applyFont="1" applyBorder="1" applyAlignment="1">
      <alignment horizontal="right" vertical="center"/>
    </xf>
    <xf numFmtId="49" fontId="9" fillId="0" borderId="6" xfId="0" applyNumberFormat="1" applyFont="1" applyBorder="1" applyAlignment="1">
      <alignment horizontal="right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vertical="center"/>
    </xf>
    <xf numFmtId="49" fontId="10" fillId="0" borderId="9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9" fillId="0" borderId="10" xfId="0" quotePrefix="1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24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0" fontId="9" fillId="0" borderId="23" xfId="0" applyNumberFormat="1" applyFont="1" applyBorder="1" applyAlignment="1">
      <alignment horizontal="center" vertical="center"/>
    </xf>
    <xf numFmtId="180" fontId="9" fillId="0" borderId="24" xfId="0" applyNumberFormat="1" applyFont="1" applyBorder="1" applyAlignment="1">
      <alignment horizontal="center" vertical="center"/>
    </xf>
    <xf numFmtId="180" fontId="9" fillId="0" borderId="11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right" vertical="center"/>
    </xf>
    <xf numFmtId="49" fontId="2" fillId="0" borderId="14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32" fontId="2" fillId="0" borderId="19" xfId="0" applyNumberFormat="1" applyFont="1" applyBorder="1" applyAlignment="1">
      <alignment horizontal="right" vertical="center"/>
    </xf>
    <xf numFmtId="0" fontId="2" fillId="0" borderId="19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447674</xdr:colOff>
      <xdr:row>4</xdr:row>
      <xdr:rowOff>133350</xdr:rowOff>
    </xdr:from>
    <xdr:to>
      <xdr:col>22</xdr:col>
      <xdr:colOff>247650</xdr:colOff>
      <xdr:row>14</xdr:row>
      <xdr:rowOff>79765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51FC25E6-6A85-421B-8018-346EFB14296B}"/>
            </a:ext>
          </a:extLst>
        </xdr:cNvPr>
        <xdr:cNvGrpSpPr>
          <a:grpSpLocks noChangeAspect="1"/>
        </xdr:cNvGrpSpPr>
      </xdr:nvGrpSpPr>
      <xdr:grpSpPr>
        <a:xfrm>
          <a:off x="447674" y="704850"/>
          <a:ext cx="6772276" cy="3880240"/>
          <a:chOff x="7858124" y="1514475"/>
          <a:chExt cx="11552382" cy="6619048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D7AB3E87-FC97-49D6-900B-4920F9D5B1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858125" y="1514475"/>
            <a:ext cx="11552381" cy="6619048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B3FAEC2E-874A-4D69-B91E-27661B168351}"/>
              </a:ext>
            </a:extLst>
          </xdr:cNvPr>
          <xdr:cNvSpPr/>
        </xdr:nvSpPr>
        <xdr:spPr bwMode="auto">
          <a:xfrm>
            <a:off x="7858124" y="1514475"/>
            <a:ext cx="2962275" cy="7143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5C5574E-F8A6-4B4D-AEA1-7D243C2D3206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2150" name="Line 11">
          <a:extLst>
            <a:ext uri="{FF2B5EF4-FFF2-40B4-BE49-F238E27FC236}">
              <a16:creationId xmlns:a16="http://schemas.microsoft.com/office/drawing/2014/main" id="{E27FB0B4-C958-4DF5-A39C-247D6678C23A}"/>
            </a:ext>
          </a:extLst>
        </xdr:cNvPr>
        <xdr:cNvSpPr>
          <a:spLocks noChangeShapeType="1"/>
        </xdr:cNvSpPr>
      </xdr:nvSpPr>
      <xdr:spPr bwMode="auto">
        <a:xfrm>
          <a:off x="1314450" y="68865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38100</xdr:rowOff>
    </xdr:from>
    <xdr:to>
      <xdr:col>7</xdr:col>
      <xdr:colOff>304800</xdr:colOff>
      <xdr:row>19</xdr:row>
      <xdr:rowOff>180975</xdr:rowOff>
    </xdr:to>
    <xdr:sp macro="" textlink="">
      <xdr:nvSpPr>
        <xdr:cNvPr id="2151" name="Freeform 12">
          <a:extLst>
            <a:ext uri="{FF2B5EF4-FFF2-40B4-BE49-F238E27FC236}">
              <a16:creationId xmlns:a16="http://schemas.microsoft.com/office/drawing/2014/main" id="{D53C93C5-BB0E-4124-B83C-C31EC58D9DC3}"/>
            </a:ext>
          </a:extLst>
        </xdr:cNvPr>
        <xdr:cNvSpPr>
          <a:spLocks/>
        </xdr:cNvSpPr>
      </xdr:nvSpPr>
      <xdr:spPr bwMode="auto">
        <a:xfrm>
          <a:off x="2266950" y="703897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2152" name="Group 13">
          <a:extLst>
            <a:ext uri="{FF2B5EF4-FFF2-40B4-BE49-F238E27FC236}">
              <a16:creationId xmlns:a16="http://schemas.microsoft.com/office/drawing/2014/main" id="{C60B20E6-F1E0-4E8B-AA1D-E6BF3C0CBCA4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2245" name="Line 14">
            <a:extLst>
              <a:ext uri="{FF2B5EF4-FFF2-40B4-BE49-F238E27FC236}">
                <a16:creationId xmlns:a16="http://schemas.microsoft.com/office/drawing/2014/main" id="{2CF7946E-AD60-46D3-8D86-4836F4EE9C3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46" name="Line 15">
            <a:extLst>
              <a:ext uri="{FF2B5EF4-FFF2-40B4-BE49-F238E27FC236}">
                <a16:creationId xmlns:a16="http://schemas.microsoft.com/office/drawing/2014/main" id="{1CA068C5-C243-48D1-8381-72E4B3A1D6F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47" name="Line 16">
            <a:extLst>
              <a:ext uri="{FF2B5EF4-FFF2-40B4-BE49-F238E27FC236}">
                <a16:creationId xmlns:a16="http://schemas.microsoft.com/office/drawing/2014/main" id="{6210E6A1-4638-42BA-8070-4863B3B5402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48" name="Line 17">
            <a:extLst>
              <a:ext uri="{FF2B5EF4-FFF2-40B4-BE49-F238E27FC236}">
                <a16:creationId xmlns:a16="http://schemas.microsoft.com/office/drawing/2014/main" id="{D3EB410D-D4CA-49C6-91C3-8B17E469909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2153" name="Group 18">
          <a:extLst>
            <a:ext uri="{FF2B5EF4-FFF2-40B4-BE49-F238E27FC236}">
              <a16:creationId xmlns:a16="http://schemas.microsoft.com/office/drawing/2014/main" id="{9F41FB9A-5521-4BC9-8D61-6449F321F2D4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2243" name="Line 19">
            <a:extLst>
              <a:ext uri="{FF2B5EF4-FFF2-40B4-BE49-F238E27FC236}">
                <a16:creationId xmlns:a16="http://schemas.microsoft.com/office/drawing/2014/main" id="{838144CA-9DEF-487E-805B-8B3E17B4CEA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44" name="Line 20">
            <a:extLst>
              <a:ext uri="{FF2B5EF4-FFF2-40B4-BE49-F238E27FC236}">
                <a16:creationId xmlns:a16="http://schemas.microsoft.com/office/drawing/2014/main" id="{E972116F-C9FF-4362-9F10-4EEA1B0D388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2154" name="Line 21">
          <a:extLst>
            <a:ext uri="{FF2B5EF4-FFF2-40B4-BE49-F238E27FC236}">
              <a16:creationId xmlns:a16="http://schemas.microsoft.com/office/drawing/2014/main" id="{89034342-A0C5-4740-98F0-2679C72EBD41}"/>
            </a:ext>
          </a:extLst>
        </xdr:cNvPr>
        <xdr:cNvSpPr>
          <a:spLocks noChangeShapeType="1"/>
        </xdr:cNvSpPr>
      </xdr:nvSpPr>
      <xdr:spPr bwMode="auto">
        <a:xfrm>
          <a:off x="1314450" y="71151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19</xdr:row>
      <xdr:rowOff>95250</xdr:rowOff>
    </xdr:from>
    <xdr:to>
      <xdr:col>14</xdr:col>
      <xdr:colOff>9525</xdr:colOff>
      <xdr:row>19</xdr:row>
      <xdr:rowOff>142875</xdr:rowOff>
    </xdr:to>
    <xdr:grpSp>
      <xdr:nvGrpSpPr>
        <xdr:cNvPr id="2155" name="Group 22">
          <a:extLst>
            <a:ext uri="{FF2B5EF4-FFF2-40B4-BE49-F238E27FC236}">
              <a16:creationId xmlns:a16="http://schemas.microsoft.com/office/drawing/2014/main" id="{B7EFAE6F-FA04-4160-8FFE-99FAE2E585E9}"/>
            </a:ext>
          </a:extLst>
        </xdr:cNvPr>
        <xdr:cNvGrpSpPr>
          <a:grpSpLocks/>
        </xdr:cNvGrpSpPr>
      </xdr:nvGrpSpPr>
      <xdr:grpSpPr bwMode="auto">
        <a:xfrm>
          <a:off x="2581275" y="7096125"/>
          <a:ext cx="1885950" cy="47625"/>
          <a:chOff x="158" y="715"/>
          <a:chExt cx="33" cy="5"/>
        </a:xfrm>
      </xdr:grpSpPr>
      <xdr:sp macro="" textlink="">
        <xdr:nvSpPr>
          <xdr:cNvPr id="2241" name="Line 23">
            <a:extLst>
              <a:ext uri="{FF2B5EF4-FFF2-40B4-BE49-F238E27FC236}">
                <a16:creationId xmlns:a16="http://schemas.microsoft.com/office/drawing/2014/main" id="{2A8CFFA5-FAF7-41CC-98EE-E8DE3C25B1D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42" name="Line 24">
            <a:extLst>
              <a:ext uri="{FF2B5EF4-FFF2-40B4-BE49-F238E27FC236}">
                <a16:creationId xmlns:a16="http://schemas.microsoft.com/office/drawing/2014/main" id="{4D33ECD8-AAF5-4A95-AAB9-2AD646FD91E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21</xdr:row>
      <xdr:rowOff>28575</xdr:rowOff>
    </xdr:from>
    <xdr:to>
      <xdr:col>13</xdr:col>
      <xdr:colOff>0</xdr:colOff>
      <xdr:row>21</xdr:row>
      <xdr:rowOff>171450</xdr:rowOff>
    </xdr:to>
    <xdr:sp macro="" textlink="">
      <xdr:nvSpPr>
        <xdr:cNvPr id="2156" name="Freeform 64">
          <a:extLst>
            <a:ext uri="{FF2B5EF4-FFF2-40B4-BE49-F238E27FC236}">
              <a16:creationId xmlns:a16="http://schemas.microsoft.com/office/drawing/2014/main" id="{B7B79115-6661-4057-90C2-385B94666DD6}"/>
            </a:ext>
          </a:extLst>
        </xdr:cNvPr>
        <xdr:cNvSpPr>
          <a:spLocks/>
        </xdr:cNvSpPr>
      </xdr:nvSpPr>
      <xdr:spPr bwMode="auto">
        <a:xfrm>
          <a:off x="3848100" y="748665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20</xdr:row>
      <xdr:rowOff>28575</xdr:rowOff>
    </xdr:from>
    <xdr:to>
      <xdr:col>10</xdr:col>
      <xdr:colOff>276225</xdr:colOff>
      <xdr:row>20</xdr:row>
      <xdr:rowOff>180975</xdr:rowOff>
    </xdr:to>
    <xdr:grpSp>
      <xdr:nvGrpSpPr>
        <xdr:cNvPr id="2157" name="Group 65">
          <a:extLst>
            <a:ext uri="{FF2B5EF4-FFF2-40B4-BE49-F238E27FC236}">
              <a16:creationId xmlns:a16="http://schemas.microsoft.com/office/drawing/2014/main" id="{15E5A9B1-4732-454F-8E12-8A3C9F2EFDAB}"/>
            </a:ext>
          </a:extLst>
        </xdr:cNvPr>
        <xdr:cNvGrpSpPr>
          <a:grpSpLocks/>
        </xdr:cNvGrpSpPr>
      </xdr:nvGrpSpPr>
      <xdr:grpSpPr bwMode="auto">
        <a:xfrm>
          <a:off x="3257550" y="7258050"/>
          <a:ext cx="219075" cy="152400"/>
          <a:chOff x="132" y="708"/>
          <a:chExt cx="20" cy="14"/>
        </a:xfrm>
      </xdr:grpSpPr>
      <xdr:sp macro="" textlink="">
        <xdr:nvSpPr>
          <xdr:cNvPr id="2237" name="Line 66">
            <a:extLst>
              <a:ext uri="{FF2B5EF4-FFF2-40B4-BE49-F238E27FC236}">
                <a16:creationId xmlns:a16="http://schemas.microsoft.com/office/drawing/2014/main" id="{FE58655E-00A0-426B-94C0-4131C23EEA0D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8" name="Line 67">
            <a:extLst>
              <a:ext uri="{FF2B5EF4-FFF2-40B4-BE49-F238E27FC236}">
                <a16:creationId xmlns:a16="http://schemas.microsoft.com/office/drawing/2014/main" id="{B1E34B3C-DC4E-4E09-8988-1C0517F3D2D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9" name="Line 68">
            <a:extLst>
              <a:ext uri="{FF2B5EF4-FFF2-40B4-BE49-F238E27FC236}">
                <a16:creationId xmlns:a16="http://schemas.microsoft.com/office/drawing/2014/main" id="{730CE593-B9E2-4580-A273-57C844E65D5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40" name="Line 69">
            <a:extLst>
              <a:ext uri="{FF2B5EF4-FFF2-40B4-BE49-F238E27FC236}">
                <a16:creationId xmlns:a16="http://schemas.microsoft.com/office/drawing/2014/main" id="{1DFA2265-6901-4C32-89CF-AE16DED4F25B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20</xdr:row>
      <xdr:rowOff>85725</xdr:rowOff>
    </xdr:from>
    <xdr:to>
      <xdr:col>14</xdr:col>
      <xdr:colOff>0</xdr:colOff>
      <xdr:row>20</xdr:row>
      <xdr:rowOff>133350</xdr:rowOff>
    </xdr:to>
    <xdr:grpSp>
      <xdr:nvGrpSpPr>
        <xdr:cNvPr id="2158" name="Group 70">
          <a:extLst>
            <a:ext uri="{FF2B5EF4-FFF2-40B4-BE49-F238E27FC236}">
              <a16:creationId xmlns:a16="http://schemas.microsoft.com/office/drawing/2014/main" id="{926C5A62-007A-4D04-85CE-5DC471839636}"/>
            </a:ext>
          </a:extLst>
        </xdr:cNvPr>
        <xdr:cNvGrpSpPr>
          <a:grpSpLocks/>
        </xdr:cNvGrpSpPr>
      </xdr:nvGrpSpPr>
      <xdr:grpSpPr bwMode="auto">
        <a:xfrm>
          <a:off x="3524250" y="7315200"/>
          <a:ext cx="933450" cy="47625"/>
          <a:chOff x="158" y="715"/>
          <a:chExt cx="33" cy="5"/>
        </a:xfrm>
      </xdr:grpSpPr>
      <xdr:sp macro="" textlink="">
        <xdr:nvSpPr>
          <xdr:cNvPr id="2235" name="Line 71">
            <a:extLst>
              <a:ext uri="{FF2B5EF4-FFF2-40B4-BE49-F238E27FC236}">
                <a16:creationId xmlns:a16="http://schemas.microsoft.com/office/drawing/2014/main" id="{3EFAE229-0B75-42DE-B790-2E1A6A1824A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6" name="Line 72">
            <a:extLst>
              <a:ext uri="{FF2B5EF4-FFF2-40B4-BE49-F238E27FC236}">
                <a16:creationId xmlns:a16="http://schemas.microsoft.com/office/drawing/2014/main" id="{9F62342C-7526-44DD-BFB6-D59C812A5A4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85725</xdr:rowOff>
    </xdr:from>
    <xdr:to>
      <xdr:col>14</xdr:col>
      <xdr:colOff>9525</xdr:colOff>
      <xdr:row>21</xdr:row>
      <xdr:rowOff>133350</xdr:rowOff>
    </xdr:to>
    <xdr:grpSp>
      <xdr:nvGrpSpPr>
        <xdr:cNvPr id="2159" name="Group 73">
          <a:extLst>
            <a:ext uri="{FF2B5EF4-FFF2-40B4-BE49-F238E27FC236}">
              <a16:creationId xmlns:a16="http://schemas.microsoft.com/office/drawing/2014/main" id="{9AE2D5C1-2A9E-4756-B451-9CA8763E72B9}"/>
            </a:ext>
          </a:extLst>
        </xdr:cNvPr>
        <xdr:cNvGrpSpPr>
          <a:grpSpLocks/>
        </xdr:cNvGrpSpPr>
      </xdr:nvGrpSpPr>
      <xdr:grpSpPr bwMode="auto">
        <a:xfrm>
          <a:off x="4152900" y="7543800"/>
          <a:ext cx="314325" cy="47625"/>
          <a:chOff x="158" y="715"/>
          <a:chExt cx="33" cy="5"/>
        </a:xfrm>
      </xdr:grpSpPr>
      <xdr:sp macro="" textlink="">
        <xdr:nvSpPr>
          <xdr:cNvPr id="2233" name="Line 74">
            <a:extLst>
              <a:ext uri="{FF2B5EF4-FFF2-40B4-BE49-F238E27FC236}">
                <a16:creationId xmlns:a16="http://schemas.microsoft.com/office/drawing/2014/main" id="{034618BA-113B-46E5-B2E3-23CFF317EA0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4" name="Line 75">
            <a:extLst>
              <a:ext uri="{FF2B5EF4-FFF2-40B4-BE49-F238E27FC236}">
                <a16:creationId xmlns:a16="http://schemas.microsoft.com/office/drawing/2014/main" id="{4790D72F-9124-495E-8443-8AF8DE8B012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85725</xdr:rowOff>
    </xdr:from>
    <xdr:to>
      <xdr:col>9</xdr:col>
      <xdr:colOff>9525</xdr:colOff>
      <xdr:row>20</xdr:row>
      <xdr:rowOff>133350</xdr:rowOff>
    </xdr:to>
    <xdr:grpSp>
      <xdr:nvGrpSpPr>
        <xdr:cNvPr id="2160" name="Group 76">
          <a:extLst>
            <a:ext uri="{FF2B5EF4-FFF2-40B4-BE49-F238E27FC236}">
              <a16:creationId xmlns:a16="http://schemas.microsoft.com/office/drawing/2014/main" id="{641877D5-BBEB-42ED-BB75-DC68BE9A3633}"/>
            </a:ext>
          </a:extLst>
        </xdr:cNvPr>
        <xdr:cNvGrpSpPr>
          <a:grpSpLocks/>
        </xdr:cNvGrpSpPr>
      </xdr:nvGrpSpPr>
      <xdr:grpSpPr bwMode="auto">
        <a:xfrm>
          <a:off x="1323975" y="7315200"/>
          <a:ext cx="1571625" cy="47625"/>
          <a:chOff x="158" y="715"/>
          <a:chExt cx="33" cy="5"/>
        </a:xfrm>
      </xdr:grpSpPr>
      <xdr:sp macro="" textlink="">
        <xdr:nvSpPr>
          <xdr:cNvPr id="2231" name="Line 77">
            <a:extLst>
              <a:ext uri="{FF2B5EF4-FFF2-40B4-BE49-F238E27FC236}">
                <a16:creationId xmlns:a16="http://schemas.microsoft.com/office/drawing/2014/main" id="{44BE5D24-277A-4743-92FB-E0553625E63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2" name="Line 78">
            <a:extLst>
              <a:ext uri="{FF2B5EF4-FFF2-40B4-BE49-F238E27FC236}">
                <a16:creationId xmlns:a16="http://schemas.microsoft.com/office/drawing/2014/main" id="{7A3293C3-BE65-429E-AAAE-E4855EA223F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20</xdr:row>
      <xdr:rowOff>114300</xdr:rowOff>
    </xdr:from>
    <xdr:to>
      <xdr:col>10</xdr:col>
      <xdr:colOff>9525</xdr:colOff>
      <xdr:row>20</xdr:row>
      <xdr:rowOff>114300</xdr:rowOff>
    </xdr:to>
    <xdr:sp macro="" textlink="">
      <xdr:nvSpPr>
        <xdr:cNvPr id="2161" name="Line 79">
          <a:extLst>
            <a:ext uri="{FF2B5EF4-FFF2-40B4-BE49-F238E27FC236}">
              <a16:creationId xmlns:a16="http://schemas.microsoft.com/office/drawing/2014/main" id="{FBD7E3EB-AFF2-4954-A151-9C4CA37BF30B}"/>
            </a:ext>
          </a:extLst>
        </xdr:cNvPr>
        <xdr:cNvSpPr>
          <a:spLocks noChangeShapeType="1"/>
        </xdr:cNvSpPr>
      </xdr:nvSpPr>
      <xdr:spPr bwMode="auto">
        <a:xfrm>
          <a:off x="2895600" y="73437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21</xdr:row>
      <xdr:rowOff>114300</xdr:rowOff>
    </xdr:from>
    <xdr:to>
      <xdr:col>12</xdr:col>
      <xdr:colOff>9525</xdr:colOff>
      <xdr:row>21</xdr:row>
      <xdr:rowOff>114300</xdr:rowOff>
    </xdr:to>
    <xdr:sp macro="" textlink="">
      <xdr:nvSpPr>
        <xdr:cNvPr id="2162" name="Line 80">
          <a:extLst>
            <a:ext uri="{FF2B5EF4-FFF2-40B4-BE49-F238E27FC236}">
              <a16:creationId xmlns:a16="http://schemas.microsoft.com/office/drawing/2014/main" id="{897BEF36-36DE-43CF-959E-A6879A986D42}"/>
            </a:ext>
          </a:extLst>
        </xdr:cNvPr>
        <xdr:cNvSpPr>
          <a:spLocks noChangeShapeType="1"/>
        </xdr:cNvSpPr>
      </xdr:nvSpPr>
      <xdr:spPr bwMode="auto">
        <a:xfrm>
          <a:off x="2895600" y="75723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85725</xdr:rowOff>
    </xdr:from>
    <xdr:to>
      <xdr:col>9</xdr:col>
      <xdr:colOff>9525</xdr:colOff>
      <xdr:row>21</xdr:row>
      <xdr:rowOff>133350</xdr:rowOff>
    </xdr:to>
    <xdr:grpSp>
      <xdr:nvGrpSpPr>
        <xdr:cNvPr id="2163" name="Group 81">
          <a:extLst>
            <a:ext uri="{FF2B5EF4-FFF2-40B4-BE49-F238E27FC236}">
              <a16:creationId xmlns:a16="http://schemas.microsoft.com/office/drawing/2014/main" id="{500886C7-643B-4B32-816F-63355209047E}"/>
            </a:ext>
          </a:extLst>
        </xdr:cNvPr>
        <xdr:cNvGrpSpPr>
          <a:grpSpLocks/>
        </xdr:cNvGrpSpPr>
      </xdr:nvGrpSpPr>
      <xdr:grpSpPr bwMode="auto">
        <a:xfrm>
          <a:off x="1314450" y="7543800"/>
          <a:ext cx="1581150" cy="47625"/>
          <a:chOff x="158" y="715"/>
          <a:chExt cx="33" cy="5"/>
        </a:xfrm>
      </xdr:grpSpPr>
      <xdr:sp macro="" textlink="">
        <xdr:nvSpPr>
          <xdr:cNvPr id="2229" name="Line 82">
            <a:extLst>
              <a:ext uri="{FF2B5EF4-FFF2-40B4-BE49-F238E27FC236}">
                <a16:creationId xmlns:a16="http://schemas.microsoft.com/office/drawing/2014/main" id="{FF067CEE-B30A-4480-9EE8-667DB5071ED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0" name="Line 83">
            <a:extLst>
              <a:ext uri="{FF2B5EF4-FFF2-40B4-BE49-F238E27FC236}">
                <a16:creationId xmlns:a16="http://schemas.microsoft.com/office/drawing/2014/main" id="{C94BB9D4-7DB9-44AD-ABC9-A512DC2BFF5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0</xdr:col>
      <xdr:colOff>47625</xdr:colOff>
      <xdr:row>13</xdr:row>
      <xdr:rowOff>95250</xdr:rowOff>
    </xdr:from>
    <xdr:ext cx="844265" cy="336434"/>
    <xdr:sp macro="" textlink="">
      <xdr:nvSpPr>
        <xdr:cNvPr id="40" name="Text Box 91">
          <a:extLst>
            <a:ext uri="{FF2B5EF4-FFF2-40B4-BE49-F238E27FC236}">
              <a16:creationId xmlns:a16="http://schemas.microsoft.com/office/drawing/2014/main" id="{BFDA700B-2BBA-4839-8E05-3FFB13D31E3E}"/>
            </a:ext>
          </a:extLst>
        </xdr:cNvPr>
        <xdr:cNvSpPr txBox="1">
          <a:spLocks noChangeArrowheads="1"/>
        </xdr:cNvSpPr>
      </xdr:nvSpPr>
      <xdr:spPr bwMode="auto">
        <a:xfrm>
          <a:off x="47625" y="4371975"/>
          <a:ext cx="844265" cy="336434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twoCellAnchor>
    <xdr:from>
      <xdr:col>10</xdr:col>
      <xdr:colOff>161925</xdr:colOff>
      <xdr:row>17</xdr:row>
      <xdr:rowOff>323850</xdr:rowOff>
    </xdr:from>
    <xdr:to>
      <xdr:col>11</xdr:col>
      <xdr:colOff>152400</xdr:colOff>
      <xdr:row>17</xdr:row>
      <xdr:rowOff>1323975</xdr:rowOff>
    </xdr:to>
    <xdr:grpSp>
      <xdr:nvGrpSpPr>
        <xdr:cNvPr id="2169" name="Group 101">
          <a:extLst>
            <a:ext uri="{FF2B5EF4-FFF2-40B4-BE49-F238E27FC236}">
              <a16:creationId xmlns:a16="http://schemas.microsoft.com/office/drawing/2014/main" id="{9BB49063-0E32-422D-A01F-83703978630C}"/>
            </a:ext>
          </a:extLst>
        </xdr:cNvPr>
        <xdr:cNvGrpSpPr>
          <a:grpSpLocks/>
        </xdr:cNvGrpSpPr>
      </xdr:nvGrpSpPr>
      <xdr:grpSpPr bwMode="auto">
        <a:xfrm>
          <a:off x="3362325" y="5514975"/>
          <a:ext cx="304800" cy="1000125"/>
          <a:chOff x="306" y="566"/>
          <a:chExt cx="32" cy="105"/>
        </a:xfrm>
      </xdr:grpSpPr>
      <xdr:sp macro="" textlink="">
        <xdr:nvSpPr>
          <xdr:cNvPr id="2221" name="Line 102">
            <a:extLst>
              <a:ext uri="{FF2B5EF4-FFF2-40B4-BE49-F238E27FC236}">
                <a16:creationId xmlns:a16="http://schemas.microsoft.com/office/drawing/2014/main" id="{0062066B-81B8-4ABF-9921-D07057968CC1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70" y="61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22" name="Freeform 103">
            <a:extLst>
              <a:ext uri="{FF2B5EF4-FFF2-40B4-BE49-F238E27FC236}">
                <a16:creationId xmlns:a16="http://schemas.microsoft.com/office/drawing/2014/main" id="{381CB226-9D66-477B-9ED9-98FF89D807A5}"/>
              </a:ext>
            </a:extLst>
          </xdr:cNvPr>
          <xdr:cNvSpPr>
            <a:spLocks/>
          </xdr:cNvSpPr>
        </xdr:nvSpPr>
        <xdr:spPr bwMode="auto">
          <a:xfrm rot="-5400000">
            <a:off x="318" y="567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23" name="Freeform 104">
            <a:extLst>
              <a:ext uri="{FF2B5EF4-FFF2-40B4-BE49-F238E27FC236}">
                <a16:creationId xmlns:a16="http://schemas.microsoft.com/office/drawing/2014/main" id="{41CEFFB6-3720-4B9C-AC82-43DE7D91608E}"/>
              </a:ext>
            </a:extLst>
          </xdr:cNvPr>
          <xdr:cNvSpPr>
            <a:spLocks/>
          </xdr:cNvSpPr>
        </xdr:nvSpPr>
        <xdr:spPr bwMode="auto">
          <a:xfrm rot="-5400000">
            <a:off x="314" y="639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24" name="Line 105">
            <a:extLst>
              <a:ext uri="{FF2B5EF4-FFF2-40B4-BE49-F238E27FC236}">
                <a16:creationId xmlns:a16="http://schemas.microsoft.com/office/drawing/2014/main" id="{F89EA3D4-8F50-4A5E-9A3A-26B6FF2086E0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10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25" name="Freeform 106">
            <a:extLst>
              <a:ext uri="{FF2B5EF4-FFF2-40B4-BE49-F238E27FC236}">
                <a16:creationId xmlns:a16="http://schemas.microsoft.com/office/drawing/2014/main" id="{17AE96FA-79CB-4ADE-AD48-DF8EE3D81411}"/>
              </a:ext>
            </a:extLst>
          </xdr:cNvPr>
          <xdr:cNvSpPr>
            <a:spLocks/>
          </xdr:cNvSpPr>
        </xdr:nvSpPr>
        <xdr:spPr bwMode="auto">
          <a:xfrm rot="-5400000">
            <a:off x="306" y="635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26" name="Freeform 107">
            <a:extLst>
              <a:ext uri="{FF2B5EF4-FFF2-40B4-BE49-F238E27FC236}">
                <a16:creationId xmlns:a16="http://schemas.microsoft.com/office/drawing/2014/main" id="{DD210F26-24FC-451D-BE5B-E9C30222B816}"/>
              </a:ext>
            </a:extLst>
          </xdr:cNvPr>
          <xdr:cNvSpPr>
            <a:spLocks/>
          </xdr:cNvSpPr>
        </xdr:nvSpPr>
        <xdr:spPr bwMode="auto">
          <a:xfrm rot="-5400000">
            <a:off x="322" y="628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27" name="Line 108">
            <a:extLst>
              <a:ext uri="{FF2B5EF4-FFF2-40B4-BE49-F238E27FC236}">
                <a16:creationId xmlns:a16="http://schemas.microsoft.com/office/drawing/2014/main" id="{36D8C7A3-A4D6-4379-9E0D-C6A4884332A2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3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28" name="Freeform 109">
            <a:extLst>
              <a:ext uri="{FF2B5EF4-FFF2-40B4-BE49-F238E27FC236}">
                <a16:creationId xmlns:a16="http://schemas.microsoft.com/office/drawing/2014/main" id="{17617809-74EA-452F-8FA5-793F037DA50A}"/>
              </a:ext>
            </a:extLst>
          </xdr:cNvPr>
          <xdr:cNvSpPr>
            <a:spLocks/>
          </xdr:cNvSpPr>
        </xdr:nvSpPr>
        <xdr:spPr bwMode="auto">
          <a:xfrm rot="-5400000">
            <a:off x="331" y="624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17</xdr:row>
      <xdr:rowOff>438150</xdr:rowOff>
    </xdr:from>
    <xdr:to>
      <xdr:col>13</xdr:col>
      <xdr:colOff>38100</xdr:colOff>
      <xdr:row>17</xdr:row>
      <xdr:rowOff>1171575</xdr:rowOff>
    </xdr:to>
    <xdr:grpSp>
      <xdr:nvGrpSpPr>
        <xdr:cNvPr id="2170" name="Group 110">
          <a:extLst>
            <a:ext uri="{FF2B5EF4-FFF2-40B4-BE49-F238E27FC236}">
              <a16:creationId xmlns:a16="http://schemas.microsoft.com/office/drawing/2014/main" id="{06393930-4295-4DDA-A3A1-701D397ED9FC}"/>
            </a:ext>
          </a:extLst>
        </xdr:cNvPr>
        <xdr:cNvGrpSpPr>
          <a:grpSpLocks/>
        </xdr:cNvGrpSpPr>
      </xdr:nvGrpSpPr>
      <xdr:grpSpPr bwMode="auto">
        <a:xfrm rot="5400000">
          <a:off x="3786187" y="5967413"/>
          <a:ext cx="733425" cy="57150"/>
          <a:chOff x="123" y="549"/>
          <a:chExt cx="77" cy="6"/>
        </a:xfrm>
      </xdr:grpSpPr>
      <xdr:sp macro="" textlink="">
        <xdr:nvSpPr>
          <xdr:cNvPr id="2218" name="Line 111">
            <a:extLst>
              <a:ext uri="{FF2B5EF4-FFF2-40B4-BE49-F238E27FC236}">
                <a16:creationId xmlns:a16="http://schemas.microsoft.com/office/drawing/2014/main" id="{2FFA0D2C-3627-4A7D-8F21-D83241208EC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9" name="Freeform 112">
            <a:extLst>
              <a:ext uri="{FF2B5EF4-FFF2-40B4-BE49-F238E27FC236}">
                <a16:creationId xmlns:a16="http://schemas.microsoft.com/office/drawing/2014/main" id="{FC63B64A-C70F-429F-968B-51440C1D3286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20" name="Freeform 113">
            <a:extLst>
              <a:ext uri="{FF2B5EF4-FFF2-40B4-BE49-F238E27FC236}">
                <a16:creationId xmlns:a16="http://schemas.microsoft.com/office/drawing/2014/main" id="{28695B89-E354-44D0-9250-F9AB19F13833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17</xdr:row>
      <xdr:rowOff>323850</xdr:rowOff>
    </xdr:from>
    <xdr:to>
      <xdr:col>12</xdr:col>
      <xdr:colOff>152400</xdr:colOff>
      <xdr:row>17</xdr:row>
      <xdr:rowOff>1323975</xdr:rowOff>
    </xdr:to>
    <xdr:grpSp>
      <xdr:nvGrpSpPr>
        <xdr:cNvPr id="2171" name="Group 114">
          <a:extLst>
            <a:ext uri="{FF2B5EF4-FFF2-40B4-BE49-F238E27FC236}">
              <a16:creationId xmlns:a16="http://schemas.microsoft.com/office/drawing/2014/main" id="{9AF1C490-B771-4358-AC6C-608B85873A29}"/>
            </a:ext>
          </a:extLst>
        </xdr:cNvPr>
        <xdr:cNvGrpSpPr>
          <a:grpSpLocks/>
        </xdr:cNvGrpSpPr>
      </xdr:nvGrpSpPr>
      <xdr:grpSpPr bwMode="auto">
        <a:xfrm>
          <a:off x="3686175" y="5514975"/>
          <a:ext cx="295275" cy="1000125"/>
          <a:chOff x="342" y="566"/>
          <a:chExt cx="31" cy="105"/>
        </a:xfrm>
      </xdr:grpSpPr>
      <xdr:sp macro="" textlink="">
        <xdr:nvSpPr>
          <xdr:cNvPr id="2210" name="Line 115">
            <a:extLst>
              <a:ext uri="{FF2B5EF4-FFF2-40B4-BE49-F238E27FC236}">
                <a16:creationId xmlns:a16="http://schemas.microsoft.com/office/drawing/2014/main" id="{93CE7C86-1C76-482F-8F9F-DD6675922BB2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05" y="61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1" name="Freeform 116">
            <a:extLst>
              <a:ext uri="{FF2B5EF4-FFF2-40B4-BE49-F238E27FC236}">
                <a16:creationId xmlns:a16="http://schemas.microsoft.com/office/drawing/2014/main" id="{07966288-503A-4DB4-9F3F-B2006753768E}"/>
              </a:ext>
            </a:extLst>
          </xdr:cNvPr>
          <xdr:cNvSpPr>
            <a:spLocks/>
          </xdr:cNvSpPr>
        </xdr:nvSpPr>
        <xdr:spPr bwMode="auto">
          <a:xfrm rot="5400000">
            <a:off x="353" y="665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12" name="Freeform 117">
            <a:extLst>
              <a:ext uri="{FF2B5EF4-FFF2-40B4-BE49-F238E27FC236}">
                <a16:creationId xmlns:a16="http://schemas.microsoft.com/office/drawing/2014/main" id="{FA6C3D23-78A0-44D8-97A0-C74A1F2ED511}"/>
              </a:ext>
            </a:extLst>
          </xdr:cNvPr>
          <xdr:cNvSpPr>
            <a:spLocks/>
          </xdr:cNvSpPr>
        </xdr:nvSpPr>
        <xdr:spPr bwMode="auto">
          <a:xfrm rot="5400000">
            <a:off x="357" y="590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13" name="Line 118">
            <a:extLst>
              <a:ext uri="{FF2B5EF4-FFF2-40B4-BE49-F238E27FC236}">
                <a16:creationId xmlns:a16="http://schemas.microsoft.com/office/drawing/2014/main" id="{3F5CE69B-4737-4C27-8176-8CD6C4A06011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69" y="59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4" name="Freeform 119">
            <a:extLst>
              <a:ext uri="{FF2B5EF4-FFF2-40B4-BE49-F238E27FC236}">
                <a16:creationId xmlns:a16="http://schemas.microsoft.com/office/drawing/2014/main" id="{8F78745A-C086-42A0-8302-7D744A3B6B5D}"/>
              </a:ext>
            </a:extLst>
          </xdr:cNvPr>
          <xdr:cNvSpPr>
            <a:spLocks/>
          </xdr:cNvSpPr>
        </xdr:nvSpPr>
        <xdr:spPr bwMode="auto">
          <a:xfrm rot="5400000">
            <a:off x="366" y="593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15" name="Freeform 120">
            <a:extLst>
              <a:ext uri="{FF2B5EF4-FFF2-40B4-BE49-F238E27FC236}">
                <a16:creationId xmlns:a16="http://schemas.microsoft.com/office/drawing/2014/main" id="{D903BB9A-E2EF-49E0-A9DC-C2BE6FFC232A}"/>
              </a:ext>
            </a:extLst>
          </xdr:cNvPr>
          <xdr:cNvSpPr>
            <a:spLocks/>
          </xdr:cNvSpPr>
        </xdr:nvSpPr>
        <xdr:spPr bwMode="auto">
          <a:xfrm rot="5400000">
            <a:off x="350" y="60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16" name="Line 121">
            <a:extLst>
              <a:ext uri="{FF2B5EF4-FFF2-40B4-BE49-F238E27FC236}">
                <a16:creationId xmlns:a16="http://schemas.microsoft.com/office/drawing/2014/main" id="{78AD47C6-F798-496F-8E75-F4D5B587350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47" y="60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7" name="Freeform 122">
            <a:extLst>
              <a:ext uri="{FF2B5EF4-FFF2-40B4-BE49-F238E27FC236}">
                <a16:creationId xmlns:a16="http://schemas.microsoft.com/office/drawing/2014/main" id="{5740D527-49F5-433A-852A-FD12ABCE186B}"/>
              </a:ext>
            </a:extLst>
          </xdr:cNvPr>
          <xdr:cNvSpPr>
            <a:spLocks/>
          </xdr:cNvSpPr>
        </xdr:nvSpPr>
        <xdr:spPr bwMode="auto">
          <a:xfrm rot="5400000">
            <a:off x="342" y="605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9</xdr:col>
      <xdr:colOff>171450</xdr:colOff>
      <xdr:row>17</xdr:row>
      <xdr:rowOff>1190625</xdr:rowOff>
    </xdr:from>
    <xdr:ext cx="361244" cy="150041"/>
    <xdr:sp macro="" textlink="">
      <xdr:nvSpPr>
        <xdr:cNvPr id="65" name="Text Box 123">
          <a:extLst>
            <a:ext uri="{FF2B5EF4-FFF2-40B4-BE49-F238E27FC236}">
              <a16:creationId xmlns:a16="http://schemas.microsoft.com/office/drawing/2014/main" id="{5D6B0E72-731E-4BA5-8396-E88FFF4B6551}"/>
            </a:ext>
          </a:extLst>
        </xdr:cNvPr>
        <xdr:cNvSpPr txBox="1">
          <a:spLocks noChangeArrowheads="1"/>
        </xdr:cNvSpPr>
      </xdr:nvSpPr>
      <xdr:spPr bwMode="auto">
        <a:xfrm>
          <a:off x="3057525" y="638175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24.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9</xdr:col>
      <xdr:colOff>295275</xdr:colOff>
      <xdr:row>17</xdr:row>
      <xdr:rowOff>438150</xdr:rowOff>
    </xdr:from>
    <xdr:to>
      <xdr:col>10</xdr:col>
      <xdr:colOff>38100</xdr:colOff>
      <xdr:row>17</xdr:row>
      <xdr:rowOff>1171575</xdr:rowOff>
    </xdr:to>
    <xdr:grpSp>
      <xdr:nvGrpSpPr>
        <xdr:cNvPr id="2173" name="Group 124">
          <a:extLst>
            <a:ext uri="{FF2B5EF4-FFF2-40B4-BE49-F238E27FC236}">
              <a16:creationId xmlns:a16="http://schemas.microsoft.com/office/drawing/2014/main" id="{26FF2E4A-CB20-4AB9-8DB5-E9F69A3AB803}"/>
            </a:ext>
          </a:extLst>
        </xdr:cNvPr>
        <xdr:cNvGrpSpPr>
          <a:grpSpLocks/>
        </xdr:cNvGrpSpPr>
      </xdr:nvGrpSpPr>
      <xdr:grpSpPr bwMode="auto">
        <a:xfrm rot="5400000">
          <a:off x="2843212" y="5967413"/>
          <a:ext cx="733425" cy="57150"/>
          <a:chOff x="123" y="549"/>
          <a:chExt cx="77" cy="6"/>
        </a:xfrm>
      </xdr:grpSpPr>
      <xdr:sp macro="" textlink="">
        <xdr:nvSpPr>
          <xdr:cNvPr id="2207" name="Line 125">
            <a:extLst>
              <a:ext uri="{FF2B5EF4-FFF2-40B4-BE49-F238E27FC236}">
                <a16:creationId xmlns:a16="http://schemas.microsoft.com/office/drawing/2014/main" id="{07245208-2127-45B7-AD88-BB2E5B89C70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8" name="Freeform 126">
            <a:extLst>
              <a:ext uri="{FF2B5EF4-FFF2-40B4-BE49-F238E27FC236}">
                <a16:creationId xmlns:a16="http://schemas.microsoft.com/office/drawing/2014/main" id="{580F5285-7A9A-476F-8C3F-282C3ECE43B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09" name="Freeform 127">
            <a:extLst>
              <a:ext uri="{FF2B5EF4-FFF2-40B4-BE49-F238E27FC236}">
                <a16:creationId xmlns:a16="http://schemas.microsoft.com/office/drawing/2014/main" id="{3C69D92C-BE1A-484E-9DEA-780C4AD99067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12</xdr:col>
      <xdr:colOff>171450</xdr:colOff>
      <xdr:row>17</xdr:row>
      <xdr:rowOff>1190625</xdr:rowOff>
    </xdr:from>
    <xdr:ext cx="361244" cy="150041"/>
    <xdr:sp macro="" textlink="">
      <xdr:nvSpPr>
        <xdr:cNvPr id="70" name="Text Box 128">
          <a:extLst>
            <a:ext uri="{FF2B5EF4-FFF2-40B4-BE49-F238E27FC236}">
              <a16:creationId xmlns:a16="http://schemas.microsoft.com/office/drawing/2014/main" id="{415ACB9B-09CE-4E9C-AB25-DD002F11AA31}"/>
            </a:ext>
          </a:extLst>
        </xdr:cNvPr>
        <xdr:cNvSpPr txBox="1">
          <a:spLocks noChangeArrowheads="1"/>
        </xdr:cNvSpPr>
      </xdr:nvSpPr>
      <xdr:spPr bwMode="auto">
        <a:xfrm>
          <a:off x="4000500" y="638175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24.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200025</xdr:colOff>
      <xdr:row>17</xdr:row>
      <xdr:rowOff>238125</xdr:rowOff>
    </xdr:from>
    <xdr:ext cx="361244" cy="150041"/>
    <xdr:sp macro="" textlink="">
      <xdr:nvSpPr>
        <xdr:cNvPr id="71" name="Text Box 129">
          <a:extLst>
            <a:ext uri="{FF2B5EF4-FFF2-40B4-BE49-F238E27FC236}">
              <a16:creationId xmlns:a16="http://schemas.microsoft.com/office/drawing/2014/main" id="{EDA1EE24-1617-49F9-9EE2-039DC951F947}"/>
            </a:ext>
          </a:extLst>
        </xdr:cNvPr>
        <xdr:cNvSpPr txBox="1">
          <a:spLocks noChangeArrowheads="1"/>
        </xdr:cNvSpPr>
      </xdr:nvSpPr>
      <xdr:spPr bwMode="auto">
        <a:xfrm>
          <a:off x="3086100" y="542925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12</xdr:col>
      <xdr:colOff>200025</xdr:colOff>
      <xdr:row>17</xdr:row>
      <xdr:rowOff>238125</xdr:rowOff>
    </xdr:from>
    <xdr:ext cx="361244" cy="150041"/>
    <xdr:sp macro="" textlink="">
      <xdr:nvSpPr>
        <xdr:cNvPr id="72" name="Text Box 130">
          <a:extLst>
            <a:ext uri="{FF2B5EF4-FFF2-40B4-BE49-F238E27FC236}">
              <a16:creationId xmlns:a16="http://schemas.microsoft.com/office/drawing/2014/main" id="{EA937E61-1703-472E-A2A5-F4CC0ED53F5F}"/>
            </a:ext>
          </a:extLst>
        </xdr:cNvPr>
        <xdr:cNvSpPr txBox="1">
          <a:spLocks noChangeArrowheads="1"/>
        </xdr:cNvSpPr>
      </xdr:nvSpPr>
      <xdr:spPr bwMode="auto">
        <a:xfrm>
          <a:off x="4029075" y="5429250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4</xdr:col>
      <xdr:colOff>285750</xdr:colOff>
      <xdr:row>17</xdr:row>
      <xdr:rowOff>495300</xdr:rowOff>
    </xdr:from>
    <xdr:to>
      <xdr:col>8</xdr:col>
      <xdr:colOff>28575</xdr:colOff>
      <xdr:row>17</xdr:row>
      <xdr:rowOff>800100</xdr:rowOff>
    </xdr:to>
    <xdr:grpSp>
      <xdr:nvGrpSpPr>
        <xdr:cNvPr id="2177" name="Group 132">
          <a:extLst>
            <a:ext uri="{FF2B5EF4-FFF2-40B4-BE49-F238E27FC236}">
              <a16:creationId xmlns:a16="http://schemas.microsoft.com/office/drawing/2014/main" id="{45AC27E7-C0B3-4AF8-88D3-C6B6FD58F7DB}"/>
            </a:ext>
          </a:extLst>
        </xdr:cNvPr>
        <xdr:cNvGrpSpPr>
          <a:grpSpLocks/>
        </xdr:cNvGrpSpPr>
      </xdr:nvGrpSpPr>
      <xdr:grpSpPr bwMode="auto">
        <a:xfrm>
          <a:off x="1600200" y="5686425"/>
          <a:ext cx="1000125" cy="304800"/>
          <a:chOff x="110" y="567"/>
          <a:chExt cx="105" cy="32"/>
        </a:xfrm>
      </xdr:grpSpPr>
      <xdr:sp macro="" textlink="">
        <xdr:nvSpPr>
          <xdr:cNvPr id="2199" name="Line 133">
            <a:extLst>
              <a:ext uri="{FF2B5EF4-FFF2-40B4-BE49-F238E27FC236}">
                <a16:creationId xmlns:a16="http://schemas.microsoft.com/office/drawing/2014/main" id="{F48EF81F-8098-4615-AC33-6F4919F22965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0" name="Freeform 134">
            <a:extLst>
              <a:ext uri="{FF2B5EF4-FFF2-40B4-BE49-F238E27FC236}">
                <a16:creationId xmlns:a16="http://schemas.microsoft.com/office/drawing/2014/main" id="{FE0E29CB-8851-4761-A9E9-65577F5FFE0A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01" name="Freeform 135">
            <a:extLst>
              <a:ext uri="{FF2B5EF4-FFF2-40B4-BE49-F238E27FC236}">
                <a16:creationId xmlns:a16="http://schemas.microsoft.com/office/drawing/2014/main" id="{CD1F7FD7-2BF7-4A54-B43F-42F0CA6DE700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02" name="Line 136">
            <a:extLst>
              <a:ext uri="{FF2B5EF4-FFF2-40B4-BE49-F238E27FC236}">
                <a16:creationId xmlns:a16="http://schemas.microsoft.com/office/drawing/2014/main" id="{6BB162A5-A712-4CEB-B3EB-A2B9C23FF47D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3" name="Freeform 137">
            <a:extLst>
              <a:ext uri="{FF2B5EF4-FFF2-40B4-BE49-F238E27FC236}">
                <a16:creationId xmlns:a16="http://schemas.microsoft.com/office/drawing/2014/main" id="{20644E04-3FE2-4251-9118-2F69F9BE5B8E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04" name="Freeform 138">
            <a:extLst>
              <a:ext uri="{FF2B5EF4-FFF2-40B4-BE49-F238E27FC236}">
                <a16:creationId xmlns:a16="http://schemas.microsoft.com/office/drawing/2014/main" id="{45A2B857-C52B-4568-B9CA-EEDE5E808BB0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05" name="Line 139">
            <a:extLst>
              <a:ext uri="{FF2B5EF4-FFF2-40B4-BE49-F238E27FC236}">
                <a16:creationId xmlns:a16="http://schemas.microsoft.com/office/drawing/2014/main" id="{B3E379EC-0D1E-47F5-A758-3185F9B63A1B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6" name="Freeform 140">
            <a:extLst>
              <a:ext uri="{FF2B5EF4-FFF2-40B4-BE49-F238E27FC236}">
                <a16:creationId xmlns:a16="http://schemas.microsoft.com/office/drawing/2014/main" id="{647C5CC5-AC87-4074-8F17-5C54B7F8B82C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17</xdr:row>
      <xdr:rowOff>323850</xdr:rowOff>
    </xdr:from>
    <xdr:to>
      <xdr:col>7</xdr:col>
      <xdr:colOff>200025</xdr:colOff>
      <xdr:row>17</xdr:row>
      <xdr:rowOff>381000</xdr:rowOff>
    </xdr:to>
    <xdr:grpSp>
      <xdr:nvGrpSpPr>
        <xdr:cNvPr id="2178" name="Group 141">
          <a:extLst>
            <a:ext uri="{FF2B5EF4-FFF2-40B4-BE49-F238E27FC236}">
              <a16:creationId xmlns:a16="http://schemas.microsoft.com/office/drawing/2014/main" id="{311486B9-610B-4F0D-9F88-B229D1601F12}"/>
            </a:ext>
          </a:extLst>
        </xdr:cNvPr>
        <xdr:cNvGrpSpPr>
          <a:grpSpLocks/>
        </xdr:cNvGrpSpPr>
      </xdr:nvGrpSpPr>
      <xdr:grpSpPr bwMode="auto">
        <a:xfrm>
          <a:off x="1724025" y="5514975"/>
          <a:ext cx="733425" cy="57150"/>
          <a:chOff x="123" y="549"/>
          <a:chExt cx="77" cy="6"/>
        </a:xfrm>
      </xdr:grpSpPr>
      <xdr:sp macro="" textlink="">
        <xdr:nvSpPr>
          <xdr:cNvPr id="2196" name="Line 142">
            <a:extLst>
              <a:ext uri="{FF2B5EF4-FFF2-40B4-BE49-F238E27FC236}">
                <a16:creationId xmlns:a16="http://schemas.microsoft.com/office/drawing/2014/main" id="{8670FB8A-EDE6-4334-ABA4-DB38A2BB8A9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97" name="Freeform 143">
            <a:extLst>
              <a:ext uri="{FF2B5EF4-FFF2-40B4-BE49-F238E27FC236}">
                <a16:creationId xmlns:a16="http://schemas.microsoft.com/office/drawing/2014/main" id="{2798AB8F-0023-44AA-8D66-9EDDAE89ACD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98" name="Freeform 144">
            <a:extLst>
              <a:ext uri="{FF2B5EF4-FFF2-40B4-BE49-F238E27FC236}">
                <a16:creationId xmlns:a16="http://schemas.microsoft.com/office/drawing/2014/main" id="{C5AB7BFB-391F-4A32-B325-A8DB273043A0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17</xdr:row>
      <xdr:rowOff>857250</xdr:rowOff>
    </xdr:from>
    <xdr:to>
      <xdr:col>8</xdr:col>
      <xdr:colOff>28575</xdr:colOff>
      <xdr:row>17</xdr:row>
      <xdr:rowOff>1162050</xdr:rowOff>
    </xdr:to>
    <xdr:grpSp>
      <xdr:nvGrpSpPr>
        <xdr:cNvPr id="2179" name="Group 145">
          <a:extLst>
            <a:ext uri="{FF2B5EF4-FFF2-40B4-BE49-F238E27FC236}">
              <a16:creationId xmlns:a16="http://schemas.microsoft.com/office/drawing/2014/main" id="{79186F74-90D0-4E07-838E-B8F0FF2CE27D}"/>
            </a:ext>
          </a:extLst>
        </xdr:cNvPr>
        <xdr:cNvGrpSpPr>
          <a:grpSpLocks/>
        </xdr:cNvGrpSpPr>
      </xdr:nvGrpSpPr>
      <xdr:grpSpPr bwMode="auto">
        <a:xfrm>
          <a:off x="1590675" y="6048375"/>
          <a:ext cx="1009650" cy="304800"/>
          <a:chOff x="105" y="627"/>
          <a:chExt cx="106" cy="32"/>
        </a:xfrm>
      </xdr:grpSpPr>
      <xdr:sp macro="" textlink="">
        <xdr:nvSpPr>
          <xdr:cNvPr id="2188" name="Line 146">
            <a:extLst>
              <a:ext uri="{FF2B5EF4-FFF2-40B4-BE49-F238E27FC236}">
                <a16:creationId xmlns:a16="http://schemas.microsoft.com/office/drawing/2014/main" id="{0B969196-E405-49BF-A608-B0A324519584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9" name="Freeform 147">
            <a:extLst>
              <a:ext uri="{FF2B5EF4-FFF2-40B4-BE49-F238E27FC236}">
                <a16:creationId xmlns:a16="http://schemas.microsoft.com/office/drawing/2014/main" id="{A04BAF48-7BA8-491E-A8BF-C0AEC6DA7AC1}"/>
              </a:ext>
            </a:extLst>
          </xdr:cNvPr>
          <xdr:cNvSpPr>
            <a:spLocks/>
          </xdr:cNvSpPr>
        </xdr:nvSpPr>
        <xdr:spPr bwMode="auto">
          <a:xfrm rot="10800000">
            <a:off x="105" y="64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90" name="Freeform 148">
            <a:extLst>
              <a:ext uri="{FF2B5EF4-FFF2-40B4-BE49-F238E27FC236}">
                <a16:creationId xmlns:a16="http://schemas.microsoft.com/office/drawing/2014/main" id="{75C1F616-EE86-47B1-AEBE-BFB047357B3D}"/>
              </a:ext>
            </a:extLst>
          </xdr:cNvPr>
          <xdr:cNvSpPr>
            <a:spLocks/>
          </xdr:cNvSpPr>
        </xdr:nvSpPr>
        <xdr:spPr bwMode="auto">
          <a:xfrm rot="10800000">
            <a:off x="179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91" name="Line 149">
            <a:extLst>
              <a:ext uri="{FF2B5EF4-FFF2-40B4-BE49-F238E27FC236}">
                <a16:creationId xmlns:a16="http://schemas.microsoft.com/office/drawing/2014/main" id="{B5DA5E49-AB71-40C1-9327-39BC6389C86F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92" name="Freeform 150">
            <a:extLst>
              <a:ext uri="{FF2B5EF4-FFF2-40B4-BE49-F238E27FC236}">
                <a16:creationId xmlns:a16="http://schemas.microsoft.com/office/drawing/2014/main" id="{95785A7F-B3A8-431B-B4FC-41587F3637CB}"/>
              </a:ext>
            </a:extLst>
          </xdr:cNvPr>
          <xdr:cNvSpPr>
            <a:spLocks/>
          </xdr:cNvSpPr>
        </xdr:nvSpPr>
        <xdr:spPr bwMode="auto">
          <a:xfrm rot="10800000">
            <a:off x="175" y="652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93" name="Freeform 151">
            <a:extLst>
              <a:ext uri="{FF2B5EF4-FFF2-40B4-BE49-F238E27FC236}">
                <a16:creationId xmlns:a16="http://schemas.microsoft.com/office/drawing/2014/main" id="{9E3326A9-4719-4A1C-8D86-052B62B98B4C}"/>
              </a:ext>
            </a:extLst>
          </xdr:cNvPr>
          <xdr:cNvSpPr>
            <a:spLocks/>
          </xdr:cNvSpPr>
        </xdr:nvSpPr>
        <xdr:spPr bwMode="auto">
          <a:xfrm rot="10800000">
            <a:off x="168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94" name="Line 152">
            <a:extLst>
              <a:ext uri="{FF2B5EF4-FFF2-40B4-BE49-F238E27FC236}">
                <a16:creationId xmlns:a16="http://schemas.microsoft.com/office/drawing/2014/main" id="{EB3765B5-66BF-4559-AA54-871B40F8279D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95" name="Freeform 153">
            <a:extLst>
              <a:ext uri="{FF2B5EF4-FFF2-40B4-BE49-F238E27FC236}">
                <a16:creationId xmlns:a16="http://schemas.microsoft.com/office/drawing/2014/main" id="{995A4AA0-C32D-4B83-8604-450BDB5A2C1F}"/>
              </a:ext>
            </a:extLst>
          </xdr:cNvPr>
          <xdr:cNvSpPr>
            <a:spLocks/>
          </xdr:cNvSpPr>
        </xdr:nvSpPr>
        <xdr:spPr bwMode="auto">
          <a:xfrm rot="10800000">
            <a:off x="164" y="627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17</xdr:row>
      <xdr:rowOff>1247775</xdr:rowOff>
    </xdr:from>
    <xdr:to>
      <xdr:col>7</xdr:col>
      <xdr:colOff>200025</xdr:colOff>
      <xdr:row>17</xdr:row>
      <xdr:rowOff>1304925</xdr:rowOff>
    </xdr:to>
    <xdr:grpSp>
      <xdr:nvGrpSpPr>
        <xdr:cNvPr id="2180" name="Group 154">
          <a:extLst>
            <a:ext uri="{FF2B5EF4-FFF2-40B4-BE49-F238E27FC236}">
              <a16:creationId xmlns:a16="http://schemas.microsoft.com/office/drawing/2014/main" id="{D16C80B8-E333-44F9-91EB-8317BCE57F88}"/>
            </a:ext>
          </a:extLst>
        </xdr:cNvPr>
        <xdr:cNvGrpSpPr>
          <a:grpSpLocks/>
        </xdr:cNvGrpSpPr>
      </xdr:nvGrpSpPr>
      <xdr:grpSpPr bwMode="auto">
        <a:xfrm>
          <a:off x="1724025" y="6438900"/>
          <a:ext cx="733425" cy="57150"/>
          <a:chOff x="123" y="549"/>
          <a:chExt cx="77" cy="6"/>
        </a:xfrm>
      </xdr:grpSpPr>
      <xdr:sp macro="" textlink="">
        <xdr:nvSpPr>
          <xdr:cNvPr id="2185" name="Line 155">
            <a:extLst>
              <a:ext uri="{FF2B5EF4-FFF2-40B4-BE49-F238E27FC236}">
                <a16:creationId xmlns:a16="http://schemas.microsoft.com/office/drawing/2014/main" id="{CACACB79-A723-4E11-A185-978240A2AF2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6" name="Freeform 156">
            <a:extLst>
              <a:ext uri="{FF2B5EF4-FFF2-40B4-BE49-F238E27FC236}">
                <a16:creationId xmlns:a16="http://schemas.microsoft.com/office/drawing/2014/main" id="{B4F5DC13-B66B-4EEA-BCC9-95C0C51ECE6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87" name="Freeform 157">
            <a:extLst>
              <a:ext uri="{FF2B5EF4-FFF2-40B4-BE49-F238E27FC236}">
                <a16:creationId xmlns:a16="http://schemas.microsoft.com/office/drawing/2014/main" id="{C8BF544C-559A-487C-A189-B650F5C0F426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6</xdr:col>
      <xdr:colOff>19050</xdr:colOff>
      <xdr:row>17</xdr:row>
      <xdr:rowOff>1314450</xdr:rowOff>
    </xdr:from>
    <xdr:ext cx="303536" cy="150041"/>
    <xdr:sp macro="" textlink="">
      <xdr:nvSpPr>
        <xdr:cNvPr id="99" name="Text Box 158">
          <a:extLst>
            <a:ext uri="{FF2B5EF4-FFF2-40B4-BE49-F238E27FC236}">
              <a16:creationId xmlns:a16="http://schemas.microsoft.com/office/drawing/2014/main" id="{392E072B-6C43-4164-85E2-5D849E4C6278}"/>
            </a:ext>
          </a:extLst>
        </xdr:cNvPr>
        <xdr:cNvSpPr txBox="1">
          <a:spLocks noChangeArrowheads="1"/>
        </xdr:cNvSpPr>
      </xdr:nvSpPr>
      <xdr:spPr bwMode="auto">
        <a:xfrm>
          <a:off x="1962150" y="6505575"/>
          <a:ext cx="303536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6</xdr:col>
      <xdr:colOff>28575</xdr:colOff>
      <xdr:row>17</xdr:row>
      <xdr:rowOff>161925</xdr:rowOff>
    </xdr:from>
    <xdr:ext cx="303536" cy="150041"/>
    <xdr:sp macro="" textlink="">
      <xdr:nvSpPr>
        <xdr:cNvPr id="100" name="Text Box 159">
          <a:extLst>
            <a:ext uri="{FF2B5EF4-FFF2-40B4-BE49-F238E27FC236}">
              <a16:creationId xmlns:a16="http://schemas.microsoft.com/office/drawing/2014/main" id="{2276FB86-7219-4653-970E-2A4BDAB16D38}"/>
            </a:ext>
          </a:extLst>
        </xdr:cNvPr>
        <xdr:cNvSpPr txBox="1">
          <a:spLocks noChangeArrowheads="1"/>
        </xdr:cNvSpPr>
      </xdr:nvSpPr>
      <xdr:spPr bwMode="auto">
        <a:xfrm>
          <a:off x="1971675" y="5353050"/>
          <a:ext cx="303536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7</xdr:col>
      <xdr:colOff>238125</xdr:colOff>
      <xdr:row>17</xdr:row>
      <xdr:rowOff>285750</xdr:rowOff>
    </xdr:from>
    <xdr:ext cx="361244" cy="150041"/>
    <xdr:sp macro="" textlink="">
      <xdr:nvSpPr>
        <xdr:cNvPr id="101" name="Text Box 160">
          <a:extLst>
            <a:ext uri="{FF2B5EF4-FFF2-40B4-BE49-F238E27FC236}">
              <a16:creationId xmlns:a16="http://schemas.microsoft.com/office/drawing/2014/main" id="{1742FFA7-0FF5-4692-B5DD-60FCCC49D7AC}"/>
            </a:ext>
          </a:extLst>
        </xdr:cNvPr>
        <xdr:cNvSpPr txBox="1">
          <a:spLocks noChangeArrowheads="1"/>
        </xdr:cNvSpPr>
      </xdr:nvSpPr>
      <xdr:spPr bwMode="auto">
        <a:xfrm>
          <a:off x="2495550" y="5476875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238125</xdr:colOff>
      <xdr:row>17</xdr:row>
      <xdr:rowOff>1219200</xdr:rowOff>
    </xdr:from>
    <xdr:ext cx="361244" cy="150041"/>
    <xdr:sp macro="" textlink="">
      <xdr:nvSpPr>
        <xdr:cNvPr id="102" name="Text Box 161">
          <a:extLst>
            <a:ext uri="{FF2B5EF4-FFF2-40B4-BE49-F238E27FC236}">
              <a16:creationId xmlns:a16="http://schemas.microsoft.com/office/drawing/2014/main" id="{F95D174C-4656-4832-8A31-BA43BB05B5C7}"/>
            </a:ext>
          </a:extLst>
        </xdr:cNvPr>
        <xdr:cNvSpPr txBox="1">
          <a:spLocks noChangeArrowheads="1"/>
        </xdr:cNvSpPr>
      </xdr:nvSpPr>
      <xdr:spPr bwMode="auto">
        <a:xfrm>
          <a:off x="2495550" y="6410325"/>
          <a:ext cx="361244" cy="15004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7</xdr:col>
      <xdr:colOff>152401</xdr:colOff>
      <xdr:row>9</xdr:row>
      <xdr:rowOff>609601</xdr:rowOff>
    </xdr:from>
    <xdr:to>
      <xdr:col>13</xdr:col>
      <xdr:colOff>257175</xdr:colOff>
      <xdr:row>9</xdr:row>
      <xdr:rowOff>619125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43A610B9-FC2C-46A1-9CD8-49CA98F1C47A}"/>
            </a:ext>
          </a:extLst>
        </xdr:cNvPr>
        <xdr:cNvCxnSpPr/>
      </xdr:nvCxnSpPr>
      <xdr:spPr>
        <a:xfrm flipH="1" flipV="1">
          <a:off x="2409826" y="2324101"/>
          <a:ext cx="1990724" cy="9524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276224</xdr:colOff>
      <xdr:row>9</xdr:row>
      <xdr:rowOff>647700</xdr:rowOff>
    </xdr:from>
    <xdr:ext cx="468389" cy="187872"/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683CEDF6-630A-4032-8272-46B58CCB3EA8}"/>
            </a:ext>
          </a:extLst>
        </xdr:cNvPr>
        <xdr:cNvSpPr txBox="1"/>
      </xdr:nvSpPr>
      <xdr:spPr>
        <a:xfrm>
          <a:off x="2847974" y="236220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28.8m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>
    <xdr:from>
      <xdr:col>11</xdr:col>
      <xdr:colOff>38101</xdr:colOff>
      <xdr:row>6</xdr:row>
      <xdr:rowOff>200025</xdr:rowOff>
    </xdr:from>
    <xdr:to>
      <xdr:col>11</xdr:col>
      <xdr:colOff>47625</xdr:colOff>
      <xdr:row>11</xdr:row>
      <xdr:rowOff>85725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2ABA66CA-D51D-4EC3-8D30-9FCA8A1E9063}"/>
            </a:ext>
          </a:extLst>
        </xdr:cNvPr>
        <xdr:cNvCxnSpPr/>
      </xdr:nvCxnSpPr>
      <xdr:spPr>
        <a:xfrm>
          <a:off x="3552826" y="1228725"/>
          <a:ext cx="9524" cy="267652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133349</xdr:colOff>
      <xdr:row>9</xdr:row>
      <xdr:rowOff>1314450</xdr:rowOff>
    </xdr:from>
    <xdr:ext cx="468389" cy="187872"/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BF771B5A-D26B-44DC-A167-1BEC0D9AEAAF}"/>
            </a:ext>
          </a:extLst>
        </xdr:cNvPr>
        <xdr:cNvSpPr txBox="1"/>
      </xdr:nvSpPr>
      <xdr:spPr>
        <a:xfrm>
          <a:off x="3648074" y="3028950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42.5m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19</xdr:col>
      <xdr:colOff>47625</xdr:colOff>
      <xdr:row>9</xdr:row>
      <xdr:rowOff>1085850</xdr:rowOff>
    </xdr:from>
    <xdr:to>
      <xdr:col>20</xdr:col>
      <xdr:colOff>20552</xdr:colOff>
      <xdr:row>9</xdr:row>
      <xdr:rowOff>1373850</xdr:rowOff>
    </xdr:to>
    <xdr:pic>
      <xdr:nvPicPr>
        <xdr:cNvPr id="116" name="図 115">
          <a:extLst>
            <a:ext uri="{FF2B5EF4-FFF2-40B4-BE49-F238E27FC236}">
              <a16:creationId xmlns:a16="http://schemas.microsoft.com/office/drawing/2014/main" id="{6D3AE22D-ADED-40B8-BB2E-69A44F192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6950" y="280035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9</xdr:row>
      <xdr:rowOff>381000</xdr:rowOff>
    </xdr:from>
    <xdr:to>
      <xdr:col>1</xdr:col>
      <xdr:colOff>134852</xdr:colOff>
      <xdr:row>9</xdr:row>
      <xdr:rowOff>669000</xdr:rowOff>
    </xdr:to>
    <xdr:pic>
      <xdr:nvPicPr>
        <xdr:cNvPr id="117" name="図 116">
          <a:extLst>
            <a:ext uri="{FF2B5EF4-FFF2-40B4-BE49-F238E27FC236}">
              <a16:creationId xmlns:a16="http://schemas.microsoft.com/office/drawing/2014/main" id="{0C335CB5-6ED1-41D9-9801-AE859C24C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" y="20955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266700</xdr:colOff>
      <xdr:row>4</xdr:row>
      <xdr:rowOff>142875</xdr:rowOff>
    </xdr:from>
    <xdr:to>
      <xdr:col>12</xdr:col>
      <xdr:colOff>239627</xdr:colOff>
      <xdr:row>5</xdr:row>
      <xdr:rowOff>202275</xdr:rowOff>
    </xdr:to>
    <xdr:pic>
      <xdr:nvPicPr>
        <xdr:cNvPr id="118" name="図 117">
          <a:extLst>
            <a:ext uri="{FF2B5EF4-FFF2-40B4-BE49-F238E27FC236}">
              <a16:creationId xmlns:a16="http://schemas.microsoft.com/office/drawing/2014/main" id="{53B9D8B1-854A-44E9-9C9F-A7907E31C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1425" y="71437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13</xdr:row>
      <xdr:rowOff>47625</xdr:rowOff>
    </xdr:from>
    <xdr:to>
      <xdr:col>11</xdr:col>
      <xdr:colOff>115802</xdr:colOff>
      <xdr:row>14</xdr:row>
      <xdr:rowOff>107025</xdr:rowOff>
    </xdr:to>
    <xdr:pic>
      <xdr:nvPicPr>
        <xdr:cNvPr id="119" name="図 118">
          <a:extLst>
            <a:ext uri="{FF2B5EF4-FFF2-40B4-BE49-F238E27FC236}">
              <a16:creationId xmlns:a16="http://schemas.microsoft.com/office/drawing/2014/main" id="{3B68C7E8-BCD5-43A2-AF98-8909D6683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43275" y="4324350"/>
          <a:ext cx="287252" cy="288000"/>
        </a:xfrm>
        <a:prstGeom prst="rect">
          <a:avLst/>
        </a:prstGeom>
      </xdr:spPr>
    </xdr:pic>
    <xdr:clientData/>
  </xdr:twoCellAnchor>
  <xdr:oneCellAnchor>
    <xdr:from>
      <xdr:col>20</xdr:col>
      <xdr:colOff>219075</xdr:colOff>
      <xdr:row>17</xdr:row>
      <xdr:rowOff>1085850</xdr:rowOff>
    </xdr:from>
    <xdr:ext cx="1015715" cy="666750"/>
    <xdr:sp macro="" textlink="">
      <xdr:nvSpPr>
        <xdr:cNvPr id="6" name="Text Box 91">
          <a:extLst>
            <a:ext uri="{FF2B5EF4-FFF2-40B4-BE49-F238E27FC236}">
              <a16:creationId xmlns:a16="http://schemas.microsoft.com/office/drawing/2014/main" id="{6C984C5A-8ADF-4879-8DFD-AE5EED7D6901}"/>
            </a:ext>
          </a:extLst>
        </xdr:cNvPr>
        <xdr:cNvSpPr txBox="1">
          <a:spLocks noChangeArrowheads="1"/>
        </xdr:cNvSpPr>
      </xdr:nvSpPr>
      <xdr:spPr bwMode="auto">
        <a:xfrm>
          <a:off x="6562725" y="6276975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F62D5B07-A61E-478C-BB04-AEFA11318147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288" name="Line 11">
          <a:extLst>
            <a:ext uri="{FF2B5EF4-FFF2-40B4-BE49-F238E27FC236}">
              <a16:creationId xmlns:a16="http://schemas.microsoft.com/office/drawing/2014/main" id="{CA5993C9-59B6-4E83-ACA7-31972356F8CF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1289" name="Freeform 12">
          <a:extLst>
            <a:ext uri="{FF2B5EF4-FFF2-40B4-BE49-F238E27FC236}">
              <a16:creationId xmlns:a16="http://schemas.microsoft.com/office/drawing/2014/main" id="{2A2544C0-23C1-4484-B773-0490E0042CAB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290" name="Group 13">
          <a:extLst>
            <a:ext uri="{FF2B5EF4-FFF2-40B4-BE49-F238E27FC236}">
              <a16:creationId xmlns:a16="http://schemas.microsoft.com/office/drawing/2014/main" id="{5174BA62-F394-45BB-9300-233CA90F70B2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384" name="Line 14">
            <a:extLst>
              <a:ext uri="{FF2B5EF4-FFF2-40B4-BE49-F238E27FC236}">
                <a16:creationId xmlns:a16="http://schemas.microsoft.com/office/drawing/2014/main" id="{539E3487-1A52-4777-BD11-FF7A9AA8C9A5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5" name="Line 15">
            <a:extLst>
              <a:ext uri="{FF2B5EF4-FFF2-40B4-BE49-F238E27FC236}">
                <a16:creationId xmlns:a16="http://schemas.microsoft.com/office/drawing/2014/main" id="{D05AAD61-4497-4551-98BE-E1A993D3CDE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6" name="Line 16">
            <a:extLst>
              <a:ext uri="{FF2B5EF4-FFF2-40B4-BE49-F238E27FC236}">
                <a16:creationId xmlns:a16="http://schemas.microsoft.com/office/drawing/2014/main" id="{C010CAE8-3CCC-4227-9B51-816808EFFF2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7" name="Line 17">
            <a:extLst>
              <a:ext uri="{FF2B5EF4-FFF2-40B4-BE49-F238E27FC236}">
                <a16:creationId xmlns:a16="http://schemas.microsoft.com/office/drawing/2014/main" id="{4CF91C08-2C47-408C-B5DE-FF169365876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291" name="Group 18">
          <a:extLst>
            <a:ext uri="{FF2B5EF4-FFF2-40B4-BE49-F238E27FC236}">
              <a16:creationId xmlns:a16="http://schemas.microsoft.com/office/drawing/2014/main" id="{E81A403D-DF33-4816-BDE6-C5AB08826B2F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382" name="Line 19">
            <a:extLst>
              <a:ext uri="{FF2B5EF4-FFF2-40B4-BE49-F238E27FC236}">
                <a16:creationId xmlns:a16="http://schemas.microsoft.com/office/drawing/2014/main" id="{86B95479-37CF-41DF-AF93-C93EBC567A6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3" name="Line 20">
            <a:extLst>
              <a:ext uri="{FF2B5EF4-FFF2-40B4-BE49-F238E27FC236}">
                <a16:creationId xmlns:a16="http://schemas.microsoft.com/office/drawing/2014/main" id="{ECB2D483-3552-4A00-A354-9593CF6C68E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292" name="Line 21">
          <a:extLst>
            <a:ext uri="{FF2B5EF4-FFF2-40B4-BE49-F238E27FC236}">
              <a16:creationId xmlns:a16="http://schemas.microsoft.com/office/drawing/2014/main" id="{BBB9BCEC-9A93-471D-9D2E-8D363F43B389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1293" name="Group 22">
          <a:extLst>
            <a:ext uri="{FF2B5EF4-FFF2-40B4-BE49-F238E27FC236}">
              <a16:creationId xmlns:a16="http://schemas.microsoft.com/office/drawing/2014/main" id="{CDF6D6B8-BA80-4BC6-8D7E-D570D2D541E9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1380" name="Line 23">
            <a:extLst>
              <a:ext uri="{FF2B5EF4-FFF2-40B4-BE49-F238E27FC236}">
                <a16:creationId xmlns:a16="http://schemas.microsoft.com/office/drawing/2014/main" id="{154091C2-416A-4291-B064-9E560DE1E7C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1" name="Line 24">
            <a:extLst>
              <a:ext uri="{FF2B5EF4-FFF2-40B4-BE49-F238E27FC236}">
                <a16:creationId xmlns:a16="http://schemas.microsoft.com/office/drawing/2014/main" id="{38D7CF52-AC6D-4325-99C4-9B1D814ED5B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19</xdr:row>
      <xdr:rowOff>28575</xdr:rowOff>
    </xdr:from>
    <xdr:to>
      <xdr:col>13</xdr:col>
      <xdr:colOff>0</xdr:colOff>
      <xdr:row>19</xdr:row>
      <xdr:rowOff>171450</xdr:rowOff>
    </xdr:to>
    <xdr:sp macro="" textlink="">
      <xdr:nvSpPr>
        <xdr:cNvPr id="1294" name="Freeform 64">
          <a:extLst>
            <a:ext uri="{FF2B5EF4-FFF2-40B4-BE49-F238E27FC236}">
              <a16:creationId xmlns:a16="http://schemas.microsoft.com/office/drawing/2014/main" id="{885FB685-05D7-41AE-BE74-F214EDAC6715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71657 h 325"/>
            <a:gd name="T2" fmla="*/ 36705 w 724"/>
            <a:gd name="T3" fmla="*/ 0 h 325"/>
            <a:gd name="T4" fmla="*/ 110524 w 724"/>
            <a:gd name="T5" fmla="*/ 142875 h 325"/>
            <a:gd name="T6" fmla="*/ 184343 w 724"/>
            <a:gd name="T7" fmla="*/ 0 h 325"/>
            <a:gd name="T8" fmla="*/ 258162 w 724"/>
            <a:gd name="T9" fmla="*/ 142875 h 325"/>
            <a:gd name="T10" fmla="*/ 295275 w 724"/>
            <a:gd name="T11" fmla="*/ 71657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18</xdr:row>
      <xdr:rowOff>28575</xdr:rowOff>
    </xdr:from>
    <xdr:to>
      <xdr:col>10</xdr:col>
      <xdr:colOff>276225</xdr:colOff>
      <xdr:row>18</xdr:row>
      <xdr:rowOff>180975</xdr:rowOff>
    </xdr:to>
    <xdr:grpSp>
      <xdr:nvGrpSpPr>
        <xdr:cNvPr id="1295" name="Group 65">
          <a:extLst>
            <a:ext uri="{FF2B5EF4-FFF2-40B4-BE49-F238E27FC236}">
              <a16:creationId xmlns:a16="http://schemas.microsoft.com/office/drawing/2014/main" id="{2C7E5BC8-D283-452D-BF6E-BABB924E5282}"/>
            </a:ext>
          </a:extLst>
        </xdr:cNvPr>
        <xdr:cNvGrpSpPr>
          <a:grpSpLocks/>
        </xdr:cNvGrpSpPr>
      </xdr:nvGrpSpPr>
      <xdr:grpSpPr bwMode="auto">
        <a:xfrm>
          <a:off x="2819400" y="7181850"/>
          <a:ext cx="219075" cy="152400"/>
          <a:chOff x="132" y="708"/>
          <a:chExt cx="20" cy="14"/>
        </a:xfrm>
      </xdr:grpSpPr>
      <xdr:sp macro="" textlink="">
        <xdr:nvSpPr>
          <xdr:cNvPr id="1376" name="Line 66">
            <a:extLst>
              <a:ext uri="{FF2B5EF4-FFF2-40B4-BE49-F238E27FC236}">
                <a16:creationId xmlns:a16="http://schemas.microsoft.com/office/drawing/2014/main" id="{D1472449-0447-47FC-B4BA-A9D6C427F49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7" name="Line 67">
            <a:extLst>
              <a:ext uri="{FF2B5EF4-FFF2-40B4-BE49-F238E27FC236}">
                <a16:creationId xmlns:a16="http://schemas.microsoft.com/office/drawing/2014/main" id="{24C3C896-3EDD-43C8-8D6B-D8C4036C81E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8" name="Line 68">
            <a:extLst>
              <a:ext uri="{FF2B5EF4-FFF2-40B4-BE49-F238E27FC236}">
                <a16:creationId xmlns:a16="http://schemas.microsoft.com/office/drawing/2014/main" id="{3C6069D0-48FF-4514-A372-3A05F5F49FB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9" name="Line 69">
            <a:extLst>
              <a:ext uri="{FF2B5EF4-FFF2-40B4-BE49-F238E27FC236}">
                <a16:creationId xmlns:a16="http://schemas.microsoft.com/office/drawing/2014/main" id="{0C0F9A02-1893-4353-8F79-FC4C4C18DCF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18</xdr:row>
      <xdr:rowOff>85725</xdr:rowOff>
    </xdr:from>
    <xdr:to>
      <xdr:col>14</xdr:col>
      <xdr:colOff>0</xdr:colOff>
      <xdr:row>18</xdr:row>
      <xdr:rowOff>133350</xdr:rowOff>
    </xdr:to>
    <xdr:grpSp>
      <xdr:nvGrpSpPr>
        <xdr:cNvPr id="1296" name="Group 70">
          <a:extLst>
            <a:ext uri="{FF2B5EF4-FFF2-40B4-BE49-F238E27FC236}">
              <a16:creationId xmlns:a16="http://schemas.microsoft.com/office/drawing/2014/main" id="{3E5476D9-5F34-4616-B0D7-4386EB40A07B}"/>
            </a:ext>
          </a:extLst>
        </xdr:cNvPr>
        <xdr:cNvGrpSpPr>
          <a:grpSpLocks/>
        </xdr:cNvGrpSpPr>
      </xdr:nvGrpSpPr>
      <xdr:grpSpPr bwMode="auto">
        <a:xfrm>
          <a:off x="3086100" y="7239000"/>
          <a:ext cx="933450" cy="47625"/>
          <a:chOff x="158" y="715"/>
          <a:chExt cx="33" cy="5"/>
        </a:xfrm>
      </xdr:grpSpPr>
      <xdr:sp macro="" textlink="">
        <xdr:nvSpPr>
          <xdr:cNvPr id="1374" name="Line 71">
            <a:extLst>
              <a:ext uri="{FF2B5EF4-FFF2-40B4-BE49-F238E27FC236}">
                <a16:creationId xmlns:a16="http://schemas.microsoft.com/office/drawing/2014/main" id="{E70D30AC-C306-45A4-8C73-7B240034BEC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5" name="Line 72">
            <a:extLst>
              <a:ext uri="{FF2B5EF4-FFF2-40B4-BE49-F238E27FC236}">
                <a16:creationId xmlns:a16="http://schemas.microsoft.com/office/drawing/2014/main" id="{7456F482-35E6-4B0D-AF7A-3F6A772E109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85725</xdr:rowOff>
    </xdr:from>
    <xdr:to>
      <xdr:col>14</xdr:col>
      <xdr:colOff>9525</xdr:colOff>
      <xdr:row>19</xdr:row>
      <xdr:rowOff>133350</xdr:rowOff>
    </xdr:to>
    <xdr:grpSp>
      <xdr:nvGrpSpPr>
        <xdr:cNvPr id="1297" name="Group 73">
          <a:extLst>
            <a:ext uri="{FF2B5EF4-FFF2-40B4-BE49-F238E27FC236}">
              <a16:creationId xmlns:a16="http://schemas.microsoft.com/office/drawing/2014/main" id="{15AFA886-29BB-4458-9D7B-ACF9D1ECB0E2}"/>
            </a:ext>
          </a:extLst>
        </xdr:cNvPr>
        <xdr:cNvGrpSpPr>
          <a:grpSpLocks/>
        </xdr:cNvGrpSpPr>
      </xdr:nvGrpSpPr>
      <xdr:grpSpPr bwMode="auto">
        <a:xfrm>
          <a:off x="3714750" y="7467600"/>
          <a:ext cx="314325" cy="47625"/>
          <a:chOff x="158" y="715"/>
          <a:chExt cx="33" cy="5"/>
        </a:xfrm>
      </xdr:grpSpPr>
      <xdr:sp macro="" textlink="">
        <xdr:nvSpPr>
          <xdr:cNvPr id="1372" name="Line 74">
            <a:extLst>
              <a:ext uri="{FF2B5EF4-FFF2-40B4-BE49-F238E27FC236}">
                <a16:creationId xmlns:a16="http://schemas.microsoft.com/office/drawing/2014/main" id="{CE222A97-55FC-4856-9492-C70BD73886B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3" name="Line 75">
            <a:extLst>
              <a:ext uri="{FF2B5EF4-FFF2-40B4-BE49-F238E27FC236}">
                <a16:creationId xmlns:a16="http://schemas.microsoft.com/office/drawing/2014/main" id="{F2D10F5B-5A02-4785-972A-3EFD8A5772B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85725</xdr:rowOff>
    </xdr:from>
    <xdr:to>
      <xdr:col>9</xdr:col>
      <xdr:colOff>9525</xdr:colOff>
      <xdr:row>18</xdr:row>
      <xdr:rowOff>133350</xdr:rowOff>
    </xdr:to>
    <xdr:grpSp>
      <xdr:nvGrpSpPr>
        <xdr:cNvPr id="1298" name="Group 76">
          <a:extLst>
            <a:ext uri="{FF2B5EF4-FFF2-40B4-BE49-F238E27FC236}">
              <a16:creationId xmlns:a16="http://schemas.microsoft.com/office/drawing/2014/main" id="{EDDCF6F1-AC1A-495D-AE76-CA8C86E48F21}"/>
            </a:ext>
          </a:extLst>
        </xdr:cNvPr>
        <xdr:cNvGrpSpPr>
          <a:grpSpLocks/>
        </xdr:cNvGrpSpPr>
      </xdr:nvGrpSpPr>
      <xdr:grpSpPr bwMode="auto">
        <a:xfrm>
          <a:off x="885825" y="7239000"/>
          <a:ext cx="1571625" cy="47625"/>
          <a:chOff x="158" y="715"/>
          <a:chExt cx="33" cy="5"/>
        </a:xfrm>
      </xdr:grpSpPr>
      <xdr:sp macro="" textlink="">
        <xdr:nvSpPr>
          <xdr:cNvPr id="1370" name="Line 77">
            <a:extLst>
              <a:ext uri="{FF2B5EF4-FFF2-40B4-BE49-F238E27FC236}">
                <a16:creationId xmlns:a16="http://schemas.microsoft.com/office/drawing/2014/main" id="{8FCD6E39-98C9-4A5A-82D8-1B9B2141A42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1" name="Line 78">
            <a:extLst>
              <a:ext uri="{FF2B5EF4-FFF2-40B4-BE49-F238E27FC236}">
                <a16:creationId xmlns:a16="http://schemas.microsoft.com/office/drawing/2014/main" id="{53B10BC4-707F-4366-954F-4BBF00C4922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18</xdr:row>
      <xdr:rowOff>114300</xdr:rowOff>
    </xdr:from>
    <xdr:to>
      <xdr:col>10</xdr:col>
      <xdr:colOff>9525</xdr:colOff>
      <xdr:row>18</xdr:row>
      <xdr:rowOff>114300</xdr:rowOff>
    </xdr:to>
    <xdr:sp macro="" textlink="">
      <xdr:nvSpPr>
        <xdr:cNvPr id="1299" name="Line 79">
          <a:extLst>
            <a:ext uri="{FF2B5EF4-FFF2-40B4-BE49-F238E27FC236}">
              <a16:creationId xmlns:a16="http://schemas.microsoft.com/office/drawing/2014/main" id="{2885962C-145C-4414-89FE-09B93A46BB9C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114300</xdr:rowOff>
    </xdr:from>
    <xdr:to>
      <xdr:col>12</xdr:col>
      <xdr:colOff>9525</xdr:colOff>
      <xdr:row>19</xdr:row>
      <xdr:rowOff>114300</xdr:rowOff>
    </xdr:to>
    <xdr:sp macro="" textlink="">
      <xdr:nvSpPr>
        <xdr:cNvPr id="1300" name="Line 80">
          <a:extLst>
            <a:ext uri="{FF2B5EF4-FFF2-40B4-BE49-F238E27FC236}">
              <a16:creationId xmlns:a16="http://schemas.microsoft.com/office/drawing/2014/main" id="{B2EFCACF-217D-4C43-ABED-D2648B36D67D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9525</xdr:colOff>
      <xdr:row>19</xdr:row>
      <xdr:rowOff>133350</xdr:rowOff>
    </xdr:to>
    <xdr:grpSp>
      <xdr:nvGrpSpPr>
        <xdr:cNvPr id="1301" name="Group 81">
          <a:extLst>
            <a:ext uri="{FF2B5EF4-FFF2-40B4-BE49-F238E27FC236}">
              <a16:creationId xmlns:a16="http://schemas.microsoft.com/office/drawing/2014/main" id="{F5C28956-882C-401A-ACCB-C636EC35144E}"/>
            </a:ext>
          </a:extLst>
        </xdr:cNvPr>
        <xdr:cNvGrpSpPr>
          <a:grpSpLocks/>
        </xdr:cNvGrpSpPr>
      </xdr:nvGrpSpPr>
      <xdr:grpSpPr bwMode="auto">
        <a:xfrm>
          <a:off x="876300" y="7467600"/>
          <a:ext cx="1581150" cy="47625"/>
          <a:chOff x="158" y="715"/>
          <a:chExt cx="33" cy="5"/>
        </a:xfrm>
      </xdr:grpSpPr>
      <xdr:sp macro="" textlink="">
        <xdr:nvSpPr>
          <xdr:cNvPr id="1368" name="Line 82">
            <a:extLst>
              <a:ext uri="{FF2B5EF4-FFF2-40B4-BE49-F238E27FC236}">
                <a16:creationId xmlns:a16="http://schemas.microsoft.com/office/drawing/2014/main" id="{23237B84-737F-46DF-8813-C7DDE135BEA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9" name="Line 83">
            <a:extLst>
              <a:ext uri="{FF2B5EF4-FFF2-40B4-BE49-F238E27FC236}">
                <a16:creationId xmlns:a16="http://schemas.microsoft.com/office/drawing/2014/main" id="{CDC13822-8964-4555-BB36-DFD61E8762F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7</xdr:row>
      <xdr:rowOff>342900</xdr:rowOff>
    </xdr:from>
    <xdr:to>
      <xdr:col>5</xdr:col>
      <xdr:colOff>257175</xdr:colOff>
      <xdr:row>7</xdr:row>
      <xdr:rowOff>1514475</xdr:rowOff>
    </xdr:to>
    <xdr:sp macro="" textlink="">
      <xdr:nvSpPr>
        <xdr:cNvPr id="1108" name="Text Box 84">
          <a:extLst>
            <a:ext uri="{FF2B5EF4-FFF2-40B4-BE49-F238E27FC236}">
              <a16:creationId xmlns:a16="http://schemas.microsoft.com/office/drawing/2014/main" id="{7C820211-203C-4D5B-86C3-51C0025497D4}"/>
            </a:ext>
          </a:extLst>
        </xdr:cNvPr>
        <xdr:cNvSpPr txBox="1">
          <a:spLocks noChangeArrowheads="1"/>
        </xdr:cNvSpPr>
      </xdr:nvSpPr>
      <xdr:spPr bwMode="auto">
        <a:xfrm>
          <a:off x="1200150" y="1981200"/>
          <a:ext cx="247650" cy="11715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中央７丁目</a:t>
          </a:r>
        </a:p>
      </xdr:txBody>
    </xdr:sp>
    <xdr:clientData/>
  </xdr:twoCellAnchor>
  <xdr:twoCellAnchor>
    <xdr:from>
      <xdr:col>19</xdr:col>
      <xdr:colOff>85725</xdr:colOff>
      <xdr:row>7</xdr:row>
      <xdr:rowOff>114300</xdr:rowOff>
    </xdr:from>
    <xdr:to>
      <xdr:col>20</xdr:col>
      <xdr:colOff>19050</xdr:colOff>
      <xdr:row>7</xdr:row>
      <xdr:rowOff>1685925</xdr:rowOff>
    </xdr:to>
    <xdr:sp macro="" textlink="">
      <xdr:nvSpPr>
        <xdr:cNvPr id="1109" name="Text Box 85">
          <a:extLst>
            <a:ext uri="{FF2B5EF4-FFF2-40B4-BE49-F238E27FC236}">
              <a16:creationId xmlns:a16="http://schemas.microsoft.com/office/drawing/2014/main" id="{EF9AF1E6-085A-4270-AA26-72BE6FBDB144}"/>
            </a:ext>
          </a:extLst>
        </xdr:cNvPr>
        <xdr:cNvSpPr txBox="1">
          <a:spLocks noChangeArrowheads="1"/>
        </xdr:cNvSpPr>
      </xdr:nvSpPr>
      <xdr:spPr bwMode="auto">
        <a:xfrm>
          <a:off x="5676900" y="1752600"/>
          <a:ext cx="247650" cy="157162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本通り６丁目</a:t>
          </a:r>
        </a:p>
      </xdr:txBody>
    </xdr:sp>
    <xdr:clientData/>
  </xdr:twoCellAnchor>
  <xdr:twoCellAnchor editAs="oneCell">
    <xdr:from>
      <xdr:col>5</xdr:col>
      <xdr:colOff>276225</xdr:colOff>
      <xdr:row>3</xdr:row>
      <xdr:rowOff>200025</xdr:rowOff>
    </xdr:from>
    <xdr:to>
      <xdr:col>19</xdr:col>
      <xdr:colOff>47625</xdr:colOff>
      <xdr:row>11</xdr:row>
      <xdr:rowOff>28575</xdr:rowOff>
    </xdr:to>
    <xdr:pic>
      <xdr:nvPicPr>
        <xdr:cNvPr id="1304" name="Picture 90">
          <a:extLst>
            <a:ext uri="{FF2B5EF4-FFF2-40B4-BE49-F238E27FC236}">
              <a16:creationId xmlns:a16="http://schemas.microsoft.com/office/drawing/2014/main" id="{F3D61F20-A011-499D-9192-3CE20429C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923925"/>
          <a:ext cx="4171950" cy="330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10</xdr:row>
      <xdr:rowOff>133350</xdr:rowOff>
    </xdr:from>
    <xdr:to>
      <xdr:col>6</xdr:col>
      <xdr:colOff>200025</xdr:colOff>
      <xdr:row>13</xdr:row>
      <xdr:rowOff>28575</xdr:rowOff>
    </xdr:to>
    <xdr:sp macro="" textlink="">
      <xdr:nvSpPr>
        <xdr:cNvPr id="1115" name="Text Box 91">
          <a:extLst>
            <a:ext uri="{FF2B5EF4-FFF2-40B4-BE49-F238E27FC236}">
              <a16:creationId xmlns:a16="http://schemas.microsoft.com/office/drawing/2014/main" id="{ADB6CDBB-39B9-4EDB-8C1A-79D95ADE651F}"/>
            </a:ext>
          </a:extLst>
        </xdr:cNvPr>
        <xdr:cNvSpPr txBox="1">
          <a:spLocks noChangeArrowheads="1"/>
        </xdr:cNvSpPr>
      </xdr:nvSpPr>
      <xdr:spPr bwMode="auto">
        <a:xfrm>
          <a:off x="76200" y="4105275"/>
          <a:ext cx="1628775" cy="5810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</a:p>
      </xdr:txBody>
    </xdr:sp>
    <xdr:clientData/>
  </xdr:twoCellAnchor>
  <xdr:twoCellAnchor editAs="oneCell">
    <xdr:from>
      <xdr:col>21</xdr:col>
      <xdr:colOff>19050</xdr:colOff>
      <xdr:row>3</xdr:row>
      <xdr:rowOff>9525</xdr:rowOff>
    </xdr:from>
    <xdr:to>
      <xdr:col>22</xdr:col>
      <xdr:colOff>180975</xdr:colOff>
      <xdr:row>6</xdr:row>
      <xdr:rowOff>19050</xdr:rowOff>
    </xdr:to>
    <xdr:pic>
      <xdr:nvPicPr>
        <xdr:cNvPr id="1306" name="Picture 95">
          <a:extLst>
            <a:ext uri="{FF2B5EF4-FFF2-40B4-BE49-F238E27FC236}">
              <a16:creationId xmlns:a16="http://schemas.microsoft.com/office/drawing/2014/main" id="{41048A2E-E397-4E9A-8CDA-2FE56A1EE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733425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85725</xdr:colOff>
      <xdr:row>15</xdr:row>
      <xdr:rowOff>428625</xdr:rowOff>
    </xdr:from>
    <xdr:to>
      <xdr:col>23</xdr:col>
      <xdr:colOff>247650</xdr:colOff>
      <xdr:row>15</xdr:row>
      <xdr:rowOff>1123950</xdr:rowOff>
    </xdr:to>
    <xdr:pic>
      <xdr:nvPicPr>
        <xdr:cNvPr id="1307" name="Picture 99">
          <a:extLst>
            <a:ext uri="{FF2B5EF4-FFF2-40B4-BE49-F238E27FC236}">
              <a16:creationId xmlns:a16="http://schemas.microsoft.com/office/drawing/2014/main" id="{EE08FE72-4330-4072-99CC-C8A9DF291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5543550"/>
          <a:ext cx="4762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161925</xdr:colOff>
      <xdr:row>15</xdr:row>
      <xdr:rowOff>323850</xdr:rowOff>
    </xdr:from>
    <xdr:to>
      <xdr:col>11</xdr:col>
      <xdr:colOff>152400</xdr:colOff>
      <xdr:row>15</xdr:row>
      <xdr:rowOff>1323975</xdr:rowOff>
    </xdr:to>
    <xdr:grpSp>
      <xdr:nvGrpSpPr>
        <xdr:cNvPr id="1308" name="Group 101">
          <a:extLst>
            <a:ext uri="{FF2B5EF4-FFF2-40B4-BE49-F238E27FC236}">
              <a16:creationId xmlns:a16="http://schemas.microsoft.com/office/drawing/2014/main" id="{DB951EF2-2AE1-454A-9721-4270052A6419}"/>
            </a:ext>
          </a:extLst>
        </xdr:cNvPr>
        <xdr:cNvGrpSpPr>
          <a:grpSpLocks/>
        </xdr:cNvGrpSpPr>
      </xdr:nvGrpSpPr>
      <xdr:grpSpPr bwMode="auto">
        <a:xfrm>
          <a:off x="2924175" y="5438775"/>
          <a:ext cx="304800" cy="1000125"/>
          <a:chOff x="306" y="566"/>
          <a:chExt cx="32" cy="105"/>
        </a:xfrm>
      </xdr:grpSpPr>
      <xdr:sp macro="" textlink="">
        <xdr:nvSpPr>
          <xdr:cNvPr id="1360" name="Line 102">
            <a:extLst>
              <a:ext uri="{FF2B5EF4-FFF2-40B4-BE49-F238E27FC236}">
                <a16:creationId xmlns:a16="http://schemas.microsoft.com/office/drawing/2014/main" id="{115CEF27-B78C-4394-8123-CAC40A16F9DC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270" y="61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1" name="Freeform 103">
            <a:extLst>
              <a:ext uri="{FF2B5EF4-FFF2-40B4-BE49-F238E27FC236}">
                <a16:creationId xmlns:a16="http://schemas.microsoft.com/office/drawing/2014/main" id="{3559BFBA-BCE4-4C2D-AAF2-F4FDAE6B1F37}"/>
              </a:ext>
            </a:extLst>
          </xdr:cNvPr>
          <xdr:cNvSpPr>
            <a:spLocks/>
          </xdr:cNvSpPr>
        </xdr:nvSpPr>
        <xdr:spPr bwMode="auto">
          <a:xfrm rot="-5400000">
            <a:off x="318" y="567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2" name="Freeform 104">
            <a:extLst>
              <a:ext uri="{FF2B5EF4-FFF2-40B4-BE49-F238E27FC236}">
                <a16:creationId xmlns:a16="http://schemas.microsoft.com/office/drawing/2014/main" id="{96E431EF-7846-44EE-927F-E571E7B0070D}"/>
              </a:ext>
            </a:extLst>
          </xdr:cNvPr>
          <xdr:cNvSpPr>
            <a:spLocks/>
          </xdr:cNvSpPr>
        </xdr:nvSpPr>
        <xdr:spPr bwMode="auto">
          <a:xfrm rot="-5400000">
            <a:off x="314" y="639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3" name="Line 105">
            <a:extLst>
              <a:ext uri="{FF2B5EF4-FFF2-40B4-BE49-F238E27FC236}">
                <a16:creationId xmlns:a16="http://schemas.microsoft.com/office/drawing/2014/main" id="{9B000C95-3FE5-4B02-9175-E33C7C8CD561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10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4" name="Freeform 106">
            <a:extLst>
              <a:ext uri="{FF2B5EF4-FFF2-40B4-BE49-F238E27FC236}">
                <a16:creationId xmlns:a16="http://schemas.microsoft.com/office/drawing/2014/main" id="{812A54D9-86F4-4F50-81C1-6C99209BC2A0}"/>
              </a:ext>
            </a:extLst>
          </xdr:cNvPr>
          <xdr:cNvSpPr>
            <a:spLocks/>
          </xdr:cNvSpPr>
        </xdr:nvSpPr>
        <xdr:spPr bwMode="auto">
          <a:xfrm rot="-5400000">
            <a:off x="306" y="635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5" name="Freeform 107">
            <a:extLst>
              <a:ext uri="{FF2B5EF4-FFF2-40B4-BE49-F238E27FC236}">
                <a16:creationId xmlns:a16="http://schemas.microsoft.com/office/drawing/2014/main" id="{080C4EDF-C060-411B-BF31-C101808851C7}"/>
              </a:ext>
            </a:extLst>
          </xdr:cNvPr>
          <xdr:cNvSpPr>
            <a:spLocks/>
          </xdr:cNvSpPr>
        </xdr:nvSpPr>
        <xdr:spPr bwMode="auto">
          <a:xfrm rot="-5400000">
            <a:off x="322" y="628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66" name="Line 108">
            <a:extLst>
              <a:ext uri="{FF2B5EF4-FFF2-40B4-BE49-F238E27FC236}">
                <a16:creationId xmlns:a16="http://schemas.microsoft.com/office/drawing/2014/main" id="{F52513C9-EB7B-4450-9383-17DCDC233D0A}"/>
              </a:ext>
            </a:extLst>
          </xdr:cNvPr>
          <xdr:cNvSpPr>
            <a:spLocks noChangeShapeType="1"/>
          </xdr:cNvSpPr>
        </xdr:nvSpPr>
        <xdr:spPr bwMode="auto">
          <a:xfrm rot="-5400000">
            <a:off x="333" y="62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7" name="Freeform 109">
            <a:extLst>
              <a:ext uri="{FF2B5EF4-FFF2-40B4-BE49-F238E27FC236}">
                <a16:creationId xmlns:a16="http://schemas.microsoft.com/office/drawing/2014/main" id="{AB4AE64B-415A-40BB-92DF-80745DF4D32E}"/>
              </a:ext>
            </a:extLst>
          </xdr:cNvPr>
          <xdr:cNvSpPr>
            <a:spLocks/>
          </xdr:cNvSpPr>
        </xdr:nvSpPr>
        <xdr:spPr bwMode="auto">
          <a:xfrm rot="-5400000">
            <a:off x="331" y="624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438150</xdr:rowOff>
    </xdr:from>
    <xdr:to>
      <xdr:col>13</xdr:col>
      <xdr:colOff>38100</xdr:colOff>
      <xdr:row>15</xdr:row>
      <xdr:rowOff>1171575</xdr:rowOff>
    </xdr:to>
    <xdr:grpSp>
      <xdr:nvGrpSpPr>
        <xdr:cNvPr id="1309" name="Group 110">
          <a:extLst>
            <a:ext uri="{FF2B5EF4-FFF2-40B4-BE49-F238E27FC236}">
              <a16:creationId xmlns:a16="http://schemas.microsoft.com/office/drawing/2014/main" id="{CD18FF00-EEE6-4F2B-BFFF-291F6CC5875A}"/>
            </a:ext>
          </a:extLst>
        </xdr:cNvPr>
        <xdr:cNvGrpSpPr>
          <a:grpSpLocks/>
        </xdr:cNvGrpSpPr>
      </xdr:nvGrpSpPr>
      <xdr:grpSpPr bwMode="auto">
        <a:xfrm rot="5400000">
          <a:off x="3348037" y="5891213"/>
          <a:ext cx="733425" cy="57150"/>
          <a:chOff x="123" y="549"/>
          <a:chExt cx="77" cy="6"/>
        </a:xfrm>
      </xdr:grpSpPr>
      <xdr:sp macro="" textlink="">
        <xdr:nvSpPr>
          <xdr:cNvPr id="1357" name="Line 111">
            <a:extLst>
              <a:ext uri="{FF2B5EF4-FFF2-40B4-BE49-F238E27FC236}">
                <a16:creationId xmlns:a16="http://schemas.microsoft.com/office/drawing/2014/main" id="{BE17C30B-F8CD-4652-A502-9015477D528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8" name="Freeform 112">
            <a:extLst>
              <a:ext uri="{FF2B5EF4-FFF2-40B4-BE49-F238E27FC236}">
                <a16:creationId xmlns:a16="http://schemas.microsoft.com/office/drawing/2014/main" id="{4502EF54-0FDB-46D8-9495-7706027430E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9" name="Freeform 113">
            <a:extLst>
              <a:ext uri="{FF2B5EF4-FFF2-40B4-BE49-F238E27FC236}">
                <a16:creationId xmlns:a16="http://schemas.microsoft.com/office/drawing/2014/main" id="{29460242-A346-4B6B-AD06-B3614ADF6D7E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171450</xdr:colOff>
      <xdr:row>15</xdr:row>
      <xdr:rowOff>323850</xdr:rowOff>
    </xdr:from>
    <xdr:to>
      <xdr:col>12</xdr:col>
      <xdr:colOff>152400</xdr:colOff>
      <xdr:row>15</xdr:row>
      <xdr:rowOff>1323975</xdr:rowOff>
    </xdr:to>
    <xdr:grpSp>
      <xdr:nvGrpSpPr>
        <xdr:cNvPr id="1310" name="Group 114">
          <a:extLst>
            <a:ext uri="{FF2B5EF4-FFF2-40B4-BE49-F238E27FC236}">
              <a16:creationId xmlns:a16="http://schemas.microsoft.com/office/drawing/2014/main" id="{19ACD1A6-67E7-4A03-B2AC-0A29718C0322}"/>
            </a:ext>
          </a:extLst>
        </xdr:cNvPr>
        <xdr:cNvGrpSpPr>
          <a:grpSpLocks/>
        </xdr:cNvGrpSpPr>
      </xdr:nvGrpSpPr>
      <xdr:grpSpPr bwMode="auto">
        <a:xfrm>
          <a:off x="3248025" y="5438775"/>
          <a:ext cx="295275" cy="1000125"/>
          <a:chOff x="342" y="566"/>
          <a:chExt cx="31" cy="105"/>
        </a:xfrm>
      </xdr:grpSpPr>
      <xdr:sp macro="" textlink="">
        <xdr:nvSpPr>
          <xdr:cNvPr id="1349" name="Line 115">
            <a:extLst>
              <a:ext uri="{FF2B5EF4-FFF2-40B4-BE49-F238E27FC236}">
                <a16:creationId xmlns:a16="http://schemas.microsoft.com/office/drawing/2014/main" id="{29D1B74A-F6D7-4B00-A8DF-FC3052424A5F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05" y="61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0" name="Freeform 116">
            <a:extLst>
              <a:ext uri="{FF2B5EF4-FFF2-40B4-BE49-F238E27FC236}">
                <a16:creationId xmlns:a16="http://schemas.microsoft.com/office/drawing/2014/main" id="{11D593E4-B29E-4067-97D9-18E11A113587}"/>
              </a:ext>
            </a:extLst>
          </xdr:cNvPr>
          <xdr:cNvSpPr>
            <a:spLocks/>
          </xdr:cNvSpPr>
        </xdr:nvSpPr>
        <xdr:spPr bwMode="auto">
          <a:xfrm rot="5400000">
            <a:off x="353" y="665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1" name="Freeform 117">
            <a:extLst>
              <a:ext uri="{FF2B5EF4-FFF2-40B4-BE49-F238E27FC236}">
                <a16:creationId xmlns:a16="http://schemas.microsoft.com/office/drawing/2014/main" id="{CD662DB2-1AC2-4614-B51E-D3FB5DADAB86}"/>
              </a:ext>
            </a:extLst>
          </xdr:cNvPr>
          <xdr:cNvSpPr>
            <a:spLocks/>
          </xdr:cNvSpPr>
        </xdr:nvSpPr>
        <xdr:spPr bwMode="auto">
          <a:xfrm rot="5400000">
            <a:off x="357" y="590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2" name="Line 118">
            <a:extLst>
              <a:ext uri="{FF2B5EF4-FFF2-40B4-BE49-F238E27FC236}">
                <a16:creationId xmlns:a16="http://schemas.microsoft.com/office/drawing/2014/main" id="{1CABC790-9457-4BF4-BEB9-3017512CF896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69" y="59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3" name="Freeform 119">
            <a:extLst>
              <a:ext uri="{FF2B5EF4-FFF2-40B4-BE49-F238E27FC236}">
                <a16:creationId xmlns:a16="http://schemas.microsoft.com/office/drawing/2014/main" id="{B5622A5E-4E60-4D32-951C-086551847BB2}"/>
              </a:ext>
            </a:extLst>
          </xdr:cNvPr>
          <xdr:cNvSpPr>
            <a:spLocks/>
          </xdr:cNvSpPr>
        </xdr:nvSpPr>
        <xdr:spPr bwMode="auto">
          <a:xfrm rot="5400000">
            <a:off x="366" y="593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4" name="Freeform 120">
            <a:extLst>
              <a:ext uri="{FF2B5EF4-FFF2-40B4-BE49-F238E27FC236}">
                <a16:creationId xmlns:a16="http://schemas.microsoft.com/office/drawing/2014/main" id="{6BF00BB5-9D71-4A57-9F96-B8B994703256}"/>
              </a:ext>
            </a:extLst>
          </xdr:cNvPr>
          <xdr:cNvSpPr>
            <a:spLocks/>
          </xdr:cNvSpPr>
        </xdr:nvSpPr>
        <xdr:spPr bwMode="auto">
          <a:xfrm rot="5400000">
            <a:off x="350" y="601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55" name="Line 121">
            <a:extLst>
              <a:ext uri="{FF2B5EF4-FFF2-40B4-BE49-F238E27FC236}">
                <a16:creationId xmlns:a16="http://schemas.microsoft.com/office/drawing/2014/main" id="{6549DC33-F80B-4471-A4C8-192F646EE7E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47" y="60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6" name="Freeform 122">
            <a:extLst>
              <a:ext uri="{FF2B5EF4-FFF2-40B4-BE49-F238E27FC236}">
                <a16:creationId xmlns:a16="http://schemas.microsoft.com/office/drawing/2014/main" id="{4E61A485-53D3-471F-84B4-CC7A9528A2E5}"/>
              </a:ext>
            </a:extLst>
          </xdr:cNvPr>
          <xdr:cNvSpPr>
            <a:spLocks/>
          </xdr:cNvSpPr>
        </xdr:nvSpPr>
        <xdr:spPr bwMode="auto">
          <a:xfrm rot="5400000">
            <a:off x="342" y="605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171450</xdr:colOff>
      <xdr:row>15</xdr:row>
      <xdr:rowOff>1190625</xdr:rowOff>
    </xdr:from>
    <xdr:to>
      <xdr:col>10</xdr:col>
      <xdr:colOff>209550</xdr:colOff>
      <xdr:row>15</xdr:row>
      <xdr:rowOff>1352550</xdr:rowOff>
    </xdr:to>
    <xdr:sp macro="" textlink="">
      <xdr:nvSpPr>
        <xdr:cNvPr id="1147" name="Text Box 123">
          <a:extLst>
            <a:ext uri="{FF2B5EF4-FFF2-40B4-BE49-F238E27FC236}">
              <a16:creationId xmlns:a16="http://schemas.microsoft.com/office/drawing/2014/main" id="{E06B9455-64E6-43D2-9BE0-9B8A5937E83E}"/>
            </a:ext>
          </a:extLst>
        </xdr:cNvPr>
        <xdr:cNvSpPr txBox="1">
          <a:spLocks noChangeArrowheads="1"/>
        </xdr:cNvSpPr>
      </xdr:nvSpPr>
      <xdr:spPr bwMode="auto">
        <a:xfrm>
          <a:off x="2619375" y="630555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24.0m</a:t>
          </a:r>
        </a:p>
      </xdr:txBody>
    </xdr:sp>
    <xdr:clientData/>
  </xdr:twoCellAnchor>
  <xdr:twoCellAnchor>
    <xdr:from>
      <xdr:col>9</xdr:col>
      <xdr:colOff>295275</xdr:colOff>
      <xdr:row>15</xdr:row>
      <xdr:rowOff>438150</xdr:rowOff>
    </xdr:from>
    <xdr:to>
      <xdr:col>10</xdr:col>
      <xdr:colOff>38100</xdr:colOff>
      <xdr:row>15</xdr:row>
      <xdr:rowOff>1171575</xdr:rowOff>
    </xdr:to>
    <xdr:grpSp>
      <xdr:nvGrpSpPr>
        <xdr:cNvPr id="1312" name="Group 124">
          <a:extLst>
            <a:ext uri="{FF2B5EF4-FFF2-40B4-BE49-F238E27FC236}">
              <a16:creationId xmlns:a16="http://schemas.microsoft.com/office/drawing/2014/main" id="{56F645A3-F485-4350-AE64-68C29FABAAF4}"/>
            </a:ext>
          </a:extLst>
        </xdr:cNvPr>
        <xdr:cNvGrpSpPr>
          <a:grpSpLocks/>
        </xdr:cNvGrpSpPr>
      </xdr:nvGrpSpPr>
      <xdr:grpSpPr bwMode="auto">
        <a:xfrm rot="5400000">
          <a:off x="2405062" y="5891213"/>
          <a:ext cx="733425" cy="57150"/>
          <a:chOff x="123" y="549"/>
          <a:chExt cx="77" cy="6"/>
        </a:xfrm>
      </xdr:grpSpPr>
      <xdr:sp macro="" textlink="">
        <xdr:nvSpPr>
          <xdr:cNvPr id="1346" name="Line 125">
            <a:extLst>
              <a:ext uri="{FF2B5EF4-FFF2-40B4-BE49-F238E27FC236}">
                <a16:creationId xmlns:a16="http://schemas.microsoft.com/office/drawing/2014/main" id="{40CFA2C3-7BFB-44B7-8A54-703C824DF8F8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7" name="Freeform 126">
            <a:extLst>
              <a:ext uri="{FF2B5EF4-FFF2-40B4-BE49-F238E27FC236}">
                <a16:creationId xmlns:a16="http://schemas.microsoft.com/office/drawing/2014/main" id="{8202B5F8-BD1F-4CB0-9AB0-60D8F0994971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48" name="Freeform 127">
            <a:extLst>
              <a:ext uri="{FF2B5EF4-FFF2-40B4-BE49-F238E27FC236}">
                <a16:creationId xmlns:a16="http://schemas.microsoft.com/office/drawing/2014/main" id="{6090104A-75EF-43F8-8754-89AD95DE3F26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171450</xdr:colOff>
      <xdr:row>15</xdr:row>
      <xdr:rowOff>1190625</xdr:rowOff>
    </xdr:from>
    <xdr:to>
      <xdr:col>13</xdr:col>
      <xdr:colOff>209550</xdr:colOff>
      <xdr:row>15</xdr:row>
      <xdr:rowOff>1352550</xdr:rowOff>
    </xdr:to>
    <xdr:sp macro="" textlink="">
      <xdr:nvSpPr>
        <xdr:cNvPr id="1152" name="Text Box 128">
          <a:extLst>
            <a:ext uri="{FF2B5EF4-FFF2-40B4-BE49-F238E27FC236}">
              <a16:creationId xmlns:a16="http://schemas.microsoft.com/office/drawing/2014/main" id="{AC5DC053-D838-44FD-B864-43678317E50F}"/>
            </a:ext>
          </a:extLst>
        </xdr:cNvPr>
        <xdr:cNvSpPr txBox="1">
          <a:spLocks noChangeArrowheads="1"/>
        </xdr:cNvSpPr>
      </xdr:nvSpPr>
      <xdr:spPr bwMode="auto">
        <a:xfrm>
          <a:off x="3562350" y="630555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24.0m</a:t>
          </a:r>
        </a:p>
      </xdr:txBody>
    </xdr:sp>
    <xdr:clientData/>
  </xdr:twoCellAnchor>
  <xdr:twoCellAnchor>
    <xdr:from>
      <xdr:col>9</xdr:col>
      <xdr:colOff>200025</xdr:colOff>
      <xdr:row>15</xdr:row>
      <xdr:rowOff>238125</xdr:rowOff>
    </xdr:from>
    <xdr:to>
      <xdr:col>10</xdr:col>
      <xdr:colOff>238125</xdr:colOff>
      <xdr:row>15</xdr:row>
      <xdr:rowOff>400050</xdr:rowOff>
    </xdr:to>
    <xdr:sp macro="" textlink="">
      <xdr:nvSpPr>
        <xdr:cNvPr id="1153" name="Text Box 129">
          <a:extLst>
            <a:ext uri="{FF2B5EF4-FFF2-40B4-BE49-F238E27FC236}">
              <a16:creationId xmlns:a16="http://schemas.microsoft.com/office/drawing/2014/main" id="{A0B9CB55-1F15-49FC-AE63-6BD72B8D5042}"/>
            </a:ext>
          </a:extLst>
        </xdr:cNvPr>
        <xdr:cNvSpPr txBox="1">
          <a:spLocks noChangeArrowheads="1"/>
        </xdr:cNvSpPr>
      </xdr:nvSpPr>
      <xdr:spPr bwMode="auto">
        <a:xfrm>
          <a:off x="2647950" y="535305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12</xdr:col>
      <xdr:colOff>200025</xdr:colOff>
      <xdr:row>15</xdr:row>
      <xdr:rowOff>238125</xdr:rowOff>
    </xdr:from>
    <xdr:to>
      <xdr:col>13</xdr:col>
      <xdr:colOff>238125</xdr:colOff>
      <xdr:row>15</xdr:row>
      <xdr:rowOff>400050</xdr:rowOff>
    </xdr:to>
    <xdr:sp macro="" textlink="">
      <xdr:nvSpPr>
        <xdr:cNvPr id="1154" name="Text Box 130">
          <a:extLst>
            <a:ext uri="{FF2B5EF4-FFF2-40B4-BE49-F238E27FC236}">
              <a16:creationId xmlns:a16="http://schemas.microsoft.com/office/drawing/2014/main" id="{2DE26C98-04CE-4BD2-AAB9-EDF4090F9593}"/>
            </a:ext>
          </a:extLst>
        </xdr:cNvPr>
        <xdr:cNvSpPr txBox="1">
          <a:spLocks noChangeArrowheads="1"/>
        </xdr:cNvSpPr>
      </xdr:nvSpPr>
      <xdr:spPr bwMode="auto">
        <a:xfrm>
          <a:off x="3590925" y="535305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4</xdr:col>
      <xdr:colOff>285750</xdr:colOff>
      <xdr:row>15</xdr:row>
      <xdr:rowOff>495300</xdr:rowOff>
    </xdr:from>
    <xdr:to>
      <xdr:col>8</xdr:col>
      <xdr:colOff>28575</xdr:colOff>
      <xdr:row>15</xdr:row>
      <xdr:rowOff>800100</xdr:rowOff>
    </xdr:to>
    <xdr:grpSp>
      <xdr:nvGrpSpPr>
        <xdr:cNvPr id="1316" name="Group 132">
          <a:extLst>
            <a:ext uri="{FF2B5EF4-FFF2-40B4-BE49-F238E27FC236}">
              <a16:creationId xmlns:a16="http://schemas.microsoft.com/office/drawing/2014/main" id="{B3214C82-972A-4A08-B70F-7AE419DC6ACD}"/>
            </a:ext>
          </a:extLst>
        </xdr:cNvPr>
        <xdr:cNvGrpSpPr>
          <a:grpSpLocks/>
        </xdr:cNvGrpSpPr>
      </xdr:nvGrpSpPr>
      <xdr:grpSpPr bwMode="auto">
        <a:xfrm>
          <a:off x="1162050" y="5610225"/>
          <a:ext cx="1000125" cy="304800"/>
          <a:chOff x="110" y="567"/>
          <a:chExt cx="105" cy="32"/>
        </a:xfrm>
      </xdr:grpSpPr>
      <xdr:sp macro="" textlink="">
        <xdr:nvSpPr>
          <xdr:cNvPr id="1338" name="Line 133">
            <a:extLst>
              <a:ext uri="{FF2B5EF4-FFF2-40B4-BE49-F238E27FC236}">
                <a16:creationId xmlns:a16="http://schemas.microsoft.com/office/drawing/2014/main" id="{A45BDCF8-14A5-4012-AD99-60BC24730F03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9" name="Freeform 134">
            <a:extLst>
              <a:ext uri="{FF2B5EF4-FFF2-40B4-BE49-F238E27FC236}">
                <a16:creationId xmlns:a16="http://schemas.microsoft.com/office/drawing/2014/main" id="{6DCD692A-C7B0-4668-B149-15F728A70284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40" name="Freeform 135">
            <a:extLst>
              <a:ext uri="{FF2B5EF4-FFF2-40B4-BE49-F238E27FC236}">
                <a16:creationId xmlns:a16="http://schemas.microsoft.com/office/drawing/2014/main" id="{C72B284E-9E34-4569-8C2F-A1262C20658F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41" name="Line 136">
            <a:extLst>
              <a:ext uri="{FF2B5EF4-FFF2-40B4-BE49-F238E27FC236}">
                <a16:creationId xmlns:a16="http://schemas.microsoft.com/office/drawing/2014/main" id="{AD61FF55-3F8D-4C4E-A53D-F89CBD9CA4F5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2" name="Freeform 137">
            <a:extLst>
              <a:ext uri="{FF2B5EF4-FFF2-40B4-BE49-F238E27FC236}">
                <a16:creationId xmlns:a16="http://schemas.microsoft.com/office/drawing/2014/main" id="{A578EB3F-B500-4EEE-9A52-419098EC84E3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43" name="Freeform 138">
            <a:extLst>
              <a:ext uri="{FF2B5EF4-FFF2-40B4-BE49-F238E27FC236}">
                <a16:creationId xmlns:a16="http://schemas.microsoft.com/office/drawing/2014/main" id="{DE300B84-98C6-477F-9CA1-1207DB0D8AB8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44" name="Line 139">
            <a:extLst>
              <a:ext uri="{FF2B5EF4-FFF2-40B4-BE49-F238E27FC236}">
                <a16:creationId xmlns:a16="http://schemas.microsoft.com/office/drawing/2014/main" id="{2F2E9493-B025-4083-A79F-9FD30EAC2600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5" name="Freeform 140">
            <a:extLst>
              <a:ext uri="{FF2B5EF4-FFF2-40B4-BE49-F238E27FC236}">
                <a16:creationId xmlns:a16="http://schemas.microsoft.com/office/drawing/2014/main" id="{A3B20C53-7987-4DF4-9533-EACD2A30A084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323850</xdr:rowOff>
    </xdr:from>
    <xdr:to>
      <xdr:col>7</xdr:col>
      <xdr:colOff>200025</xdr:colOff>
      <xdr:row>15</xdr:row>
      <xdr:rowOff>381000</xdr:rowOff>
    </xdr:to>
    <xdr:grpSp>
      <xdr:nvGrpSpPr>
        <xdr:cNvPr id="1317" name="Group 141">
          <a:extLst>
            <a:ext uri="{FF2B5EF4-FFF2-40B4-BE49-F238E27FC236}">
              <a16:creationId xmlns:a16="http://schemas.microsoft.com/office/drawing/2014/main" id="{8595C985-AF41-42C3-9B7E-8C6645CAD160}"/>
            </a:ext>
          </a:extLst>
        </xdr:cNvPr>
        <xdr:cNvGrpSpPr>
          <a:grpSpLocks/>
        </xdr:cNvGrpSpPr>
      </xdr:nvGrpSpPr>
      <xdr:grpSpPr bwMode="auto">
        <a:xfrm>
          <a:off x="1285875" y="5438775"/>
          <a:ext cx="733425" cy="57150"/>
          <a:chOff x="123" y="549"/>
          <a:chExt cx="77" cy="6"/>
        </a:xfrm>
      </xdr:grpSpPr>
      <xdr:sp macro="" textlink="">
        <xdr:nvSpPr>
          <xdr:cNvPr id="1335" name="Line 142">
            <a:extLst>
              <a:ext uri="{FF2B5EF4-FFF2-40B4-BE49-F238E27FC236}">
                <a16:creationId xmlns:a16="http://schemas.microsoft.com/office/drawing/2014/main" id="{43C96507-8CC7-45E1-9E78-B167741C7BB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6" name="Freeform 143">
            <a:extLst>
              <a:ext uri="{FF2B5EF4-FFF2-40B4-BE49-F238E27FC236}">
                <a16:creationId xmlns:a16="http://schemas.microsoft.com/office/drawing/2014/main" id="{D1D56E37-B400-4943-A977-0A5C5ADA58F7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7" name="Freeform 144">
            <a:extLst>
              <a:ext uri="{FF2B5EF4-FFF2-40B4-BE49-F238E27FC236}">
                <a16:creationId xmlns:a16="http://schemas.microsoft.com/office/drawing/2014/main" id="{1491843A-E4FA-422B-A6EB-8947A01CECE5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857250</xdr:rowOff>
    </xdr:from>
    <xdr:to>
      <xdr:col>8</xdr:col>
      <xdr:colOff>28575</xdr:colOff>
      <xdr:row>15</xdr:row>
      <xdr:rowOff>1162050</xdr:rowOff>
    </xdr:to>
    <xdr:grpSp>
      <xdr:nvGrpSpPr>
        <xdr:cNvPr id="1318" name="Group 145">
          <a:extLst>
            <a:ext uri="{FF2B5EF4-FFF2-40B4-BE49-F238E27FC236}">
              <a16:creationId xmlns:a16="http://schemas.microsoft.com/office/drawing/2014/main" id="{C94826C2-8261-4BB4-8C07-87FF4E8E17DA}"/>
            </a:ext>
          </a:extLst>
        </xdr:cNvPr>
        <xdr:cNvGrpSpPr>
          <a:grpSpLocks/>
        </xdr:cNvGrpSpPr>
      </xdr:nvGrpSpPr>
      <xdr:grpSpPr bwMode="auto">
        <a:xfrm>
          <a:off x="1152525" y="5972175"/>
          <a:ext cx="1009650" cy="304800"/>
          <a:chOff x="105" y="627"/>
          <a:chExt cx="106" cy="32"/>
        </a:xfrm>
      </xdr:grpSpPr>
      <xdr:sp macro="" textlink="">
        <xdr:nvSpPr>
          <xdr:cNvPr id="1327" name="Line 146">
            <a:extLst>
              <a:ext uri="{FF2B5EF4-FFF2-40B4-BE49-F238E27FC236}">
                <a16:creationId xmlns:a16="http://schemas.microsoft.com/office/drawing/2014/main" id="{41F1A354-F237-42EE-A2E5-276C85EFAB18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8" name="Freeform 147">
            <a:extLst>
              <a:ext uri="{FF2B5EF4-FFF2-40B4-BE49-F238E27FC236}">
                <a16:creationId xmlns:a16="http://schemas.microsoft.com/office/drawing/2014/main" id="{C0D3B383-87FF-45AF-9C8A-06F25B2AD47D}"/>
              </a:ext>
            </a:extLst>
          </xdr:cNvPr>
          <xdr:cNvSpPr>
            <a:spLocks/>
          </xdr:cNvSpPr>
        </xdr:nvSpPr>
        <xdr:spPr bwMode="auto">
          <a:xfrm rot="10800000">
            <a:off x="105" y="640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29" name="Freeform 148">
            <a:extLst>
              <a:ext uri="{FF2B5EF4-FFF2-40B4-BE49-F238E27FC236}">
                <a16:creationId xmlns:a16="http://schemas.microsoft.com/office/drawing/2014/main" id="{6117786D-4942-4FEE-AC35-9A81DD69D247}"/>
              </a:ext>
            </a:extLst>
          </xdr:cNvPr>
          <xdr:cNvSpPr>
            <a:spLocks/>
          </xdr:cNvSpPr>
        </xdr:nvSpPr>
        <xdr:spPr bwMode="auto">
          <a:xfrm rot="10800000">
            <a:off x="179" y="643"/>
            <a:ext cx="7" cy="8"/>
          </a:xfrm>
          <a:custGeom>
            <a:avLst/>
            <a:gdLst>
              <a:gd name="T0" fmla="*/ 7 w 203"/>
              <a:gd name="T1" fmla="*/ 0 h 199"/>
              <a:gd name="T2" fmla="*/ 7 w 203"/>
              <a:gd name="T3" fmla="*/ 0 h 199"/>
              <a:gd name="T4" fmla="*/ 7 w 203"/>
              <a:gd name="T5" fmla="*/ 0 h 199"/>
              <a:gd name="T6" fmla="*/ 7 w 203"/>
              <a:gd name="T7" fmla="*/ 1 h 199"/>
              <a:gd name="T8" fmla="*/ 7 w 203"/>
              <a:gd name="T9" fmla="*/ 1 h 199"/>
              <a:gd name="T10" fmla="*/ 7 w 203"/>
              <a:gd name="T11" fmla="*/ 1 h 199"/>
              <a:gd name="T12" fmla="*/ 7 w 203"/>
              <a:gd name="T13" fmla="*/ 1 h 199"/>
              <a:gd name="T14" fmla="*/ 7 w 203"/>
              <a:gd name="T15" fmla="*/ 2 h 199"/>
              <a:gd name="T16" fmla="*/ 7 w 203"/>
              <a:gd name="T17" fmla="*/ 2 h 199"/>
              <a:gd name="T18" fmla="*/ 7 w 203"/>
              <a:gd name="T19" fmla="*/ 2 h 199"/>
              <a:gd name="T20" fmla="*/ 7 w 203"/>
              <a:gd name="T21" fmla="*/ 2 h 199"/>
              <a:gd name="T22" fmla="*/ 7 w 203"/>
              <a:gd name="T23" fmla="*/ 2 h 199"/>
              <a:gd name="T24" fmla="*/ 7 w 203"/>
              <a:gd name="T25" fmla="*/ 2 h 199"/>
              <a:gd name="T26" fmla="*/ 7 w 203"/>
              <a:gd name="T27" fmla="*/ 3 h 199"/>
              <a:gd name="T28" fmla="*/ 6 w 203"/>
              <a:gd name="T29" fmla="*/ 3 h 199"/>
              <a:gd name="T30" fmla="*/ 6 w 203"/>
              <a:gd name="T31" fmla="*/ 3 h 199"/>
              <a:gd name="T32" fmla="*/ 6 w 203"/>
              <a:gd name="T33" fmla="*/ 3 h 199"/>
              <a:gd name="T34" fmla="*/ 6 w 203"/>
              <a:gd name="T35" fmla="*/ 3 h 199"/>
              <a:gd name="T36" fmla="*/ 6 w 203"/>
              <a:gd name="T37" fmla="*/ 4 h 199"/>
              <a:gd name="T38" fmla="*/ 6 w 203"/>
              <a:gd name="T39" fmla="*/ 4 h 199"/>
              <a:gd name="T40" fmla="*/ 6 w 203"/>
              <a:gd name="T41" fmla="*/ 4 h 199"/>
              <a:gd name="T42" fmla="*/ 6 w 203"/>
              <a:gd name="T43" fmla="*/ 4 h 199"/>
              <a:gd name="T44" fmla="*/ 6 w 203"/>
              <a:gd name="T45" fmla="*/ 4 h 199"/>
              <a:gd name="T46" fmla="*/ 6 w 203"/>
              <a:gd name="T47" fmla="*/ 4 h 199"/>
              <a:gd name="T48" fmla="*/ 6 w 203"/>
              <a:gd name="T49" fmla="*/ 5 h 199"/>
              <a:gd name="T50" fmla="*/ 6 w 203"/>
              <a:gd name="T51" fmla="*/ 5 h 199"/>
              <a:gd name="T52" fmla="*/ 5 w 203"/>
              <a:gd name="T53" fmla="*/ 5 h 199"/>
              <a:gd name="T54" fmla="*/ 5 w 203"/>
              <a:gd name="T55" fmla="*/ 5 h 199"/>
              <a:gd name="T56" fmla="*/ 5 w 203"/>
              <a:gd name="T57" fmla="*/ 5 h 199"/>
              <a:gd name="T58" fmla="*/ 5 w 203"/>
              <a:gd name="T59" fmla="*/ 5 h 199"/>
              <a:gd name="T60" fmla="*/ 5 w 203"/>
              <a:gd name="T61" fmla="*/ 6 h 199"/>
              <a:gd name="T62" fmla="*/ 5 w 203"/>
              <a:gd name="T63" fmla="*/ 6 h 199"/>
              <a:gd name="T64" fmla="*/ 5 w 203"/>
              <a:gd name="T65" fmla="*/ 6 h 199"/>
              <a:gd name="T66" fmla="*/ 5 w 203"/>
              <a:gd name="T67" fmla="*/ 6 h 199"/>
              <a:gd name="T68" fmla="*/ 4 w 203"/>
              <a:gd name="T69" fmla="*/ 6 h 199"/>
              <a:gd name="T70" fmla="*/ 4 w 203"/>
              <a:gd name="T71" fmla="*/ 6 h 199"/>
              <a:gd name="T72" fmla="*/ 4 w 203"/>
              <a:gd name="T73" fmla="*/ 6 h 199"/>
              <a:gd name="T74" fmla="*/ 4 w 203"/>
              <a:gd name="T75" fmla="*/ 6 h 199"/>
              <a:gd name="T76" fmla="*/ 4 w 203"/>
              <a:gd name="T77" fmla="*/ 7 h 199"/>
              <a:gd name="T78" fmla="*/ 4 w 203"/>
              <a:gd name="T79" fmla="*/ 7 h 199"/>
              <a:gd name="T80" fmla="*/ 4 w 203"/>
              <a:gd name="T81" fmla="*/ 7 h 199"/>
              <a:gd name="T82" fmla="*/ 3 w 203"/>
              <a:gd name="T83" fmla="*/ 7 h 199"/>
              <a:gd name="T84" fmla="*/ 3 w 203"/>
              <a:gd name="T85" fmla="*/ 7 h 199"/>
              <a:gd name="T86" fmla="*/ 3 w 203"/>
              <a:gd name="T87" fmla="*/ 7 h 199"/>
              <a:gd name="T88" fmla="*/ 3 w 203"/>
              <a:gd name="T89" fmla="*/ 7 h 199"/>
              <a:gd name="T90" fmla="*/ 3 w 203"/>
              <a:gd name="T91" fmla="*/ 7 h 199"/>
              <a:gd name="T92" fmla="*/ 3 w 203"/>
              <a:gd name="T93" fmla="*/ 7 h 199"/>
              <a:gd name="T94" fmla="*/ 2 w 203"/>
              <a:gd name="T95" fmla="*/ 7 h 199"/>
              <a:gd name="T96" fmla="*/ 2 w 203"/>
              <a:gd name="T97" fmla="*/ 8 h 199"/>
              <a:gd name="T98" fmla="*/ 2 w 203"/>
              <a:gd name="T99" fmla="*/ 8 h 199"/>
              <a:gd name="T100" fmla="*/ 2 w 203"/>
              <a:gd name="T101" fmla="*/ 8 h 199"/>
              <a:gd name="T102" fmla="*/ 2 w 203"/>
              <a:gd name="T103" fmla="*/ 8 h 199"/>
              <a:gd name="T104" fmla="*/ 2 w 203"/>
              <a:gd name="T105" fmla="*/ 8 h 199"/>
              <a:gd name="T106" fmla="*/ 1 w 203"/>
              <a:gd name="T107" fmla="*/ 8 h 199"/>
              <a:gd name="T108" fmla="*/ 1 w 203"/>
              <a:gd name="T109" fmla="*/ 8 h 199"/>
              <a:gd name="T110" fmla="*/ 1 w 203"/>
              <a:gd name="T111" fmla="*/ 8 h 199"/>
              <a:gd name="T112" fmla="*/ 1 w 203"/>
              <a:gd name="T113" fmla="*/ 8 h 199"/>
              <a:gd name="T114" fmla="*/ 1 w 203"/>
              <a:gd name="T115" fmla="*/ 8 h 199"/>
              <a:gd name="T116" fmla="*/ 1 w 203"/>
              <a:gd name="T117" fmla="*/ 8 h 199"/>
              <a:gd name="T118" fmla="*/ 0 w 203"/>
              <a:gd name="T119" fmla="*/ 8 h 199"/>
              <a:gd name="T120" fmla="*/ 0 w 203"/>
              <a:gd name="T121" fmla="*/ 8 h 199"/>
              <a:gd name="T122" fmla="*/ 0 w 203"/>
              <a:gd name="T123" fmla="*/ 8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0" name="Line 149">
            <a:extLst>
              <a:ext uri="{FF2B5EF4-FFF2-40B4-BE49-F238E27FC236}">
                <a16:creationId xmlns:a16="http://schemas.microsoft.com/office/drawing/2014/main" id="{3871944F-250D-4F98-AA67-BC83DD24C40D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1" name="Freeform 150">
            <a:extLst>
              <a:ext uri="{FF2B5EF4-FFF2-40B4-BE49-F238E27FC236}">
                <a16:creationId xmlns:a16="http://schemas.microsoft.com/office/drawing/2014/main" id="{59AF98EF-EDEB-4479-8596-314750DB3D60}"/>
              </a:ext>
            </a:extLst>
          </xdr:cNvPr>
          <xdr:cNvSpPr>
            <a:spLocks/>
          </xdr:cNvSpPr>
        </xdr:nvSpPr>
        <xdr:spPr bwMode="auto">
          <a:xfrm rot="10800000">
            <a:off x="175" y="652"/>
            <a:ext cx="8" cy="7"/>
          </a:xfrm>
          <a:custGeom>
            <a:avLst/>
            <a:gdLst>
              <a:gd name="T0" fmla="*/ 8 w 207"/>
              <a:gd name="T1" fmla="*/ 7 h 176"/>
              <a:gd name="T2" fmla="*/ 4 w 207"/>
              <a:gd name="T3" fmla="*/ 0 h 176"/>
              <a:gd name="T4" fmla="*/ 0 w 207"/>
              <a:gd name="T5" fmla="*/ 7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2" name="Freeform 151">
            <a:extLst>
              <a:ext uri="{FF2B5EF4-FFF2-40B4-BE49-F238E27FC236}">
                <a16:creationId xmlns:a16="http://schemas.microsoft.com/office/drawing/2014/main" id="{3BEF6D69-E486-4837-8EA5-71BA9A839A95}"/>
              </a:ext>
            </a:extLst>
          </xdr:cNvPr>
          <xdr:cNvSpPr>
            <a:spLocks/>
          </xdr:cNvSpPr>
        </xdr:nvSpPr>
        <xdr:spPr bwMode="auto">
          <a:xfrm rot="10800000">
            <a:off x="168" y="63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1 w 201"/>
              <a:gd name="T5" fmla="*/ 0 h 202"/>
              <a:gd name="T6" fmla="*/ 1 w 201"/>
              <a:gd name="T7" fmla="*/ 0 h 202"/>
              <a:gd name="T8" fmla="*/ 1 w 201"/>
              <a:gd name="T9" fmla="*/ 0 h 202"/>
              <a:gd name="T10" fmla="*/ 1 w 201"/>
              <a:gd name="T11" fmla="*/ 0 h 202"/>
              <a:gd name="T12" fmla="*/ 1 w 201"/>
              <a:gd name="T13" fmla="*/ 0 h 202"/>
              <a:gd name="T14" fmla="*/ 2 w 201"/>
              <a:gd name="T15" fmla="*/ 0 h 202"/>
              <a:gd name="T16" fmla="*/ 2 w 201"/>
              <a:gd name="T17" fmla="*/ 0 h 202"/>
              <a:gd name="T18" fmla="*/ 2 w 201"/>
              <a:gd name="T19" fmla="*/ 0 h 202"/>
              <a:gd name="T20" fmla="*/ 2 w 201"/>
              <a:gd name="T21" fmla="*/ 0 h 202"/>
              <a:gd name="T22" fmla="*/ 2 w 201"/>
              <a:gd name="T23" fmla="*/ 0 h 202"/>
              <a:gd name="T24" fmla="*/ 3 w 201"/>
              <a:gd name="T25" fmla="*/ 0 h 202"/>
              <a:gd name="T26" fmla="*/ 3 w 201"/>
              <a:gd name="T27" fmla="*/ 0 h 202"/>
              <a:gd name="T28" fmla="*/ 3 w 201"/>
              <a:gd name="T29" fmla="*/ 1 h 202"/>
              <a:gd name="T30" fmla="*/ 3 w 201"/>
              <a:gd name="T31" fmla="*/ 1 h 202"/>
              <a:gd name="T32" fmla="*/ 3 w 201"/>
              <a:gd name="T33" fmla="*/ 1 h 202"/>
              <a:gd name="T34" fmla="*/ 3 w 201"/>
              <a:gd name="T35" fmla="*/ 1 h 202"/>
              <a:gd name="T36" fmla="*/ 4 w 201"/>
              <a:gd name="T37" fmla="*/ 1 h 202"/>
              <a:gd name="T38" fmla="*/ 4 w 201"/>
              <a:gd name="T39" fmla="*/ 1 h 202"/>
              <a:gd name="T40" fmla="*/ 4 w 201"/>
              <a:gd name="T41" fmla="*/ 1 h 202"/>
              <a:gd name="T42" fmla="*/ 4 w 201"/>
              <a:gd name="T43" fmla="*/ 1 h 202"/>
              <a:gd name="T44" fmla="*/ 4 w 201"/>
              <a:gd name="T45" fmla="*/ 1 h 202"/>
              <a:gd name="T46" fmla="*/ 4 w 201"/>
              <a:gd name="T47" fmla="*/ 1 h 202"/>
              <a:gd name="T48" fmla="*/ 5 w 201"/>
              <a:gd name="T49" fmla="*/ 1 h 202"/>
              <a:gd name="T50" fmla="*/ 5 w 201"/>
              <a:gd name="T51" fmla="*/ 1 h 202"/>
              <a:gd name="T52" fmla="*/ 5 w 201"/>
              <a:gd name="T53" fmla="*/ 2 h 202"/>
              <a:gd name="T54" fmla="*/ 5 w 201"/>
              <a:gd name="T55" fmla="*/ 2 h 202"/>
              <a:gd name="T56" fmla="*/ 5 w 201"/>
              <a:gd name="T57" fmla="*/ 2 h 202"/>
              <a:gd name="T58" fmla="*/ 5 w 201"/>
              <a:gd name="T59" fmla="*/ 2 h 202"/>
              <a:gd name="T60" fmla="*/ 6 w 201"/>
              <a:gd name="T61" fmla="*/ 2 h 202"/>
              <a:gd name="T62" fmla="*/ 6 w 201"/>
              <a:gd name="T63" fmla="*/ 2 h 202"/>
              <a:gd name="T64" fmla="*/ 6 w 201"/>
              <a:gd name="T65" fmla="*/ 2 h 202"/>
              <a:gd name="T66" fmla="*/ 6 w 201"/>
              <a:gd name="T67" fmla="*/ 2 h 202"/>
              <a:gd name="T68" fmla="*/ 6 w 201"/>
              <a:gd name="T69" fmla="*/ 3 h 202"/>
              <a:gd name="T70" fmla="*/ 6 w 201"/>
              <a:gd name="T71" fmla="*/ 3 h 202"/>
              <a:gd name="T72" fmla="*/ 6 w 201"/>
              <a:gd name="T73" fmla="*/ 3 h 202"/>
              <a:gd name="T74" fmla="*/ 6 w 201"/>
              <a:gd name="T75" fmla="*/ 3 h 202"/>
              <a:gd name="T76" fmla="*/ 7 w 201"/>
              <a:gd name="T77" fmla="*/ 3 h 202"/>
              <a:gd name="T78" fmla="*/ 7 w 201"/>
              <a:gd name="T79" fmla="*/ 3 h 202"/>
              <a:gd name="T80" fmla="*/ 7 w 201"/>
              <a:gd name="T81" fmla="*/ 3 h 202"/>
              <a:gd name="T82" fmla="*/ 7 w 201"/>
              <a:gd name="T83" fmla="*/ 4 h 202"/>
              <a:gd name="T84" fmla="*/ 7 w 201"/>
              <a:gd name="T85" fmla="*/ 4 h 202"/>
              <a:gd name="T86" fmla="*/ 7 w 201"/>
              <a:gd name="T87" fmla="*/ 4 h 202"/>
              <a:gd name="T88" fmla="*/ 7 w 201"/>
              <a:gd name="T89" fmla="*/ 4 h 202"/>
              <a:gd name="T90" fmla="*/ 7 w 201"/>
              <a:gd name="T91" fmla="*/ 4 h 202"/>
              <a:gd name="T92" fmla="*/ 7 w 201"/>
              <a:gd name="T93" fmla="*/ 4 h 202"/>
              <a:gd name="T94" fmla="*/ 7 w 201"/>
              <a:gd name="T95" fmla="*/ 5 h 202"/>
              <a:gd name="T96" fmla="*/ 7 w 201"/>
              <a:gd name="T97" fmla="*/ 5 h 202"/>
              <a:gd name="T98" fmla="*/ 8 w 201"/>
              <a:gd name="T99" fmla="*/ 5 h 202"/>
              <a:gd name="T100" fmla="*/ 8 w 201"/>
              <a:gd name="T101" fmla="*/ 5 h 202"/>
              <a:gd name="T102" fmla="*/ 8 w 201"/>
              <a:gd name="T103" fmla="*/ 5 h 202"/>
              <a:gd name="T104" fmla="*/ 8 w 201"/>
              <a:gd name="T105" fmla="*/ 5 h 202"/>
              <a:gd name="T106" fmla="*/ 8 w 201"/>
              <a:gd name="T107" fmla="*/ 6 h 202"/>
              <a:gd name="T108" fmla="*/ 8 w 201"/>
              <a:gd name="T109" fmla="*/ 6 h 202"/>
              <a:gd name="T110" fmla="*/ 8 w 201"/>
              <a:gd name="T111" fmla="*/ 6 h 202"/>
              <a:gd name="T112" fmla="*/ 8 w 201"/>
              <a:gd name="T113" fmla="*/ 6 h 202"/>
              <a:gd name="T114" fmla="*/ 8 w 201"/>
              <a:gd name="T115" fmla="*/ 6 h 202"/>
              <a:gd name="T116" fmla="*/ 8 w 201"/>
              <a:gd name="T117" fmla="*/ 6 h 202"/>
              <a:gd name="T118" fmla="*/ 8 w 201"/>
              <a:gd name="T119" fmla="*/ 7 h 202"/>
              <a:gd name="T120" fmla="*/ 8 w 201"/>
              <a:gd name="T121" fmla="*/ 7 h 202"/>
              <a:gd name="T122" fmla="*/ 8 w 201"/>
              <a:gd name="T123" fmla="*/ 7 h 202"/>
              <a:gd name="T124" fmla="*/ 8 w 201"/>
              <a:gd name="T125" fmla="*/ 7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3" name="Line 152">
            <a:extLst>
              <a:ext uri="{FF2B5EF4-FFF2-40B4-BE49-F238E27FC236}">
                <a16:creationId xmlns:a16="http://schemas.microsoft.com/office/drawing/2014/main" id="{73A19730-26A6-41CC-8523-FF823DB5299F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4" name="Freeform 153">
            <a:extLst>
              <a:ext uri="{FF2B5EF4-FFF2-40B4-BE49-F238E27FC236}">
                <a16:creationId xmlns:a16="http://schemas.microsoft.com/office/drawing/2014/main" id="{DB644C46-B827-40D5-98AA-F978279E51CE}"/>
              </a:ext>
            </a:extLst>
          </xdr:cNvPr>
          <xdr:cNvSpPr>
            <a:spLocks/>
          </xdr:cNvSpPr>
        </xdr:nvSpPr>
        <xdr:spPr bwMode="auto">
          <a:xfrm rot="10800000">
            <a:off x="164" y="627"/>
            <a:ext cx="8" cy="7"/>
          </a:xfrm>
          <a:custGeom>
            <a:avLst/>
            <a:gdLst>
              <a:gd name="T0" fmla="*/ 8 w 208"/>
              <a:gd name="T1" fmla="*/ 0 h 177"/>
              <a:gd name="T2" fmla="*/ 4 w 208"/>
              <a:gd name="T3" fmla="*/ 7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15</xdr:row>
      <xdr:rowOff>1247775</xdr:rowOff>
    </xdr:from>
    <xdr:to>
      <xdr:col>7</xdr:col>
      <xdr:colOff>200025</xdr:colOff>
      <xdr:row>15</xdr:row>
      <xdr:rowOff>1304925</xdr:rowOff>
    </xdr:to>
    <xdr:grpSp>
      <xdr:nvGrpSpPr>
        <xdr:cNvPr id="1319" name="Group 154">
          <a:extLst>
            <a:ext uri="{FF2B5EF4-FFF2-40B4-BE49-F238E27FC236}">
              <a16:creationId xmlns:a16="http://schemas.microsoft.com/office/drawing/2014/main" id="{59318A3F-6512-4289-AB6D-5E6BD39A8B0F}"/>
            </a:ext>
          </a:extLst>
        </xdr:cNvPr>
        <xdr:cNvGrpSpPr>
          <a:grpSpLocks/>
        </xdr:cNvGrpSpPr>
      </xdr:nvGrpSpPr>
      <xdr:grpSpPr bwMode="auto">
        <a:xfrm>
          <a:off x="1285875" y="6362700"/>
          <a:ext cx="733425" cy="57150"/>
          <a:chOff x="123" y="549"/>
          <a:chExt cx="77" cy="6"/>
        </a:xfrm>
      </xdr:grpSpPr>
      <xdr:sp macro="" textlink="">
        <xdr:nvSpPr>
          <xdr:cNvPr id="1324" name="Line 155">
            <a:extLst>
              <a:ext uri="{FF2B5EF4-FFF2-40B4-BE49-F238E27FC236}">
                <a16:creationId xmlns:a16="http://schemas.microsoft.com/office/drawing/2014/main" id="{14C401C6-1051-4255-B9E2-3E0B33D74CCF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5" name="Freeform 156">
            <a:extLst>
              <a:ext uri="{FF2B5EF4-FFF2-40B4-BE49-F238E27FC236}">
                <a16:creationId xmlns:a16="http://schemas.microsoft.com/office/drawing/2014/main" id="{E664B833-0398-4BAC-A380-4260872E1AF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26" name="Freeform 157">
            <a:extLst>
              <a:ext uri="{FF2B5EF4-FFF2-40B4-BE49-F238E27FC236}">
                <a16:creationId xmlns:a16="http://schemas.microsoft.com/office/drawing/2014/main" id="{A829D93A-C999-44AB-A1E3-2E28FE3BDA27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6 h 204"/>
              <a:gd name="T2" fmla="*/ 7 w 181"/>
              <a:gd name="T3" fmla="*/ 3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19050</xdr:colOff>
      <xdr:row>15</xdr:row>
      <xdr:rowOff>1314450</xdr:rowOff>
    </xdr:from>
    <xdr:to>
      <xdr:col>7</xdr:col>
      <xdr:colOff>57150</xdr:colOff>
      <xdr:row>15</xdr:row>
      <xdr:rowOff>1476375</xdr:rowOff>
    </xdr:to>
    <xdr:sp macro="" textlink="">
      <xdr:nvSpPr>
        <xdr:cNvPr id="1182" name="Text Box 158">
          <a:extLst>
            <a:ext uri="{FF2B5EF4-FFF2-40B4-BE49-F238E27FC236}">
              <a16:creationId xmlns:a16="http://schemas.microsoft.com/office/drawing/2014/main" id="{DEC8419A-0020-42C3-BEB4-DEBE15A52F96}"/>
            </a:ext>
          </a:extLst>
        </xdr:cNvPr>
        <xdr:cNvSpPr txBox="1">
          <a:spLocks noChangeArrowheads="1"/>
        </xdr:cNvSpPr>
      </xdr:nvSpPr>
      <xdr:spPr bwMode="auto">
        <a:xfrm>
          <a:off x="1524000" y="64293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8.4m</a:t>
          </a:r>
        </a:p>
      </xdr:txBody>
    </xdr:sp>
    <xdr:clientData/>
  </xdr:twoCellAnchor>
  <xdr:twoCellAnchor>
    <xdr:from>
      <xdr:col>6</xdr:col>
      <xdr:colOff>28575</xdr:colOff>
      <xdr:row>15</xdr:row>
      <xdr:rowOff>161925</xdr:rowOff>
    </xdr:from>
    <xdr:to>
      <xdr:col>7</xdr:col>
      <xdr:colOff>66675</xdr:colOff>
      <xdr:row>15</xdr:row>
      <xdr:rowOff>323850</xdr:rowOff>
    </xdr:to>
    <xdr:sp macro="" textlink="">
      <xdr:nvSpPr>
        <xdr:cNvPr id="1183" name="Text Box 159">
          <a:extLst>
            <a:ext uri="{FF2B5EF4-FFF2-40B4-BE49-F238E27FC236}">
              <a16:creationId xmlns:a16="http://schemas.microsoft.com/office/drawing/2014/main" id="{D51E6991-2975-4896-8D04-CA5ED74E15E5}"/>
            </a:ext>
          </a:extLst>
        </xdr:cNvPr>
        <xdr:cNvSpPr txBox="1">
          <a:spLocks noChangeArrowheads="1"/>
        </xdr:cNvSpPr>
      </xdr:nvSpPr>
      <xdr:spPr bwMode="auto">
        <a:xfrm>
          <a:off x="1533525" y="5276850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8.3m</a:t>
          </a:r>
        </a:p>
      </xdr:txBody>
    </xdr:sp>
    <xdr:clientData/>
  </xdr:twoCellAnchor>
  <xdr:twoCellAnchor>
    <xdr:from>
      <xdr:col>7</xdr:col>
      <xdr:colOff>238125</xdr:colOff>
      <xdr:row>15</xdr:row>
      <xdr:rowOff>285750</xdr:rowOff>
    </xdr:from>
    <xdr:to>
      <xdr:col>8</xdr:col>
      <xdr:colOff>276225</xdr:colOff>
      <xdr:row>15</xdr:row>
      <xdr:rowOff>447675</xdr:rowOff>
    </xdr:to>
    <xdr:sp macro="" textlink="">
      <xdr:nvSpPr>
        <xdr:cNvPr id="1184" name="Text Box 160">
          <a:extLst>
            <a:ext uri="{FF2B5EF4-FFF2-40B4-BE49-F238E27FC236}">
              <a16:creationId xmlns:a16="http://schemas.microsoft.com/office/drawing/2014/main" id="{171B5B15-F4A0-4DF1-85F3-460EA39FB308}"/>
            </a:ext>
          </a:extLst>
        </xdr:cNvPr>
        <xdr:cNvSpPr txBox="1">
          <a:spLocks noChangeArrowheads="1"/>
        </xdr:cNvSpPr>
      </xdr:nvSpPr>
      <xdr:spPr bwMode="auto">
        <a:xfrm>
          <a:off x="2057400" y="540067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238125</xdr:colOff>
      <xdr:row>15</xdr:row>
      <xdr:rowOff>1219200</xdr:rowOff>
    </xdr:from>
    <xdr:to>
      <xdr:col>8</xdr:col>
      <xdr:colOff>276225</xdr:colOff>
      <xdr:row>15</xdr:row>
      <xdr:rowOff>1381125</xdr:rowOff>
    </xdr:to>
    <xdr:sp macro="" textlink="">
      <xdr:nvSpPr>
        <xdr:cNvPr id="1185" name="Text Box 161">
          <a:extLst>
            <a:ext uri="{FF2B5EF4-FFF2-40B4-BE49-F238E27FC236}">
              <a16:creationId xmlns:a16="http://schemas.microsoft.com/office/drawing/2014/main" id="{DE05F794-5577-4814-B4AB-D8F3F99D79C4}"/>
            </a:ext>
          </a:extLst>
        </xdr:cNvPr>
        <xdr:cNvSpPr txBox="1">
          <a:spLocks noChangeArrowheads="1"/>
        </xdr:cNvSpPr>
      </xdr:nvSpPr>
      <xdr:spPr bwMode="auto">
        <a:xfrm>
          <a:off x="2057400" y="6334125"/>
          <a:ext cx="352425" cy="16192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zoomScaleSheetLayoutView="100" workbookViewId="0">
      <selection activeCell="U18" sqref="U18"/>
    </sheetView>
  </sheetViews>
  <sheetFormatPr defaultRowHeight="12" x14ac:dyDescent="0.15"/>
  <cols>
    <col min="1" max="1" width="7.5" style="44" bestFit="1" customWidth="1"/>
    <col min="2" max="2" width="2.25" style="51" bestFit="1" customWidth="1"/>
    <col min="3" max="3" width="5.25" style="44" bestFit="1" customWidth="1"/>
    <col min="4" max="4" width="2.25" style="50" bestFit="1" customWidth="1"/>
    <col min="5" max="24" width="4.125" style="25" customWidth="1"/>
    <col min="25" max="16384" width="9" style="25"/>
  </cols>
  <sheetData>
    <row r="1" spans="1:30" ht="15" customHeight="1" x14ac:dyDescent="0.15">
      <c r="A1" s="60" t="s">
        <v>0</v>
      </c>
      <c r="B1" s="85"/>
      <c r="C1" s="85"/>
      <c r="D1" s="85"/>
      <c r="E1" s="61"/>
      <c r="F1" s="89" t="s">
        <v>54</v>
      </c>
      <c r="G1" s="85"/>
      <c r="H1" s="90" t="s">
        <v>1</v>
      </c>
      <c r="I1" s="90"/>
      <c r="J1" s="90"/>
      <c r="K1" s="90"/>
      <c r="L1" s="85" t="s">
        <v>56</v>
      </c>
      <c r="M1" s="61"/>
      <c r="N1" s="109" t="s">
        <v>48</v>
      </c>
      <c r="O1" s="61"/>
      <c r="P1" s="54">
        <v>46066</v>
      </c>
      <c r="Q1" s="55"/>
      <c r="R1" s="55"/>
      <c r="S1" s="56"/>
      <c r="T1" s="53" t="s">
        <v>4</v>
      </c>
      <c r="U1" s="53"/>
      <c r="V1" s="53" t="s">
        <v>60</v>
      </c>
      <c r="W1" s="53"/>
      <c r="X1" s="53"/>
    </row>
    <row r="2" spans="1:30" ht="7.5" customHeight="1" x14ac:dyDescent="0.15">
      <c r="A2" s="86"/>
      <c r="B2" s="87"/>
      <c r="C2" s="87"/>
      <c r="D2" s="87"/>
      <c r="E2" s="88"/>
      <c r="F2" s="86"/>
      <c r="G2" s="87"/>
      <c r="H2" s="91"/>
      <c r="I2" s="91"/>
      <c r="J2" s="91"/>
      <c r="K2" s="91"/>
      <c r="L2" s="87"/>
      <c r="M2" s="88"/>
      <c r="N2" s="92"/>
      <c r="O2" s="94"/>
      <c r="P2" s="57"/>
      <c r="Q2" s="58"/>
      <c r="R2" s="58"/>
      <c r="S2" s="59"/>
      <c r="T2" s="60" t="s">
        <v>8</v>
      </c>
      <c r="U2" s="61"/>
      <c r="V2" s="64">
        <v>45992</v>
      </c>
      <c r="W2" s="65"/>
      <c r="X2" s="66"/>
    </row>
    <row r="3" spans="1:30" ht="7.5" customHeight="1" x14ac:dyDescent="0.15">
      <c r="A3" s="92" t="s">
        <v>5</v>
      </c>
      <c r="B3" s="93"/>
      <c r="C3" s="93"/>
      <c r="D3" s="93"/>
      <c r="E3" s="94"/>
      <c r="F3" s="96" t="s">
        <v>55</v>
      </c>
      <c r="G3" s="97"/>
      <c r="H3" s="98" t="s">
        <v>1</v>
      </c>
      <c r="I3" s="98"/>
      <c r="J3" s="98"/>
      <c r="K3" s="98"/>
      <c r="L3" s="100" t="s">
        <v>49</v>
      </c>
      <c r="M3" s="101"/>
      <c r="N3" s="92"/>
      <c r="O3" s="94"/>
      <c r="P3" s="104">
        <v>9.2361111111111116E-2</v>
      </c>
      <c r="Q3" s="105"/>
      <c r="R3" s="105"/>
      <c r="S3" s="108" t="s">
        <v>7</v>
      </c>
      <c r="T3" s="62"/>
      <c r="U3" s="63"/>
      <c r="V3" s="67"/>
      <c r="W3" s="68"/>
      <c r="X3" s="69"/>
    </row>
    <row r="4" spans="1:30" ht="15" customHeight="1" x14ac:dyDescent="0.15">
      <c r="A4" s="62"/>
      <c r="B4" s="95"/>
      <c r="C4" s="95"/>
      <c r="D4" s="95"/>
      <c r="E4" s="63"/>
      <c r="F4" s="62"/>
      <c r="G4" s="95"/>
      <c r="H4" s="99"/>
      <c r="I4" s="99"/>
      <c r="J4" s="99"/>
      <c r="K4" s="99"/>
      <c r="L4" s="102"/>
      <c r="M4" s="103"/>
      <c r="N4" s="62"/>
      <c r="O4" s="63"/>
      <c r="P4" s="106"/>
      <c r="Q4" s="107"/>
      <c r="R4" s="107"/>
      <c r="S4" s="63"/>
      <c r="T4" s="53" t="s">
        <v>50</v>
      </c>
      <c r="U4" s="53"/>
      <c r="V4" s="53" t="s">
        <v>59</v>
      </c>
      <c r="W4" s="53"/>
      <c r="X4" s="53"/>
      <c r="Z4" s="27" t="s">
        <v>51</v>
      </c>
      <c r="AA4" s="28">
        <v>824</v>
      </c>
    </row>
    <row r="5" spans="1:30" ht="18" customHeight="1" x14ac:dyDescent="0.15">
      <c r="A5" s="70"/>
      <c r="B5" s="71"/>
      <c r="C5" s="71"/>
      <c r="D5" s="71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7"/>
    </row>
    <row r="6" spans="1:30" ht="18" customHeight="1" x14ac:dyDescent="0.15">
      <c r="A6" s="72"/>
      <c r="B6" s="73"/>
      <c r="C6" s="73"/>
      <c r="D6" s="73"/>
      <c r="X6" s="38"/>
    </row>
    <row r="7" spans="1:30" ht="18" customHeight="1" x14ac:dyDescent="0.15">
      <c r="A7" s="72"/>
      <c r="B7" s="73"/>
      <c r="C7" s="73"/>
      <c r="D7" s="73"/>
      <c r="X7" s="38"/>
    </row>
    <row r="8" spans="1:30" ht="18" customHeight="1" x14ac:dyDescent="0.15">
      <c r="A8" s="72"/>
      <c r="B8" s="73"/>
      <c r="C8" s="73"/>
      <c r="D8" s="73"/>
      <c r="X8" s="38"/>
    </row>
    <row r="9" spans="1:30" ht="18" customHeight="1" x14ac:dyDescent="0.15">
      <c r="A9" s="72"/>
      <c r="B9" s="73"/>
      <c r="C9" s="73"/>
      <c r="D9" s="73"/>
      <c r="X9" s="38"/>
    </row>
    <row r="10" spans="1:30" ht="147.75" customHeight="1" x14ac:dyDescent="0.15">
      <c r="A10" s="72"/>
      <c r="B10" s="73"/>
      <c r="C10" s="73"/>
      <c r="D10" s="73"/>
      <c r="X10" s="38"/>
    </row>
    <row r="11" spans="1:30" ht="18" customHeight="1" x14ac:dyDescent="0.15">
      <c r="A11" s="72"/>
      <c r="B11" s="73"/>
      <c r="C11" s="73"/>
      <c r="D11" s="73"/>
      <c r="X11" s="38"/>
    </row>
    <row r="12" spans="1:30" ht="18" customHeight="1" x14ac:dyDescent="0.15">
      <c r="A12" s="72"/>
      <c r="B12" s="73"/>
      <c r="C12" s="73"/>
      <c r="D12" s="73"/>
      <c r="X12" s="38"/>
    </row>
    <row r="13" spans="1:30" ht="18" customHeight="1" x14ac:dyDescent="0.15">
      <c r="A13" s="72"/>
      <c r="B13" s="73"/>
      <c r="C13" s="73"/>
      <c r="D13" s="73"/>
      <c r="X13" s="38"/>
    </row>
    <row r="14" spans="1:30" ht="18" customHeight="1" x14ac:dyDescent="0.15">
      <c r="A14" s="74"/>
      <c r="B14" s="75"/>
      <c r="C14" s="73"/>
      <c r="D14" s="73"/>
      <c r="X14" s="38"/>
      <c r="Z14" s="25">
        <v>50</v>
      </c>
      <c r="AA14" s="25">
        <f>Z14/3.6</f>
        <v>13.888888888888889</v>
      </c>
      <c r="AC14" s="52">
        <v>28.8</v>
      </c>
      <c r="AD14" s="52">
        <f>AC14/AA14</f>
        <v>2.0735999999999999</v>
      </c>
    </row>
    <row r="15" spans="1:30" ht="18" customHeight="1" x14ac:dyDescent="0.15">
      <c r="A15" s="76"/>
      <c r="B15" s="77"/>
      <c r="C15" s="73"/>
      <c r="D15" s="73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40"/>
      <c r="Z15" s="25">
        <v>40</v>
      </c>
      <c r="AA15" s="25">
        <f>Z15/3.6</f>
        <v>11.111111111111111</v>
      </c>
      <c r="AC15" s="52">
        <v>42.5</v>
      </c>
      <c r="AD15" s="52">
        <f>AC15/AA15</f>
        <v>3.8250000000000002</v>
      </c>
    </row>
    <row r="16" spans="1:30" s="26" customFormat="1" ht="18" customHeight="1" x14ac:dyDescent="0.15">
      <c r="A16" s="78" t="s">
        <v>10</v>
      </c>
      <c r="B16" s="78"/>
      <c r="C16" s="78"/>
      <c r="D16" s="78"/>
      <c r="E16" s="24">
        <v>1</v>
      </c>
      <c r="F16" s="24">
        <v>2</v>
      </c>
      <c r="G16" s="24">
        <v>3</v>
      </c>
      <c r="H16" s="24">
        <v>4</v>
      </c>
      <c r="I16" s="24">
        <v>5</v>
      </c>
      <c r="J16" s="24">
        <v>6</v>
      </c>
      <c r="K16" s="24">
        <v>7</v>
      </c>
      <c r="L16" s="24">
        <v>8</v>
      </c>
      <c r="M16" s="24">
        <v>9</v>
      </c>
      <c r="N16" s="24">
        <v>10</v>
      </c>
      <c r="O16" s="24">
        <v>11</v>
      </c>
      <c r="P16" s="24">
        <v>12</v>
      </c>
      <c r="Q16" s="24">
        <v>13</v>
      </c>
      <c r="R16" s="41">
        <v>14</v>
      </c>
      <c r="S16" s="24">
        <v>15</v>
      </c>
      <c r="T16" s="24">
        <v>16</v>
      </c>
      <c r="U16" s="24">
        <v>17</v>
      </c>
      <c r="V16" s="24">
        <v>18</v>
      </c>
      <c r="W16" s="24">
        <v>19</v>
      </c>
      <c r="X16" s="24">
        <v>20</v>
      </c>
    </row>
    <row r="17" spans="1:25" s="44" customFormat="1" ht="18" customHeight="1" x14ac:dyDescent="0.15">
      <c r="A17" s="78" t="s">
        <v>11</v>
      </c>
      <c r="B17" s="78"/>
      <c r="C17" s="78"/>
      <c r="D17" s="78"/>
      <c r="E17" s="42" t="s">
        <v>24</v>
      </c>
      <c r="F17" s="42" t="s">
        <v>25</v>
      </c>
      <c r="G17" s="42" t="s">
        <v>26</v>
      </c>
      <c r="H17" s="42" t="s">
        <v>27</v>
      </c>
      <c r="I17" s="42" t="s">
        <v>28</v>
      </c>
      <c r="J17" s="42" t="s">
        <v>29</v>
      </c>
      <c r="K17" s="42" t="s">
        <v>30</v>
      </c>
      <c r="L17" s="42" t="s">
        <v>31</v>
      </c>
      <c r="M17" s="42" t="s">
        <v>32</v>
      </c>
      <c r="N17" s="43" t="s">
        <v>33</v>
      </c>
      <c r="O17" s="42"/>
      <c r="P17" s="42"/>
      <c r="Q17" s="42"/>
      <c r="R17" s="43"/>
      <c r="S17" s="42"/>
      <c r="T17" s="42"/>
      <c r="U17" s="42"/>
      <c r="V17" s="42"/>
      <c r="W17" s="42"/>
      <c r="X17" s="42"/>
    </row>
    <row r="18" spans="1:25" s="44" customFormat="1" ht="125.1" customHeight="1" x14ac:dyDescent="0.15">
      <c r="A18" s="79"/>
      <c r="B18" s="80"/>
      <c r="C18" s="80"/>
      <c r="D18" s="81"/>
      <c r="E18" s="45"/>
      <c r="F18" s="46"/>
      <c r="G18" s="46"/>
      <c r="H18" s="46"/>
      <c r="I18" s="46"/>
      <c r="J18" s="45"/>
      <c r="K18" s="46"/>
      <c r="L18" s="46"/>
      <c r="M18" s="46"/>
      <c r="N18" s="46"/>
      <c r="O18" s="45"/>
      <c r="P18" s="46"/>
      <c r="Q18" s="46"/>
      <c r="R18" s="46"/>
      <c r="S18" s="46"/>
      <c r="T18" s="46"/>
      <c r="U18" s="46"/>
      <c r="V18" s="46"/>
      <c r="W18" s="46"/>
      <c r="X18" s="43"/>
      <c r="Y18" s="47"/>
    </row>
    <row r="19" spans="1:25" ht="18" customHeight="1" x14ac:dyDescent="0.15">
      <c r="A19" s="79" t="s">
        <v>57</v>
      </c>
      <c r="B19" s="80"/>
      <c r="C19" s="80" t="s">
        <v>35</v>
      </c>
      <c r="D19" s="81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</row>
    <row r="20" spans="1:25" ht="18" customHeight="1" x14ac:dyDescent="0.15">
      <c r="A20" s="79" t="s">
        <v>36</v>
      </c>
      <c r="B20" s="80"/>
      <c r="C20" s="80" t="s">
        <v>37</v>
      </c>
      <c r="D20" s="81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</row>
    <row r="21" spans="1:25" ht="18" customHeight="1" x14ac:dyDescent="0.15">
      <c r="A21" s="79" t="s">
        <v>58</v>
      </c>
      <c r="B21" s="80"/>
      <c r="C21" s="80" t="s">
        <v>39</v>
      </c>
      <c r="D21" s="81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</row>
    <row r="22" spans="1:25" ht="18" customHeight="1" x14ac:dyDescent="0.15">
      <c r="A22" s="79" t="s">
        <v>40</v>
      </c>
      <c r="B22" s="80"/>
      <c r="C22" s="80" t="s">
        <v>41</v>
      </c>
      <c r="D22" s="81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</row>
    <row r="23" spans="1:25" ht="18" customHeight="1" x14ac:dyDescent="0.15">
      <c r="A23" s="79"/>
      <c r="B23" s="80"/>
      <c r="C23" s="80"/>
      <c r="D23" s="81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</row>
    <row r="24" spans="1:25" ht="18" customHeight="1" x14ac:dyDescent="0.15">
      <c r="A24" s="79"/>
      <c r="B24" s="80"/>
      <c r="C24" s="80"/>
      <c r="D24" s="81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</row>
    <row r="25" spans="1:25" ht="18" customHeight="1" x14ac:dyDescent="0.15">
      <c r="A25" s="82"/>
      <c r="B25" s="83"/>
      <c r="C25" s="83"/>
      <c r="D25" s="84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</row>
    <row r="26" spans="1:25" ht="18" customHeight="1" x14ac:dyDescent="0.15">
      <c r="A26" s="82"/>
      <c r="B26" s="83"/>
      <c r="C26" s="83"/>
      <c r="D26" s="84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</row>
    <row r="27" spans="1:25" ht="18" customHeight="1" x14ac:dyDescent="0.15">
      <c r="A27" s="82"/>
      <c r="B27" s="83"/>
      <c r="C27" s="83"/>
      <c r="D27" s="84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r="28" spans="1:25" ht="18" customHeight="1" x14ac:dyDescent="0.15">
      <c r="A28" s="82"/>
      <c r="B28" s="83"/>
      <c r="C28" s="83"/>
      <c r="D28" s="84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 spans="1:25" ht="18" customHeight="1" x14ac:dyDescent="0.15">
      <c r="A29" s="82"/>
      <c r="B29" s="83"/>
      <c r="C29" s="83"/>
      <c r="D29" s="84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</row>
    <row r="30" spans="1:25" ht="18" customHeight="1" x14ac:dyDescent="0.15">
      <c r="A30" s="82"/>
      <c r="B30" s="83"/>
      <c r="C30" s="83"/>
      <c r="D30" s="84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</row>
    <row r="31" spans="1:25" ht="18" customHeight="1" x14ac:dyDescent="0.15">
      <c r="A31" s="82"/>
      <c r="B31" s="83"/>
      <c r="C31" s="83"/>
      <c r="D31" s="84"/>
      <c r="E31" s="48"/>
      <c r="F31" s="48"/>
      <c r="G31" s="48"/>
      <c r="H31" s="49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</row>
    <row r="32" spans="1:25" ht="18" customHeight="1" x14ac:dyDescent="0.15">
      <c r="A32" s="82"/>
      <c r="B32" s="83"/>
      <c r="C32" s="83"/>
      <c r="D32" s="84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</row>
    <row r="33" spans="1:27" ht="18" customHeight="1" x14ac:dyDescent="0.15">
      <c r="A33" s="29" t="s">
        <v>52</v>
      </c>
      <c r="B33" s="30"/>
      <c r="C33" s="31"/>
      <c r="D33" s="32"/>
      <c r="E33" s="24">
        <v>109</v>
      </c>
      <c r="F33" s="24"/>
      <c r="G33" s="24"/>
      <c r="H33" s="24"/>
      <c r="I33" s="24"/>
      <c r="J33" s="24">
        <v>109</v>
      </c>
      <c r="K33" s="24"/>
      <c r="L33" s="24"/>
      <c r="M33" s="24"/>
      <c r="N33" s="24"/>
      <c r="O33" s="24"/>
      <c r="P33" s="24"/>
      <c r="Q33" s="24"/>
      <c r="R33" s="24"/>
      <c r="S33" s="48"/>
      <c r="T33" s="48"/>
      <c r="U33" s="48"/>
      <c r="V33" s="48"/>
      <c r="W33" s="48"/>
      <c r="X33" s="48"/>
    </row>
    <row r="34" spans="1:27" ht="18" customHeight="1" x14ac:dyDescent="0.15">
      <c r="A34" s="29" t="s">
        <v>53</v>
      </c>
      <c r="B34" s="30" t="s">
        <v>43</v>
      </c>
      <c r="C34" s="33">
        <f>SUM(E34:X34)</f>
        <v>66</v>
      </c>
      <c r="D34" s="34" t="s">
        <v>44</v>
      </c>
      <c r="E34" s="24">
        <v>10</v>
      </c>
      <c r="F34" s="24">
        <v>5</v>
      </c>
      <c r="G34" s="24">
        <v>2</v>
      </c>
      <c r="H34" s="24">
        <v>3</v>
      </c>
      <c r="I34" s="24">
        <v>3</v>
      </c>
      <c r="J34" s="24">
        <v>25</v>
      </c>
      <c r="K34" s="24">
        <v>9</v>
      </c>
      <c r="L34" s="24">
        <v>2</v>
      </c>
      <c r="M34" s="24">
        <v>3</v>
      </c>
      <c r="N34" s="24">
        <v>4</v>
      </c>
      <c r="O34" s="24"/>
      <c r="P34" s="24"/>
      <c r="Q34" s="24"/>
      <c r="R34" s="24"/>
      <c r="S34" s="48"/>
      <c r="T34" s="48"/>
      <c r="U34" s="48"/>
      <c r="V34" s="48"/>
      <c r="W34" s="48"/>
      <c r="X34" s="48"/>
      <c r="Y34" s="35"/>
      <c r="Z34" s="25">
        <v>120</v>
      </c>
      <c r="AA34" s="25">
        <f>Z34-INT(Z34/8)-3</f>
        <v>102</v>
      </c>
    </row>
    <row r="35" spans="1:27" ht="18" customHeight="1" x14ac:dyDescent="0.15">
      <c r="A35" s="29" t="s">
        <v>16</v>
      </c>
      <c r="B35" s="30" t="s">
        <v>43</v>
      </c>
      <c r="C35" s="33">
        <f>SUM(E35:X35)</f>
        <v>140</v>
      </c>
      <c r="D35" s="34" t="s">
        <v>44</v>
      </c>
      <c r="E35" s="24">
        <v>70</v>
      </c>
      <c r="F35" s="24">
        <v>5</v>
      </c>
      <c r="G35" s="24">
        <v>2</v>
      </c>
      <c r="H35" s="24">
        <v>3</v>
      </c>
      <c r="I35" s="24">
        <v>3</v>
      </c>
      <c r="J35" s="24">
        <v>39</v>
      </c>
      <c r="K35" s="24">
        <v>9</v>
      </c>
      <c r="L35" s="24">
        <v>2</v>
      </c>
      <c r="M35" s="24">
        <v>3</v>
      </c>
      <c r="N35" s="24">
        <v>4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35"/>
      <c r="Z35" s="25">
        <v>140</v>
      </c>
      <c r="AA35" s="25">
        <f>Z35-INT(Z35/8)-3</f>
        <v>120</v>
      </c>
    </row>
    <row r="36" spans="1:27" ht="18" customHeight="1" x14ac:dyDescent="0.15">
      <c r="A36" s="79" t="s">
        <v>17</v>
      </c>
      <c r="B36" s="80"/>
      <c r="C36" s="80"/>
      <c r="D36" s="81"/>
      <c r="E36" s="24">
        <v>110</v>
      </c>
      <c r="F36" s="24">
        <v>110</v>
      </c>
      <c r="G36" s="24">
        <v>110</v>
      </c>
      <c r="H36" s="24">
        <v>10</v>
      </c>
      <c r="I36" s="24">
        <v>10</v>
      </c>
      <c r="J36" s="24">
        <v>110</v>
      </c>
      <c r="K36" s="24">
        <v>110</v>
      </c>
      <c r="L36" s="24">
        <v>110</v>
      </c>
      <c r="M36" s="24">
        <v>10</v>
      </c>
      <c r="N36" s="24">
        <v>10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1:27" ht="18" customHeight="1" x14ac:dyDescent="0.15">
      <c r="A37" s="79" t="s">
        <v>18</v>
      </c>
      <c r="B37" s="80"/>
      <c r="C37" s="80"/>
      <c r="D37" s="81"/>
      <c r="E37" s="24">
        <v>6</v>
      </c>
      <c r="F37" s="24">
        <v>0.95</v>
      </c>
      <c r="G37" s="24">
        <v>0.95</v>
      </c>
      <c r="H37" s="24">
        <v>0.95</v>
      </c>
      <c r="I37" s="24">
        <v>0.95</v>
      </c>
      <c r="J37" s="24">
        <v>6</v>
      </c>
      <c r="K37" s="24">
        <v>0.95</v>
      </c>
      <c r="L37" s="24">
        <v>0.95</v>
      </c>
      <c r="M37" s="24">
        <v>0.95</v>
      </c>
      <c r="N37" s="24">
        <v>0.95</v>
      </c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1:27" ht="18" customHeight="1" x14ac:dyDescent="0.15">
      <c r="A38" s="79" t="s">
        <v>19</v>
      </c>
      <c r="B38" s="80"/>
      <c r="C38" s="80"/>
      <c r="D38" s="81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</sheetData>
  <mergeCells count="74">
    <mergeCell ref="L3:M4"/>
    <mergeCell ref="P3:R4"/>
    <mergeCell ref="S3:S4"/>
    <mergeCell ref="L1:M2"/>
    <mergeCell ref="N1:O4"/>
    <mergeCell ref="A1:E2"/>
    <mergeCell ref="F1:G2"/>
    <mergeCell ref="H1:K2"/>
    <mergeCell ref="A31:B31"/>
    <mergeCell ref="C31:D31"/>
    <mergeCell ref="A3:E4"/>
    <mergeCell ref="F3:G4"/>
    <mergeCell ref="H3:K4"/>
    <mergeCell ref="A30:B30"/>
    <mergeCell ref="C30:D30"/>
    <mergeCell ref="A27:B27"/>
    <mergeCell ref="C27:D27"/>
    <mergeCell ref="A28:B28"/>
    <mergeCell ref="C28:D28"/>
    <mergeCell ref="A29:B29"/>
    <mergeCell ref="C29:D29"/>
    <mergeCell ref="A36:D36"/>
    <mergeCell ref="A37:D37"/>
    <mergeCell ref="A38:D38"/>
    <mergeCell ref="A32:B32"/>
    <mergeCell ref="C32:D32"/>
    <mergeCell ref="A24:B24"/>
    <mergeCell ref="C24:D24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  <mergeCell ref="A17:D17"/>
    <mergeCell ref="A18:D18"/>
    <mergeCell ref="A19:B19"/>
    <mergeCell ref="C19:D19"/>
    <mergeCell ref="A20:B20"/>
    <mergeCell ref="C20:D20"/>
    <mergeCell ref="A14:B14"/>
    <mergeCell ref="C14:D14"/>
    <mergeCell ref="A15:B15"/>
    <mergeCell ref="C15:D15"/>
    <mergeCell ref="A16:D16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  <mergeCell ref="V1:X1"/>
    <mergeCell ref="T4:U4"/>
    <mergeCell ref="V4:X4"/>
    <mergeCell ref="P1:S2"/>
    <mergeCell ref="T1:U1"/>
    <mergeCell ref="T2:U3"/>
    <mergeCell ref="V2:X3"/>
  </mergeCells>
  <phoneticPr fontId="8"/>
  <pageMargins left="0.78740157480314965" right="0" top="0.39370078740157483" bottom="0" header="0.19685039370078741" footer="0.19685039370078741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workbookViewId="0">
      <selection activeCell="H1" sqref="H1:M1"/>
    </sheetView>
  </sheetViews>
  <sheetFormatPr defaultRowHeight="11.25" x14ac:dyDescent="0.15"/>
  <cols>
    <col min="1" max="1" width="5.125" style="23" customWidth="1"/>
    <col min="2" max="2" width="0.875" style="23" customWidth="1"/>
    <col min="3" max="3" width="4.625" style="23" customWidth="1"/>
    <col min="4" max="4" width="0.875" style="23" customWidth="1"/>
    <col min="5" max="24" width="4.125" style="2" customWidth="1"/>
    <col min="25" max="16384" width="9" style="2"/>
  </cols>
  <sheetData>
    <row r="1" spans="1:25" ht="20.100000000000001" customHeight="1" x14ac:dyDescent="0.15">
      <c r="A1" s="124" t="s">
        <v>0</v>
      </c>
      <c r="B1" s="124"/>
      <c r="C1" s="124"/>
      <c r="D1" s="124"/>
      <c r="E1" s="124"/>
      <c r="F1" s="125" t="s">
        <v>20</v>
      </c>
      <c r="G1" s="126"/>
      <c r="H1" s="127" t="s">
        <v>1</v>
      </c>
      <c r="I1" s="128"/>
      <c r="J1" s="128"/>
      <c r="K1" s="128"/>
      <c r="L1" s="128"/>
      <c r="M1" s="128"/>
      <c r="N1" s="129" t="s">
        <v>2</v>
      </c>
      <c r="O1" s="129"/>
      <c r="P1" s="124" t="s">
        <v>3</v>
      </c>
      <c r="Q1" s="124"/>
      <c r="R1" s="124"/>
      <c r="S1" s="124"/>
      <c r="T1" s="123" t="s">
        <v>4</v>
      </c>
      <c r="U1" s="123"/>
      <c r="V1" s="132" t="s">
        <v>21</v>
      </c>
      <c r="W1" s="132"/>
      <c r="X1" s="132"/>
    </row>
    <row r="2" spans="1:25" ht="20.100000000000001" customHeight="1" x14ac:dyDescent="0.15">
      <c r="A2" s="133" t="s">
        <v>5</v>
      </c>
      <c r="B2" s="133"/>
      <c r="C2" s="133"/>
      <c r="D2" s="133"/>
      <c r="E2" s="133"/>
      <c r="F2" s="134" t="s">
        <v>22</v>
      </c>
      <c r="G2" s="135"/>
      <c r="H2" s="140" t="s">
        <v>23</v>
      </c>
      <c r="I2" s="140"/>
      <c r="J2" s="140"/>
      <c r="K2" s="140"/>
      <c r="L2" s="130" t="s">
        <v>47</v>
      </c>
      <c r="M2" s="131"/>
      <c r="N2" s="133" t="s">
        <v>6</v>
      </c>
      <c r="O2" s="133"/>
      <c r="P2" s="136">
        <v>0.45277777777777778</v>
      </c>
      <c r="Q2" s="137"/>
      <c r="R2" s="138"/>
      <c r="S2" s="3" t="s">
        <v>7</v>
      </c>
      <c r="T2" s="123" t="s">
        <v>8</v>
      </c>
      <c r="U2" s="123"/>
      <c r="V2" s="139" t="s">
        <v>9</v>
      </c>
      <c r="W2" s="139"/>
      <c r="X2" s="139"/>
    </row>
    <row r="3" spans="1:25" ht="18" customHeight="1" x14ac:dyDescent="0.15">
      <c r="A3" s="121"/>
      <c r="B3" s="122"/>
      <c r="C3" s="122"/>
      <c r="D3" s="12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19"/>
      <c r="B4" s="120"/>
      <c r="C4" s="120"/>
      <c r="D4" s="120"/>
      <c r="X4" s="7"/>
    </row>
    <row r="5" spans="1:25" ht="18" customHeight="1" x14ac:dyDescent="0.15">
      <c r="A5" s="119"/>
      <c r="B5" s="120"/>
      <c r="C5" s="120"/>
      <c r="D5" s="120"/>
      <c r="X5" s="7"/>
    </row>
    <row r="6" spans="1:25" ht="18" customHeight="1" x14ac:dyDescent="0.15">
      <c r="A6" s="119"/>
      <c r="B6" s="120"/>
      <c r="C6" s="120"/>
      <c r="D6" s="120"/>
      <c r="X6" s="7"/>
    </row>
    <row r="7" spans="1:25" ht="18" customHeight="1" x14ac:dyDescent="0.15">
      <c r="A7" s="119"/>
      <c r="B7" s="120"/>
      <c r="C7" s="120"/>
      <c r="D7" s="120"/>
      <c r="X7" s="7"/>
    </row>
    <row r="8" spans="1:25" ht="147.75" customHeight="1" x14ac:dyDescent="0.15">
      <c r="A8" s="119"/>
      <c r="B8" s="120"/>
      <c r="C8" s="120"/>
      <c r="D8" s="120"/>
      <c r="X8" s="7"/>
    </row>
    <row r="9" spans="1:25" ht="18" customHeight="1" x14ac:dyDescent="0.15">
      <c r="A9" s="119"/>
      <c r="B9" s="120"/>
      <c r="C9" s="120"/>
      <c r="D9" s="120"/>
      <c r="X9" s="7"/>
    </row>
    <row r="10" spans="1:25" ht="18" customHeight="1" x14ac:dyDescent="0.15">
      <c r="A10" s="119"/>
      <c r="B10" s="120"/>
      <c r="C10" s="120"/>
      <c r="D10" s="120"/>
      <c r="X10" s="7"/>
    </row>
    <row r="11" spans="1:25" ht="18" customHeight="1" x14ac:dyDescent="0.15">
      <c r="A11" s="119"/>
      <c r="B11" s="120"/>
      <c r="C11" s="120"/>
      <c r="D11" s="120"/>
      <c r="X11" s="7"/>
    </row>
    <row r="12" spans="1:25" ht="18" customHeight="1" x14ac:dyDescent="0.15">
      <c r="A12" s="141"/>
      <c r="B12" s="142"/>
      <c r="C12" s="120"/>
      <c r="D12" s="120"/>
      <c r="X12" s="7"/>
    </row>
    <row r="13" spans="1:25" ht="18" customHeight="1" x14ac:dyDescent="0.15">
      <c r="A13" s="135"/>
      <c r="B13" s="143"/>
      <c r="C13" s="120"/>
      <c r="D13" s="12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3"/>
    </row>
    <row r="14" spans="1:25" s="10" customFormat="1" ht="18" customHeight="1" x14ac:dyDescent="0.15">
      <c r="A14" s="144" t="s">
        <v>10</v>
      </c>
      <c r="B14" s="144"/>
      <c r="C14" s="144"/>
      <c r="D14" s="144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9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3" customFormat="1" ht="18" customHeight="1" x14ac:dyDescent="0.15">
      <c r="A15" s="144" t="s">
        <v>11</v>
      </c>
      <c r="B15" s="144"/>
      <c r="C15" s="144"/>
      <c r="D15" s="144"/>
      <c r="E15" s="11" t="s">
        <v>24</v>
      </c>
      <c r="F15" s="11" t="s">
        <v>25</v>
      </c>
      <c r="G15" s="11" t="s">
        <v>26</v>
      </c>
      <c r="H15" s="11" t="s">
        <v>27</v>
      </c>
      <c r="I15" s="11" t="s">
        <v>28</v>
      </c>
      <c r="J15" s="11" t="s">
        <v>29</v>
      </c>
      <c r="K15" s="11" t="s">
        <v>30</v>
      </c>
      <c r="L15" s="11" t="s">
        <v>31</v>
      </c>
      <c r="M15" s="11" t="s">
        <v>32</v>
      </c>
      <c r="N15" s="12" t="s">
        <v>33</v>
      </c>
      <c r="O15" s="11"/>
      <c r="P15" s="11"/>
      <c r="Q15" s="11"/>
      <c r="R15" s="12"/>
      <c r="S15" s="11"/>
      <c r="T15" s="11"/>
      <c r="U15" s="11"/>
      <c r="V15" s="11"/>
      <c r="W15" s="11"/>
      <c r="X15" s="11"/>
    </row>
    <row r="16" spans="1:25" s="13" customFormat="1" ht="125.1" customHeight="1" x14ac:dyDescent="0.15">
      <c r="A16" s="145"/>
      <c r="B16" s="146"/>
      <c r="C16" s="146"/>
      <c r="D16" s="147"/>
      <c r="E16" s="14"/>
      <c r="F16" s="15"/>
      <c r="G16" s="15"/>
      <c r="H16" s="15"/>
      <c r="I16" s="15"/>
      <c r="J16" s="14"/>
      <c r="K16" s="15"/>
      <c r="L16" s="15"/>
      <c r="M16" s="15"/>
      <c r="N16" s="15"/>
      <c r="O16" s="14"/>
      <c r="P16" s="15"/>
      <c r="Q16" s="15"/>
      <c r="R16" s="15"/>
      <c r="S16" s="15"/>
      <c r="T16" s="15"/>
      <c r="U16" s="15"/>
      <c r="V16" s="15"/>
      <c r="W16" s="15"/>
      <c r="X16" s="12"/>
      <c r="Y16" s="16"/>
    </row>
    <row r="17" spans="1:24" ht="18" customHeight="1" x14ac:dyDescent="0.15">
      <c r="A17" s="145" t="s">
        <v>34</v>
      </c>
      <c r="B17" s="146"/>
      <c r="C17" s="146" t="s">
        <v>35</v>
      </c>
      <c r="D17" s="14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8" customHeight="1" x14ac:dyDescent="0.15">
      <c r="A18" s="145" t="s">
        <v>36</v>
      </c>
      <c r="B18" s="146"/>
      <c r="C18" s="146" t="s">
        <v>37</v>
      </c>
      <c r="D18" s="14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8" customHeight="1" x14ac:dyDescent="0.15">
      <c r="A19" s="145" t="s">
        <v>38</v>
      </c>
      <c r="B19" s="146"/>
      <c r="C19" s="146" t="s">
        <v>39</v>
      </c>
      <c r="D19" s="14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8" customHeight="1" x14ac:dyDescent="0.15">
      <c r="A20" s="145" t="s">
        <v>40</v>
      </c>
      <c r="B20" s="146"/>
      <c r="C20" s="146" t="s">
        <v>41</v>
      </c>
      <c r="D20" s="14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8" customHeight="1" x14ac:dyDescent="0.15">
      <c r="A21" s="145"/>
      <c r="B21" s="146"/>
      <c r="C21" s="146"/>
      <c r="D21" s="14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8" customHeight="1" x14ac:dyDescent="0.15">
      <c r="A22" s="145"/>
      <c r="B22" s="146"/>
      <c r="C22" s="146"/>
      <c r="D22" s="14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8" customHeight="1" x14ac:dyDescent="0.15">
      <c r="A23" s="148"/>
      <c r="B23" s="149"/>
      <c r="C23" s="149"/>
      <c r="D23" s="150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8" customHeight="1" x14ac:dyDescent="0.15">
      <c r="A24" s="148"/>
      <c r="B24" s="149"/>
      <c r="C24" s="149"/>
      <c r="D24" s="150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8" customHeight="1" x14ac:dyDescent="0.15">
      <c r="A25" s="148"/>
      <c r="B25" s="149"/>
      <c r="C25" s="149"/>
      <c r="D25" s="150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8" customHeight="1" x14ac:dyDescent="0.15">
      <c r="A26" s="148"/>
      <c r="B26" s="149"/>
      <c r="C26" s="149"/>
      <c r="D26" s="150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8" customHeight="1" x14ac:dyDescent="0.15">
      <c r="A27" s="148"/>
      <c r="B27" s="149"/>
      <c r="C27" s="149"/>
      <c r="D27" s="150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8" customHeight="1" x14ac:dyDescent="0.15">
      <c r="A28" s="148"/>
      <c r="B28" s="149"/>
      <c r="C28" s="149"/>
      <c r="D28" s="150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8" customHeight="1" x14ac:dyDescent="0.15">
      <c r="A29" s="148"/>
      <c r="B29" s="149"/>
      <c r="C29" s="149"/>
      <c r="D29" s="150"/>
      <c r="E29" s="17"/>
      <c r="F29" s="17"/>
      <c r="G29" s="17"/>
      <c r="H29" s="18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8" customHeight="1" x14ac:dyDescent="0.15">
      <c r="A30" s="148"/>
      <c r="B30" s="149"/>
      <c r="C30" s="149"/>
      <c r="D30" s="150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8" customHeight="1" x14ac:dyDescent="0.15">
      <c r="A31" s="116" t="s">
        <v>12</v>
      </c>
      <c r="B31" s="117"/>
      <c r="C31" s="117"/>
      <c r="D31" s="118"/>
      <c r="E31" s="17"/>
      <c r="F31" s="17"/>
      <c r="G31" s="17"/>
      <c r="H31" s="17"/>
      <c r="I31" s="1" t="s">
        <v>42</v>
      </c>
      <c r="J31" s="17"/>
      <c r="K31" s="17"/>
      <c r="L31" s="17"/>
      <c r="M31" s="17"/>
      <c r="N31" s="1" t="s">
        <v>42</v>
      </c>
      <c r="O31" s="110" t="s">
        <v>14</v>
      </c>
      <c r="P31" s="111"/>
      <c r="Q31" s="114">
        <v>2</v>
      </c>
      <c r="R31" s="17"/>
      <c r="S31" s="17"/>
      <c r="T31" s="17"/>
      <c r="U31" s="17"/>
      <c r="V31" s="17"/>
      <c r="W31" s="17"/>
      <c r="X31" s="17"/>
    </row>
    <row r="32" spans="1:24" ht="18" customHeight="1" x14ac:dyDescent="0.15">
      <c r="A32" s="116" t="s">
        <v>15</v>
      </c>
      <c r="B32" s="117"/>
      <c r="C32" s="117"/>
      <c r="D32" s="118"/>
      <c r="E32" s="1" t="s">
        <v>13</v>
      </c>
      <c r="F32" s="17"/>
      <c r="G32" s="17"/>
      <c r="H32" s="17"/>
      <c r="I32" s="17"/>
      <c r="J32" s="1" t="s">
        <v>13</v>
      </c>
      <c r="K32" s="17"/>
      <c r="L32" s="17"/>
      <c r="M32" s="17"/>
      <c r="N32" s="17"/>
      <c r="O32" s="112"/>
      <c r="P32" s="113"/>
      <c r="Q32" s="115"/>
      <c r="R32" s="17"/>
      <c r="S32" s="17"/>
      <c r="T32" s="17"/>
      <c r="U32" s="17"/>
      <c r="V32" s="17"/>
      <c r="W32" s="17"/>
      <c r="X32" s="17"/>
    </row>
    <row r="33" spans="1:24" ht="18" customHeight="1" x14ac:dyDescent="0.15">
      <c r="A33" s="19" t="s">
        <v>16</v>
      </c>
      <c r="B33" s="20" t="s">
        <v>43</v>
      </c>
      <c r="C33" s="21">
        <f>SUM(E33:X33)</f>
        <v>100</v>
      </c>
      <c r="D33" s="22" t="s">
        <v>44</v>
      </c>
      <c r="E33" s="1">
        <v>46</v>
      </c>
      <c r="F33" s="1">
        <v>5</v>
      </c>
      <c r="G33" s="1">
        <v>2</v>
      </c>
      <c r="H33" s="1">
        <v>3</v>
      </c>
      <c r="I33" s="1">
        <v>3</v>
      </c>
      <c r="J33" s="1">
        <v>24</v>
      </c>
      <c r="K33" s="1">
        <v>8</v>
      </c>
      <c r="L33" s="1">
        <v>2</v>
      </c>
      <c r="M33" s="1">
        <v>3</v>
      </c>
      <c r="N33" s="1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16" t="s">
        <v>17</v>
      </c>
      <c r="B34" s="117"/>
      <c r="C34" s="117"/>
      <c r="D34" s="118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16" t="s">
        <v>18</v>
      </c>
      <c r="B35" s="117"/>
      <c r="C35" s="117"/>
      <c r="D35" s="118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16" t="s">
        <v>19</v>
      </c>
      <c r="B36" s="117"/>
      <c r="C36" s="117"/>
      <c r="D36" s="118"/>
      <c r="E36" s="4" t="s">
        <v>45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46</v>
      </c>
      <c r="K36" s="4" t="s">
        <v>45</v>
      </c>
      <c r="L36" s="4" t="s">
        <v>45</v>
      </c>
      <c r="M36" s="4" t="s">
        <v>45</v>
      </c>
      <c r="N36" s="4" t="s">
        <v>45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A29:B29"/>
    <mergeCell ref="C29:D29"/>
    <mergeCell ref="A36:D36"/>
    <mergeCell ref="A31:D31"/>
    <mergeCell ref="A30:B30"/>
    <mergeCell ref="C30:D30"/>
    <mergeCell ref="A34:D34"/>
    <mergeCell ref="A35:D35"/>
    <mergeCell ref="A26:B26"/>
    <mergeCell ref="C26:D26"/>
    <mergeCell ref="A27:B27"/>
    <mergeCell ref="C27:D27"/>
    <mergeCell ref="A28:B28"/>
    <mergeCell ref="C28:D28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3:B13"/>
    <mergeCell ref="C13:D13"/>
    <mergeCell ref="A14:D14"/>
    <mergeCell ref="A15:D15"/>
    <mergeCell ref="A16:D16"/>
    <mergeCell ref="C10:D10"/>
    <mergeCell ref="A11:B11"/>
    <mergeCell ref="C11:D11"/>
    <mergeCell ref="A12:B12"/>
    <mergeCell ref="C12:D12"/>
    <mergeCell ref="V1:X1"/>
    <mergeCell ref="A2:E2"/>
    <mergeCell ref="F2:G2"/>
    <mergeCell ref="N2:O2"/>
    <mergeCell ref="P2:R2"/>
    <mergeCell ref="T2:U2"/>
    <mergeCell ref="V2:X2"/>
    <mergeCell ref="H2:K2"/>
    <mergeCell ref="P1:S1"/>
    <mergeCell ref="A3:B3"/>
    <mergeCell ref="C3:D3"/>
    <mergeCell ref="T1:U1"/>
    <mergeCell ref="A1:E1"/>
    <mergeCell ref="F1:G1"/>
    <mergeCell ref="H1:M1"/>
    <mergeCell ref="N1:O1"/>
    <mergeCell ref="L2:M2"/>
    <mergeCell ref="O31:P32"/>
    <mergeCell ref="Q31:Q32"/>
    <mergeCell ref="A32:D3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</mergeCells>
  <phoneticPr fontId="1"/>
  <pageMargins left="0.78740157480314965" right="0.19685039370078741" top="0.39370078740157483" bottom="0.59055118110236227" header="0.19685039370078741" footer="0.19685039370078741"/>
  <pageSetup paperSize="9" scale="95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2026-02-13</vt:lpstr>
      <vt:lpstr>250093</vt:lpstr>
      <vt:lpstr>'2026-02-13'!Print_Area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2025-06-03T08:00:59Z</cp:lastPrinted>
  <dcterms:created xsi:type="dcterms:W3CDTF">2002-07-31T02:52:52Z</dcterms:created>
  <dcterms:modified xsi:type="dcterms:W3CDTF">2026-02-25T10:50:41Z</dcterms:modified>
</cp:coreProperties>
</file>