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BAF9F70B-D04E-4FB0-B7F7-4BAFDF28E4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4" sheetId="2" r:id="rId1"/>
    <sheet name="250164" sheetId="1" r:id="rId2"/>
  </sheets>
  <definedNames>
    <definedName name="_xlnm.Print_Area" localSheetId="0">'2026-02-14'!$A$1:$X$38</definedName>
    <definedName name="_xlnm.Print_Area" localSheetId="1">'250164'!$A$1:$X$36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2" l="1"/>
  <c r="AD15" i="2" s="1"/>
  <c r="AA14" i="2"/>
  <c r="AD14" i="2" s="1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<sst xmlns="http://schemas.openxmlformats.org/spreadsheetml/2006/main" count="104" uniqueCount="61">
  <si>
    <t>規制番号　名称</t>
    <rPh sb="0" eb="2">
      <t>キセイ</t>
    </rPh>
    <rPh sb="2" eb="4">
      <t>バンゴウ</t>
    </rPh>
    <rPh sb="5" eb="7">
      <t>メイショウ</t>
    </rPh>
    <phoneticPr fontId="1"/>
  </si>
  <si>
    <t>内神町入口</t>
    <rPh sb="0" eb="3">
      <t>ウチガミチョウ</t>
    </rPh>
    <rPh sb="3" eb="5">
      <t>イリグチ</t>
    </rPh>
    <phoneticPr fontId="1"/>
  </si>
  <si>
    <t>運　用</t>
    <rPh sb="0" eb="1">
      <t>ウン</t>
    </rPh>
    <rPh sb="2" eb="3">
      <t>ヨウ</t>
    </rPh>
    <phoneticPr fontId="1"/>
  </si>
  <si>
    <t>H.13年10月29日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</si>
  <si>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</si>
  <si>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</si>
  <si>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</si>
  <si>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</si>
  <si>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</si>
  <si>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平成13年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</si>
  <si>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</si>
  <si>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</si>
  <si>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</si>
  <si>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</si>
  <si>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</si>
  <si>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</si>
  <si>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保安秒時</t>
    <rPh sb="0" eb="2">
      <t>ホアン</t>
    </rPh>
    <rPh sb="2" eb="4">
      <t>ビョウジ</t>
    </rPh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</si>
  <si>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</si>
  <si>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</si>
  <si>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</si>
  <si>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 xml:space="preserve">2-0164 </t>
    <phoneticPr fontId="1"/>
  </si>
  <si>
    <t>1B0931</t>
    <phoneticPr fontId="1"/>
  </si>
  <si>
    <t xml:space="preserve">250164 </t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</si>
  <si>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</si>
  <si>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</si>
  <si>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</si>
  <si>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</si>
  <si>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</si>
  <si>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</si>
  <si>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</si>
  <si>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</si>
  <si>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</si>
  <si>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</si>
  <si>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>　( １Ｐ )</t>
    <phoneticPr fontId="1"/>
  </si>
  <si>
    <t>[ 1P ]</t>
    <phoneticPr fontId="1"/>
  </si>
  <si>
    <t>１</t>
    <phoneticPr fontId="1"/>
  </si>
  <si>
    <t>[ 1V ]</t>
    <phoneticPr fontId="1"/>
  </si>
  <si>
    <t>　( ２Ｐ )</t>
    <phoneticPr fontId="1"/>
  </si>
  <si>
    <t>[ 2P ]</t>
    <phoneticPr fontId="1"/>
  </si>
  <si>
    <t>２</t>
    <phoneticPr fontId="1"/>
  </si>
  <si>
    <t>[ 2V ]</t>
    <phoneticPr fontId="1"/>
  </si>
  <si>
    <t>○</t>
    <phoneticPr fontId="1"/>
  </si>
  <si>
    <t>(</t>
    <phoneticPr fontId="1"/>
  </si>
  <si>
    <t>)</t>
    <phoneticPr fontId="1"/>
  </si>
  <si>
    <t>A</t>
    <phoneticPr fontId="1"/>
  </si>
  <si>
    <t>B</t>
    <phoneticPr fontId="1"/>
  </si>
  <si>
    <t>向井文具店前</t>
    <rPh sb="0" eb="2">
      <t>ムカイ</t>
    </rPh>
    <rPh sb="2" eb="4">
      <t>ブング</t>
    </rPh>
    <rPh sb="4" eb="5">
      <t>テン</t>
    </rPh>
    <rPh sb="5" eb="6">
      <t>マエ</t>
    </rPh>
    <phoneticPr fontId="1"/>
  </si>
  <si>
    <t>（ＵＣ形）</t>
    <rPh sb="3" eb="4">
      <t>カタチ</t>
    </rPh>
    <phoneticPr fontId="1"/>
  </si>
  <si>
    <t>(S9-TCU)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</si>
  <si>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</si>
  <si>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</si>
  <si>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</si>
  <si>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</si>
  <si>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ＰＵ</t>
    <phoneticPr fontId="1"/>
  </si>
  <si>
    <t>ＰＬ</t>
    <phoneticPr fontId="1"/>
  </si>
  <si>
    <t>02-0164</t>
    <phoneticPr fontId="1"/>
  </si>
  <si>
    <t>20164</t>
    <phoneticPr fontId="1"/>
  </si>
  <si>
    <t>( １Ｐ )</t>
    <phoneticPr fontId="1"/>
  </si>
  <si>
    <t>( ２Ｐ )</t>
    <phoneticPr fontId="1"/>
  </si>
  <si>
    <t>日本信号</t>
    <rPh sb="0" eb="4">
      <t>ニホンシンゴウ</t>
    </rPh>
    <phoneticPr fontId="1"/>
  </si>
  <si>
    <t>K0000011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</si>
</sst>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right" vertical="center"/>
    </xf>
    <xf numFmtId="49" fontId="9" fillId="0" borderId="9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77" fontId="9" fillId="0" borderId="9" xfId="0" applyNumberFormat="1" applyFont="1" applyBorder="1" applyAlignment="1">
      <alignment horizontal="center" vertical="center"/>
    </xf>
    <xf numFmtId="0" fontId="8" fillId="0" borderId="0" xfId="0" quotePrefix="1" applyFont="1" applyAlignment="1">
      <alignment horizontal="righ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9" fontId="8" fillId="0" borderId="0" xfId="0" applyNumberFormat="1" applyFont="1" applyAlignment="1">
      <alignment vertical="center"/>
    </xf>
    <xf numFmtId="49" fontId="9" fillId="0" borderId="7" xfId="0" applyNumberFormat="1" applyFont="1" applyBorder="1" applyAlignment="1">
      <alignment vertical="center"/>
    </xf>
    <xf numFmtId="176" fontId="9" fillId="0" borderId="7" xfId="0" applyNumberFormat="1" applyFont="1" applyBorder="1" applyAlignment="1">
      <alignment vertical="center"/>
    </xf>
    <xf numFmtId="181" fontId="8" fillId="0" borderId="0" xfId="0" applyNumberFormat="1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179" fontId="8" fillId="0" borderId="6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8" fillId="0" borderId="23" xfId="0" applyNumberFormat="1" applyFont="1" applyBorder="1" applyAlignment="1">
      <alignment horizontal="center" vertical="center"/>
    </xf>
    <xf numFmtId="180" fontId="8" fillId="0" borderId="24" xfId="0" applyNumberFormat="1" applyFont="1" applyBorder="1" applyAlignment="1">
      <alignment horizontal="center" vertical="center"/>
    </xf>
    <xf numFmtId="180" fontId="8" fillId="0" borderId="11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8" fontId="8" fillId="0" borderId="15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20" xfId="0" applyNumberFormat="1" applyFont="1" applyBorder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49" fontId="8" fillId="0" borderId="15" xfId="0" quotePrefix="1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vertical="center"/>
    </xf>
    <xf numFmtId="49" fontId="8" fillId="0" borderId="11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vertical="center"/>
    </xf>
    <xf numFmtId="49" fontId="8" fillId="0" borderId="15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right" vertical="center"/>
    </xf>
    <xf numFmtId="32" fontId="2" fillId="0" borderId="12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16" xfId="0" applyNumberFormat="1" applyFont="1" applyBorder="1" applyAlignment="1">
      <alignment horizontal="right" vertical="center"/>
    </xf>
    <xf numFmtId="0" fontId="2" fillId="0" borderId="17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152298</xdr:colOff>
      <xdr:row>4</xdr:row>
      <xdr:rowOff>142875</xdr:rowOff>
    </xdr:from>
    <xdr:to>
      <xdr:col>21</xdr:col>
      <xdr:colOff>285750</xdr:colOff>
      <xdr:row>14</xdr:row>
      <xdr:rowOff>81068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D0C70BC9-DD23-4348-A162-36E25B83D439}"/>
            </a:ext>
          </a:extLst>
        </xdr:cNvPr>
        <xdr:cNvGrpSpPr>
          <a:grpSpLocks noChangeAspect="1"/>
        </xdr:cNvGrpSpPr>
      </xdr:nvGrpSpPr>
      <xdr:grpSpPr>
        <a:xfrm>
          <a:off x="1238148" y="714375"/>
          <a:ext cx="5648427" cy="3872018"/>
          <a:chOff x="3771900" y="1714500"/>
          <a:chExt cx="11628571" cy="7971428"/>
        </a:xfrm>
      </xdr:grpSpPr>
      <xdr:pic>
        <xdr:nvPicPr>
          <xdr:cNvPr id="127" name="図 126">
            <a:extLst>
              <a:ext uri="{FF2B5EF4-FFF2-40B4-BE49-F238E27FC236}">
                <a16:creationId xmlns:a16="http://schemas.microsoft.com/office/drawing/2014/main" id="{73807CB3-89AA-4C25-894F-6AB8A47380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771900" y="1714500"/>
            <a:ext cx="11628571" cy="7971428"/>
          </a:xfrm>
          <a:prstGeom prst="rect">
            <a:avLst/>
          </a:prstGeom>
        </xdr:spPr>
      </xdr:pic>
      <xdr:sp macro="" textlink="">
        <xdr:nvSpPr>
          <xdr:cNvPr id="128" name="正方形/長方形 127">
            <a:extLst>
              <a:ext uri="{FF2B5EF4-FFF2-40B4-BE49-F238E27FC236}">
                <a16:creationId xmlns:a16="http://schemas.microsoft.com/office/drawing/2014/main" id="{3D1082D1-0CC2-4F6B-927E-9318F0997A5F}"/>
              </a:ext>
            </a:extLst>
          </xdr:cNvPr>
          <xdr:cNvSpPr/>
        </xdr:nvSpPr>
        <xdr:spPr bwMode="auto">
          <a:xfrm>
            <a:off x="3771900" y="1981200"/>
            <a:ext cx="2857500" cy="20383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A4A31F0-C810-4B7A-A7BA-438ADFE5CF8D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9F7EF5F8-20ED-4862-B376-C1E17B3D1231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38100</xdr:rowOff>
    </xdr:from>
    <xdr:to>
      <xdr:col>7</xdr:col>
      <xdr:colOff>304800</xdr:colOff>
      <xdr:row>19</xdr:row>
      <xdr:rowOff>180975</xdr:rowOff>
    </xdr:to>
    <xdr:sp macro="" textlink="">
      <xdr:nvSpPr>
        <xdr:cNvPr id="4" name="Freeform 12">
          <a:extLst>
            <a:ext uri="{FF2B5EF4-FFF2-40B4-BE49-F238E27FC236}">
              <a16:creationId xmlns:a16="http://schemas.microsoft.com/office/drawing/2014/main" id="{6F61A7A0-AC2D-42F6-8DE8-0D4BF00E6AAD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ACE4B978-EB32-4277-BC72-97300C37DFD5}"/>
            </a:ext>
          </a:extLst>
        </xdr:cNvPr>
        <xdr:cNvGrpSpPr>
          <a:grpSpLocks/>
        </xdr:cNvGrpSpPr>
      </xdr:nvGrpSpPr>
      <xdr:grpSpPr bwMode="auto">
        <a:xfrm>
          <a:off x="1619250" y="6810375"/>
          <a:ext cx="219075" cy="152400"/>
          <a:chOff x="132" y="708"/>
          <a:chExt cx="20" cy="14"/>
        </a:xfrm>
      </xdr:grpSpPr>
      <xdr:sp macro="" textlink="">
        <xdr:nvSpPr>
          <xdr:cNvPr id="6" name="Line 14">
            <a:extLst>
              <a:ext uri="{FF2B5EF4-FFF2-40B4-BE49-F238E27FC236}">
                <a16:creationId xmlns:a16="http://schemas.microsoft.com/office/drawing/2014/main" id="{DBBAB0AD-EEFD-48CD-82C9-92CDDF0F800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5">
            <a:extLst>
              <a:ext uri="{FF2B5EF4-FFF2-40B4-BE49-F238E27FC236}">
                <a16:creationId xmlns:a16="http://schemas.microsoft.com/office/drawing/2014/main" id="{794F9CB2-8B66-4BCB-91E0-F25578D561E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6">
            <a:extLst>
              <a:ext uri="{FF2B5EF4-FFF2-40B4-BE49-F238E27FC236}">
                <a16:creationId xmlns:a16="http://schemas.microsoft.com/office/drawing/2014/main" id="{D668602E-3F1B-4F38-93BA-4BBC3E9C2D0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7">
            <a:extLst>
              <a:ext uri="{FF2B5EF4-FFF2-40B4-BE49-F238E27FC236}">
                <a16:creationId xmlns:a16="http://schemas.microsoft.com/office/drawing/2014/main" id="{16A7CC6D-F52F-417B-B236-EF93A0B2AB8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" name="Group 18">
          <a:extLst>
            <a:ext uri="{FF2B5EF4-FFF2-40B4-BE49-F238E27FC236}">
              <a16:creationId xmlns:a16="http://schemas.microsoft.com/office/drawing/2014/main" id="{73E4738B-A5C8-46F8-9BFD-1EDC06F8144B}"/>
            </a:ext>
          </a:extLst>
        </xdr:cNvPr>
        <xdr:cNvGrpSpPr>
          <a:grpSpLocks/>
        </xdr:cNvGrpSpPr>
      </xdr:nvGrpSpPr>
      <xdr:grpSpPr bwMode="auto">
        <a:xfrm>
          <a:off x="1885950" y="6867525"/>
          <a:ext cx="2514600" cy="47625"/>
          <a:chOff x="158" y="715"/>
          <a:chExt cx="33" cy="5"/>
        </a:xfrm>
      </xdr:grpSpPr>
      <xdr:sp macro="" textlink="">
        <xdr:nvSpPr>
          <xdr:cNvPr id="11" name="Line 19">
            <a:extLst>
              <a:ext uri="{FF2B5EF4-FFF2-40B4-BE49-F238E27FC236}">
                <a16:creationId xmlns:a16="http://schemas.microsoft.com/office/drawing/2014/main" id="{20E70CF7-2CFB-4BA1-B668-FACAE6B4740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0">
            <a:extLst>
              <a:ext uri="{FF2B5EF4-FFF2-40B4-BE49-F238E27FC236}">
                <a16:creationId xmlns:a16="http://schemas.microsoft.com/office/drawing/2014/main" id="{12986889-5BC6-43BA-8C21-CC35EC33DB4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13" name="Line 21">
          <a:extLst>
            <a:ext uri="{FF2B5EF4-FFF2-40B4-BE49-F238E27FC236}">
              <a16:creationId xmlns:a16="http://schemas.microsoft.com/office/drawing/2014/main" id="{877A5585-7CEC-42C0-9063-DAEAB41308FB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19</xdr:row>
      <xdr:rowOff>95250</xdr:rowOff>
    </xdr:from>
    <xdr:to>
      <xdr:col>14</xdr:col>
      <xdr:colOff>9525</xdr:colOff>
      <xdr:row>19</xdr:row>
      <xdr:rowOff>142875</xdr:rowOff>
    </xdr:to>
    <xdr:grpSp>
      <xdr:nvGrpSpPr>
        <xdr:cNvPr id="14" name="Group 22">
          <a:extLst>
            <a:ext uri="{FF2B5EF4-FFF2-40B4-BE49-F238E27FC236}">
              <a16:creationId xmlns:a16="http://schemas.microsoft.com/office/drawing/2014/main" id="{3EA5CAA4-3962-4CD5-A2E0-F6F9A6A3EEA6}"/>
            </a:ext>
          </a:extLst>
        </xdr:cNvPr>
        <xdr:cNvGrpSpPr>
          <a:grpSpLocks/>
        </xdr:cNvGrpSpPr>
      </xdr:nvGrpSpPr>
      <xdr:grpSpPr bwMode="auto">
        <a:xfrm>
          <a:off x="2524125" y="7096125"/>
          <a:ext cx="1885950" cy="47625"/>
          <a:chOff x="158" y="715"/>
          <a:chExt cx="33" cy="5"/>
        </a:xfrm>
      </xdr:grpSpPr>
      <xdr:sp macro="" textlink="">
        <xdr:nvSpPr>
          <xdr:cNvPr id="15" name="Line 23">
            <a:extLst>
              <a:ext uri="{FF2B5EF4-FFF2-40B4-BE49-F238E27FC236}">
                <a16:creationId xmlns:a16="http://schemas.microsoft.com/office/drawing/2014/main" id="{2F183A16-89F0-44FD-9108-C5FBFD6A5C2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4">
            <a:extLst>
              <a:ext uri="{FF2B5EF4-FFF2-40B4-BE49-F238E27FC236}">
                <a16:creationId xmlns:a16="http://schemas.microsoft.com/office/drawing/2014/main" id="{67F3A981-AA81-429D-9948-C2A9C43919F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21</xdr:row>
      <xdr:rowOff>28575</xdr:rowOff>
    </xdr:from>
    <xdr:to>
      <xdr:col>13</xdr:col>
      <xdr:colOff>0</xdr:colOff>
      <xdr:row>21</xdr:row>
      <xdr:rowOff>171450</xdr:rowOff>
    </xdr:to>
    <xdr:sp macro="" textlink="">
      <xdr:nvSpPr>
        <xdr:cNvPr id="17" name="Freeform 64">
          <a:extLst>
            <a:ext uri="{FF2B5EF4-FFF2-40B4-BE49-F238E27FC236}">
              <a16:creationId xmlns:a16="http://schemas.microsoft.com/office/drawing/2014/main" id="{6B21B330-0F11-463A-B192-934F81C9D9BB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20</xdr:row>
      <xdr:rowOff>28575</xdr:rowOff>
    </xdr:from>
    <xdr:to>
      <xdr:col>10</xdr:col>
      <xdr:colOff>276225</xdr:colOff>
      <xdr:row>20</xdr:row>
      <xdr:rowOff>180975</xdr:rowOff>
    </xdr:to>
    <xdr:grpSp>
      <xdr:nvGrpSpPr>
        <xdr:cNvPr id="18" name="Group 65">
          <a:extLst>
            <a:ext uri="{FF2B5EF4-FFF2-40B4-BE49-F238E27FC236}">
              <a16:creationId xmlns:a16="http://schemas.microsoft.com/office/drawing/2014/main" id="{62D35B1E-89FE-4047-9B6C-9CEF0DBE76EB}"/>
            </a:ext>
          </a:extLst>
        </xdr:cNvPr>
        <xdr:cNvGrpSpPr>
          <a:grpSpLocks/>
        </xdr:cNvGrpSpPr>
      </xdr:nvGrpSpPr>
      <xdr:grpSpPr bwMode="auto">
        <a:xfrm>
          <a:off x="3200400" y="7258050"/>
          <a:ext cx="219075" cy="152400"/>
          <a:chOff x="132" y="708"/>
          <a:chExt cx="20" cy="14"/>
        </a:xfrm>
      </xdr:grpSpPr>
      <xdr:sp macro="" textlink="">
        <xdr:nvSpPr>
          <xdr:cNvPr id="19" name="Line 66">
            <a:extLst>
              <a:ext uri="{FF2B5EF4-FFF2-40B4-BE49-F238E27FC236}">
                <a16:creationId xmlns:a16="http://schemas.microsoft.com/office/drawing/2014/main" id="{F165E3D0-04E8-414E-AE0A-6D6431D85B9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67">
            <a:extLst>
              <a:ext uri="{FF2B5EF4-FFF2-40B4-BE49-F238E27FC236}">
                <a16:creationId xmlns:a16="http://schemas.microsoft.com/office/drawing/2014/main" id="{BE0F9DA2-D480-4F0D-894D-74EDEADB801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68">
            <a:extLst>
              <a:ext uri="{FF2B5EF4-FFF2-40B4-BE49-F238E27FC236}">
                <a16:creationId xmlns:a16="http://schemas.microsoft.com/office/drawing/2014/main" id="{B5C99C2F-D6FB-4CD4-9C68-74CCD875A2D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69">
            <a:extLst>
              <a:ext uri="{FF2B5EF4-FFF2-40B4-BE49-F238E27FC236}">
                <a16:creationId xmlns:a16="http://schemas.microsoft.com/office/drawing/2014/main" id="{C1D25CFA-8310-4C01-B813-08DFC9FCA50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20</xdr:row>
      <xdr:rowOff>85725</xdr:rowOff>
    </xdr:from>
    <xdr:to>
      <xdr:col>14</xdr:col>
      <xdr:colOff>0</xdr:colOff>
      <xdr:row>20</xdr:row>
      <xdr:rowOff>133350</xdr:rowOff>
    </xdr:to>
    <xdr:grpSp>
      <xdr:nvGrpSpPr>
        <xdr:cNvPr id="23" name="Group 70">
          <a:extLst>
            <a:ext uri="{FF2B5EF4-FFF2-40B4-BE49-F238E27FC236}">
              <a16:creationId xmlns:a16="http://schemas.microsoft.com/office/drawing/2014/main" id="{8B79EB6A-C0D7-4461-980E-0300CD6EFA32}"/>
            </a:ext>
          </a:extLst>
        </xdr:cNvPr>
        <xdr:cNvGrpSpPr>
          <a:grpSpLocks/>
        </xdr:cNvGrpSpPr>
      </xdr:nvGrpSpPr>
      <xdr:grpSpPr bwMode="auto">
        <a:xfrm>
          <a:off x="3467100" y="7315200"/>
          <a:ext cx="933450" cy="47625"/>
          <a:chOff x="158" y="715"/>
          <a:chExt cx="33" cy="5"/>
        </a:xfrm>
      </xdr:grpSpPr>
      <xdr:sp macro="" textlink="">
        <xdr:nvSpPr>
          <xdr:cNvPr id="24" name="Line 71">
            <a:extLst>
              <a:ext uri="{FF2B5EF4-FFF2-40B4-BE49-F238E27FC236}">
                <a16:creationId xmlns:a16="http://schemas.microsoft.com/office/drawing/2014/main" id="{132F40B8-7713-43B4-9723-DC3F6837C80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2">
            <a:extLst>
              <a:ext uri="{FF2B5EF4-FFF2-40B4-BE49-F238E27FC236}">
                <a16:creationId xmlns:a16="http://schemas.microsoft.com/office/drawing/2014/main" id="{46AD641E-E95B-4A2B-83F2-C2A5322220B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85725</xdr:rowOff>
    </xdr:from>
    <xdr:to>
      <xdr:col>14</xdr:col>
      <xdr:colOff>9525</xdr:colOff>
      <xdr:row>21</xdr:row>
      <xdr:rowOff>133350</xdr:rowOff>
    </xdr:to>
    <xdr:grpSp>
      <xdr:nvGrpSpPr>
        <xdr:cNvPr id="26" name="Group 73">
          <a:extLst>
            <a:ext uri="{FF2B5EF4-FFF2-40B4-BE49-F238E27FC236}">
              <a16:creationId xmlns:a16="http://schemas.microsoft.com/office/drawing/2014/main" id="{52244C87-8404-430F-849C-EF822A1B2D17}"/>
            </a:ext>
          </a:extLst>
        </xdr:cNvPr>
        <xdr:cNvGrpSpPr>
          <a:grpSpLocks/>
        </xdr:cNvGrpSpPr>
      </xdr:nvGrpSpPr>
      <xdr:grpSpPr bwMode="auto">
        <a:xfrm>
          <a:off x="4095750" y="7543800"/>
          <a:ext cx="314325" cy="47625"/>
          <a:chOff x="158" y="715"/>
          <a:chExt cx="33" cy="5"/>
        </a:xfrm>
      </xdr:grpSpPr>
      <xdr:sp macro="" textlink="">
        <xdr:nvSpPr>
          <xdr:cNvPr id="27" name="Line 74">
            <a:extLst>
              <a:ext uri="{FF2B5EF4-FFF2-40B4-BE49-F238E27FC236}">
                <a16:creationId xmlns:a16="http://schemas.microsoft.com/office/drawing/2014/main" id="{FC40F9AC-9AB0-4D66-854F-D91BEA8F3E9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75">
            <a:extLst>
              <a:ext uri="{FF2B5EF4-FFF2-40B4-BE49-F238E27FC236}">
                <a16:creationId xmlns:a16="http://schemas.microsoft.com/office/drawing/2014/main" id="{59B5A9A4-4AF0-4FDD-AD4D-D71FC9DA01B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85725</xdr:rowOff>
    </xdr:from>
    <xdr:to>
      <xdr:col>9</xdr:col>
      <xdr:colOff>9525</xdr:colOff>
      <xdr:row>20</xdr:row>
      <xdr:rowOff>133350</xdr:rowOff>
    </xdr:to>
    <xdr:grpSp>
      <xdr:nvGrpSpPr>
        <xdr:cNvPr id="29" name="Group 76">
          <a:extLst>
            <a:ext uri="{FF2B5EF4-FFF2-40B4-BE49-F238E27FC236}">
              <a16:creationId xmlns:a16="http://schemas.microsoft.com/office/drawing/2014/main" id="{58FDCC62-B56B-4F0A-ADA8-F60B5ADAB2C8}"/>
            </a:ext>
          </a:extLst>
        </xdr:cNvPr>
        <xdr:cNvGrpSpPr>
          <a:grpSpLocks/>
        </xdr:cNvGrpSpPr>
      </xdr:nvGrpSpPr>
      <xdr:grpSpPr bwMode="auto">
        <a:xfrm>
          <a:off x="1266825" y="7315200"/>
          <a:ext cx="1571625" cy="47625"/>
          <a:chOff x="158" y="715"/>
          <a:chExt cx="33" cy="5"/>
        </a:xfrm>
      </xdr:grpSpPr>
      <xdr:sp macro="" textlink="">
        <xdr:nvSpPr>
          <xdr:cNvPr id="30" name="Line 77">
            <a:extLst>
              <a:ext uri="{FF2B5EF4-FFF2-40B4-BE49-F238E27FC236}">
                <a16:creationId xmlns:a16="http://schemas.microsoft.com/office/drawing/2014/main" id="{03336076-70CF-46C5-BF08-5477FC52078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78">
            <a:extLst>
              <a:ext uri="{FF2B5EF4-FFF2-40B4-BE49-F238E27FC236}">
                <a16:creationId xmlns:a16="http://schemas.microsoft.com/office/drawing/2014/main" id="{16F80D29-1369-48CD-A9CD-CFEADE67CA3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20</xdr:row>
      <xdr:rowOff>114300</xdr:rowOff>
    </xdr:from>
    <xdr:to>
      <xdr:col>10</xdr:col>
      <xdr:colOff>9525</xdr:colOff>
      <xdr:row>20</xdr:row>
      <xdr:rowOff>114300</xdr:rowOff>
    </xdr:to>
    <xdr:sp macro="" textlink="">
      <xdr:nvSpPr>
        <xdr:cNvPr id="32" name="Line 79">
          <a:extLst>
            <a:ext uri="{FF2B5EF4-FFF2-40B4-BE49-F238E27FC236}">
              <a16:creationId xmlns:a16="http://schemas.microsoft.com/office/drawing/2014/main" id="{A6F3CD0A-7F23-44D4-9F58-5263F7F9CF81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21</xdr:row>
      <xdr:rowOff>114300</xdr:rowOff>
    </xdr:from>
    <xdr:to>
      <xdr:col>12</xdr:col>
      <xdr:colOff>9525</xdr:colOff>
      <xdr:row>21</xdr:row>
      <xdr:rowOff>114300</xdr:rowOff>
    </xdr:to>
    <xdr:sp macro="" textlink="">
      <xdr:nvSpPr>
        <xdr:cNvPr id="33" name="Line 80">
          <a:extLst>
            <a:ext uri="{FF2B5EF4-FFF2-40B4-BE49-F238E27FC236}">
              <a16:creationId xmlns:a16="http://schemas.microsoft.com/office/drawing/2014/main" id="{8C835FF2-B2B6-4B10-9C84-6269F2C412DC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85725</xdr:rowOff>
    </xdr:from>
    <xdr:to>
      <xdr:col>9</xdr:col>
      <xdr:colOff>9525</xdr:colOff>
      <xdr:row>21</xdr:row>
      <xdr:rowOff>133350</xdr:rowOff>
    </xdr:to>
    <xdr:grpSp>
      <xdr:nvGrpSpPr>
        <xdr:cNvPr id="34" name="Group 81">
          <a:extLst>
            <a:ext uri="{FF2B5EF4-FFF2-40B4-BE49-F238E27FC236}">
              <a16:creationId xmlns:a16="http://schemas.microsoft.com/office/drawing/2014/main" id="{B98F14B5-F1D5-4277-AD2C-F38252408D47}"/>
            </a:ext>
          </a:extLst>
        </xdr:cNvPr>
        <xdr:cNvGrpSpPr>
          <a:grpSpLocks/>
        </xdr:cNvGrpSpPr>
      </xdr:nvGrpSpPr>
      <xdr:grpSpPr bwMode="auto">
        <a:xfrm>
          <a:off x="1257300" y="7543800"/>
          <a:ext cx="1581150" cy="47625"/>
          <a:chOff x="158" y="715"/>
          <a:chExt cx="33" cy="5"/>
        </a:xfrm>
      </xdr:grpSpPr>
      <xdr:sp macro="" textlink="">
        <xdr:nvSpPr>
          <xdr:cNvPr id="35" name="Line 82">
            <a:extLst>
              <a:ext uri="{FF2B5EF4-FFF2-40B4-BE49-F238E27FC236}">
                <a16:creationId xmlns:a16="http://schemas.microsoft.com/office/drawing/2014/main" id="{ACBC0E74-A70D-496B-B4F1-598A375B1F6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83">
            <a:extLst>
              <a:ext uri="{FF2B5EF4-FFF2-40B4-BE49-F238E27FC236}">
                <a16:creationId xmlns:a16="http://schemas.microsoft.com/office/drawing/2014/main" id="{9D38EF50-7CCB-4119-9FAB-B5DE91AD3C3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13</xdr:row>
      <xdr:rowOff>104775</xdr:rowOff>
    </xdr:from>
    <xdr:ext cx="1479054" cy="336434"/>
    <xdr:sp macro="" textlink="">
      <xdr:nvSpPr>
        <xdr:cNvPr id="40" name="Text Box 97">
          <a:extLst>
            <a:ext uri="{FF2B5EF4-FFF2-40B4-BE49-F238E27FC236}">
              <a16:creationId xmlns:a16="http://schemas.microsoft.com/office/drawing/2014/main" id="{0F3C30B7-4625-45EB-A1AE-BF00FED22E76}"/>
            </a:ext>
          </a:extLst>
        </xdr:cNvPr>
        <xdr:cNvSpPr txBox="1">
          <a:spLocks noChangeArrowheads="1"/>
        </xdr:cNvSpPr>
      </xdr:nvSpPr>
      <xdr:spPr bwMode="auto">
        <a:xfrm>
          <a:off x="38100" y="4381500"/>
          <a:ext cx="1479054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S3:閃光(21:30～ 6:30)　</a:t>
          </a:r>
        </a:p>
      </xdr:txBody>
    </xdr:sp>
    <xdr:clientData/>
  </xdr:oneCellAnchor>
  <xdr:oneCellAnchor>
    <xdr:from>
      <xdr:col>4</xdr:col>
      <xdr:colOff>104775</xdr:colOff>
      <xdr:row>17</xdr:row>
      <xdr:rowOff>323850</xdr:rowOff>
    </xdr:from>
    <xdr:ext cx="303536" cy="150041"/>
    <xdr:sp macro="" textlink="">
      <xdr:nvSpPr>
        <xdr:cNvPr id="52" name="Text Box 113">
          <a:extLst>
            <a:ext uri="{FF2B5EF4-FFF2-40B4-BE49-F238E27FC236}">
              <a16:creationId xmlns:a16="http://schemas.microsoft.com/office/drawing/2014/main" id="{0F341716-B26D-49E6-A090-F32906585319}"/>
            </a:ext>
          </a:extLst>
        </xdr:cNvPr>
        <xdr:cNvSpPr txBox="1">
          <a:spLocks noChangeArrowheads="1"/>
        </xdr:cNvSpPr>
      </xdr:nvSpPr>
      <xdr:spPr bwMode="auto">
        <a:xfrm>
          <a:off x="1362075" y="5514975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7</xdr:col>
      <xdr:colOff>257175</xdr:colOff>
      <xdr:row>17</xdr:row>
      <xdr:rowOff>1143000</xdr:rowOff>
    </xdr:from>
    <xdr:ext cx="303536" cy="150041"/>
    <xdr:sp macro="" textlink="">
      <xdr:nvSpPr>
        <xdr:cNvPr id="53" name="Text Box 114">
          <a:extLst>
            <a:ext uri="{FF2B5EF4-FFF2-40B4-BE49-F238E27FC236}">
              <a16:creationId xmlns:a16="http://schemas.microsoft.com/office/drawing/2014/main" id="{0A876DF5-F9FF-4138-9D3C-11C2C6171E57}"/>
            </a:ext>
          </a:extLst>
        </xdr:cNvPr>
        <xdr:cNvSpPr txBox="1">
          <a:spLocks noChangeArrowheads="1"/>
        </xdr:cNvSpPr>
      </xdr:nvSpPr>
      <xdr:spPr bwMode="auto">
        <a:xfrm>
          <a:off x="2457450" y="6334125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4</xdr:col>
      <xdr:colOff>66675</xdr:colOff>
      <xdr:row>17</xdr:row>
      <xdr:rowOff>66675</xdr:rowOff>
    </xdr:from>
    <xdr:ext cx="534368" cy="150041"/>
    <xdr:sp macro="" textlink="">
      <xdr:nvSpPr>
        <xdr:cNvPr id="72" name="Text Box 133">
          <a:extLst>
            <a:ext uri="{FF2B5EF4-FFF2-40B4-BE49-F238E27FC236}">
              <a16:creationId xmlns:a16="http://schemas.microsoft.com/office/drawing/2014/main" id="{C7872D2C-2CD4-455C-93DA-8E0DD4AAA3B6}"/>
            </a:ext>
          </a:extLst>
        </xdr:cNvPr>
        <xdr:cNvSpPr txBox="1">
          <a:spLocks noChangeArrowheads="1"/>
        </xdr:cNvSpPr>
      </xdr:nvSpPr>
      <xdr:spPr bwMode="auto">
        <a:xfrm>
          <a:off x="1323975" y="5257800"/>
          <a:ext cx="534368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oneCellAnchor>
    <xdr:from>
      <xdr:col>7</xdr:col>
      <xdr:colOff>66675</xdr:colOff>
      <xdr:row>17</xdr:row>
      <xdr:rowOff>1390650</xdr:rowOff>
    </xdr:from>
    <xdr:ext cx="534368" cy="150041"/>
    <xdr:sp macro="" textlink="">
      <xdr:nvSpPr>
        <xdr:cNvPr id="73" name="Text Box 134">
          <a:extLst>
            <a:ext uri="{FF2B5EF4-FFF2-40B4-BE49-F238E27FC236}">
              <a16:creationId xmlns:a16="http://schemas.microsoft.com/office/drawing/2014/main" id="{BB9ED7B4-DF55-41F5-803A-BA53CF3BB6A9}"/>
            </a:ext>
          </a:extLst>
        </xdr:cNvPr>
        <xdr:cNvSpPr txBox="1">
          <a:spLocks noChangeArrowheads="1"/>
        </xdr:cNvSpPr>
      </xdr:nvSpPr>
      <xdr:spPr bwMode="auto">
        <a:xfrm>
          <a:off x="2266950" y="6581775"/>
          <a:ext cx="534368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oneCellAnchor>
    <xdr:from>
      <xdr:col>9</xdr:col>
      <xdr:colOff>76200</xdr:colOff>
      <xdr:row>17</xdr:row>
      <xdr:rowOff>1152525</xdr:rowOff>
    </xdr:from>
    <xdr:ext cx="361244" cy="150041"/>
    <xdr:sp macro="" textlink="">
      <xdr:nvSpPr>
        <xdr:cNvPr id="98" name="Text Box 160">
          <a:extLst>
            <a:ext uri="{FF2B5EF4-FFF2-40B4-BE49-F238E27FC236}">
              <a16:creationId xmlns:a16="http://schemas.microsoft.com/office/drawing/2014/main" id="{52ABA47A-295F-4DD9-A672-7631237226CB}"/>
            </a:ext>
          </a:extLst>
        </xdr:cNvPr>
        <xdr:cNvSpPr txBox="1">
          <a:spLocks noChangeArrowheads="1"/>
        </xdr:cNvSpPr>
      </xdr:nvSpPr>
      <xdr:spPr bwMode="auto">
        <a:xfrm>
          <a:off x="2905125" y="63436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171450</xdr:colOff>
      <xdr:row>17</xdr:row>
      <xdr:rowOff>276225</xdr:rowOff>
    </xdr:from>
    <xdr:ext cx="361244" cy="150041"/>
    <xdr:sp macro="" textlink="">
      <xdr:nvSpPr>
        <xdr:cNvPr id="103" name="Text Box 165">
          <a:extLst>
            <a:ext uri="{FF2B5EF4-FFF2-40B4-BE49-F238E27FC236}">
              <a16:creationId xmlns:a16="http://schemas.microsoft.com/office/drawing/2014/main" id="{B7C82DE0-5776-4335-9EDC-C7D5E79340C9}"/>
            </a:ext>
          </a:extLst>
        </xdr:cNvPr>
        <xdr:cNvSpPr txBox="1">
          <a:spLocks noChangeArrowheads="1"/>
        </xdr:cNvSpPr>
      </xdr:nvSpPr>
      <xdr:spPr bwMode="auto">
        <a:xfrm>
          <a:off x="3943350" y="54673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66675</xdr:colOff>
      <xdr:row>17</xdr:row>
      <xdr:rowOff>1381125</xdr:rowOff>
    </xdr:from>
    <xdr:ext cx="534368" cy="150041"/>
    <xdr:sp macro="" textlink="">
      <xdr:nvSpPr>
        <xdr:cNvPr id="104" name="Text Box 166">
          <a:extLst>
            <a:ext uri="{FF2B5EF4-FFF2-40B4-BE49-F238E27FC236}">
              <a16:creationId xmlns:a16="http://schemas.microsoft.com/office/drawing/2014/main" id="{B656EA4E-052F-4F01-B274-41F3E7ECAA33}"/>
            </a:ext>
          </a:extLst>
        </xdr:cNvPr>
        <xdr:cNvSpPr txBox="1">
          <a:spLocks noChangeArrowheads="1"/>
        </xdr:cNvSpPr>
      </xdr:nvSpPr>
      <xdr:spPr bwMode="auto">
        <a:xfrm>
          <a:off x="2895600" y="6572250"/>
          <a:ext cx="534368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oneCellAnchor>
    <xdr:from>
      <xdr:col>12</xdr:col>
      <xdr:colOff>95250</xdr:colOff>
      <xdr:row>17</xdr:row>
      <xdr:rowOff>38100</xdr:rowOff>
    </xdr:from>
    <xdr:ext cx="534368" cy="150041"/>
    <xdr:sp macro="" textlink="">
      <xdr:nvSpPr>
        <xdr:cNvPr id="105" name="Text Box 167">
          <a:extLst>
            <a:ext uri="{FF2B5EF4-FFF2-40B4-BE49-F238E27FC236}">
              <a16:creationId xmlns:a16="http://schemas.microsoft.com/office/drawing/2014/main" id="{9DCB7236-4B67-43A4-B37F-5C5A6157C226}"/>
            </a:ext>
          </a:extLst>
        </xdr:cNvPr>
        <xdr:cNvSpPr txBox="1">
          <a:spLocks noChangeArrowheads="1"/>
        </xdr:cNvSpPr>
      </xdr:nvSpPr>
      <xdr:spPr bwMode="auto">
        <a:xfrm>
          <a:off x="3867150" y="5229225"/>
          <a:ext cx="534368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twoCellAnchor>
    <xdr:from>
      <xdr:col>10</xdr:col>
      <xdr:colOff>304802</xdr:colOff>
      <xdr:row>9</xdr:row>
      <xdr:rowOff>257175</xdr:rowOff>
    </xdr:from>
    <xdr:to>
      <xdr:col>15</xdr:col>
      <xdr:colOff>209550</xdr:colOff>
      <xdr:row>10</xdr:row>
      <xdr:rowOff>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DAB92942-4B57-4DEE-B496-94921FEEB5DB}"/>
            </a:ext>
          </a:extLst>
        </xdr:cNvPr>
        <xdr:cNvCxnSpPr/>
      </xdr:nvCxnSpPr>
      <xdr:spPr>
        <a:xfrm flipH="1">
          <a:off x="3448052" y="1971675"/>
          <a:ext cx="1476373" cy="161925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314324</xdr:colOff>
      <xdr:row>9</xdr:row>
      <xdr:rowOff>1162050</xdr:rowOff>
    </xdr:from>
    <xdr:ext cx="468389" cy="187872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5B037B19-2018-492B-95F8-EB418AC57C54}"/>
            </a:ext>
          </a:extLst>
        </xdr:cNvPr>
        <xdr:cNvSpPr txBox="1"/>
      </xdr:nvSpPr>
      <xdr:spPr>
        <a:xfrm>
          <a:off x="4086224" y="2876550"/>
          <a:ext cx="468389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27.0m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11</xdr:col>
      <xdr:colOff>285750</xdr:colOff>
      <xdr:row>9</xdr:row>
      <xdr:rowOff>314327</xdr:rowOff>
    </xdr:from>
    <xdr:to>
      <xdr:col>16</xdr:col>
      <xdr:colOff>133350</xdr:colOff>
      <xdr:row>9</xdr:row>
      <xdr:rowOff>1600200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975DC6AC-1FE3-49FA-8B52-DF804C4C3B18}"/>
            </a:ext>
          </a:extLst>
        </xdr:cNvPr>
        <xdr:cNvCxnSpPr/>
      </xdr:nvCxnSpPr>
      <xdr:spPr>
        <a:xfrm flipH="1" flipV="1">
          <a:off x="3743325" y="2028827"/>
          <a:ext cx="1419225" cy="1285873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142873</xdr:colOff>
      <xdr:row>9</xdr:row>
      <xdr:rowOff>1066799</xdr:rowOff>
    </xdr:from>
    <xdr:ext cx="468389" cy="187872"/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A4FEE9AB-685C-4C24-86E5-AFC99FA1B81E}"/>
            </a:ext>
          </a:extLst>
        </xdr:cNvPr>
        <xdr:cNvSpPr txBox="1"/>
      </xdr:nvSpPr>
      <xdr:spPr>
        <a:xfrm>
          <a:off x="4857748" y="2781299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26.2m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18</xdr:col>
      <xdr:colOff>180975</xdr:colOff>
      <xdr:row>10</xdr:row>
      <xdr:rowOff>152400</xdr:rowOff>
    </xdr:from>
    <xdr:to>
      <xdr:col>19</xdr:col>
      <xdr:colOff>127234</xdr:colOff>
      <xdr:row>12</xdr:row>
      <xdr:rowOff>103693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FCD36465-1A87-4249-B522-232D98C3BC5B}"/>
            </a:ext>
          </a:extLst>
        </xdr:cNvPr>
        <xdr:cNvGrpSpPr/>
      </xdr:nvGrpSpPr>
      <xdr:grpSpPr>
        <a:xfrm>
          <a:off x="5838825" y="3743325"/>
          <a:ext cx="260584" cy="408493"/>
          <a:chOff x="4867327" y="302986"/>
          <a:chExt cx="260584" cy="408493"/>
        </a:xfrm>
      </xdr:grpSpPr>
      <xdr:sp macro="" textlink="">
        <xdr:nvSpPr>
          <xdr:cNvPr id="120" name="Text Box 216">
            <a:extLst>
              <a:ext uri="{FF2B5EF4-FFF2-40B4-BE49-F238E27FC236}">
                <a16:creationId xmlns:a16="http://schemas.microsoft.com/office/drawing/2014/main" id="{BBB3C222-5AB1-4FB6-BA37-ADABDDA81F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21" name="図 120">
            <a:extLst>
              <a:ext uri="{FF2B5EF4-FFF2-40B4-BE49-F238E27FC236}">
                <a16:creationId xmlns:a16="http://schemas.microsoft.com/office/drawing/2014/main" id="{40153FA3-10F3-4565-93F8-1560C0ADDC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twoCellAnchor editAs="oneCell">
    <xdr:from>
      <xdr:col>19</xdr:col>
      <xdr:colOff>9525</xdr:colOff>
      <xdr:row>6</xdr:row>
      <xdr:rowOff>209550</xdr:rowOff>
    </xdr:from>
    <xdr:to>
      <xdr:col>19</xdr:col>
      <xdr:colOff>296777</xdr:colOff>
      <xdr:row>8</xdr:row>
      <xdr:rowOff>40350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6E8951A0-1F16-41C3-852D-E966D3234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81700" y="12382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12</xdr:row>
      <xdr:rowOff>142875</xdr:rowOff>
    </xdr:from>
    <xdr:to>
      <xdr:col>9</xdr:col>
      <xdr:colOff>87227</xdr:colOff>
      <xdr:row>13</xdr:row>
      <xdr:rowOff>202275</xdr:rowOff>
    </xdr:to>
    <xdr:pic>
      <xdr:nvPicPr>
        <xdr:cNvPr id="123" name="図 122">
          <a:extLst>
            <a:ext uri="{FF2B5EF4-FFF2-40B4-BE49-F238E27FC236}">
              <a16:creationId xmlns:a16="http://schemas.microsoft.com/office/drawing/2014/main" id="{16E68E45-7EBA-433C-8567-4D8BFAB68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28900" y="4191000"/>
          <a:ext cx="287252" cy="288000"/>
        </a:xfrm>
        <a:prstGeom prst="rect">
          <a:avLst/>
        </a:prstGeom>
      </xdr:spPr>
    </xdr:pic>
    <xdr:clientData/>
  </xdr:twoCellAnchor>
  <xdr:twoCellAnchor>
    <xdr:from>
      <xdr:col>10</xdr:col>
      <xdr:colOff>19050</xdr:colOff>
      <xdr:row>7</xdr:row>
      <xdr:rowOff>104775</xdr:rowOff>
    </xdr:from>
    <xdr:to>
      <xdr:col>10</xdr:col>
      <xdr:colOff>279634</xdr:colOff>
      <xdr:row>9</xdr:row>
      <xdr:rowOff>56068</xdr:rowOff>
    </xdr:to>
    <xdr:grpSp>
      <xdr:nvGrpSpPr>
        <xdr:cNvPr id="124" name="グループ化 123">
          <a:extLst>
            <a:ext uri="{FF2B5EF4-FFF2-40B4-BE49-F238E27FC236}">
              <a16:creationId xmlns:a16="http://schemas.microsoft.com/office/drawing/2014/main" id="{3A273EB6-5129-4E1D-B773-D1DA71039E40}"/>
            </a:ext>
          </a:extLst>
        </xdr:cNvPr>
        <xdr:cNvGrpSpPr/>
      </xdr:nvGrpSpPr>
      <xdr:grpSpPr>
        <a:xfrm>
          <a:off x="3162300" y="1362075"/>
          <a:ext cx="260584" cy="408493"/>
          <a:chOff x="4867327" y="302986"/>
          <a:chExt cx="260584" cy="408493"/>
        </a:xfrm>
      </xdr:grpSpPr>
      <xdr:sp macro="" textlink="">
        <xdr:nvSpPr>
          <xdr:cNvPr id="125" name="Text Box 216">
            <a:extLst>
              <a:ext uri="{FF2B5EF4-FFF2-40B4-BE49-F238E27FC236}">
                <a16:creationId xmlns:a16="http://schemas.microsoft.com/office/drawing/2014/main" id="{02E18B0D-A7DF-40FF-984E-C42AAD5B63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26" name="図 125">
            <a:extLst>
              <a:ext uri="{FF2B5EF4-FFF2-40B4-BE49-F238E27FC236}">
                <a16:creationId xmlns:a16="http://schemas.microsoft.com/office/drawing/2014/main" id="{DB4966DE-BD57-4F17-9229-8EAE84EE87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226003</xdr:colOff>
      <xdr:row>17</xdr:row>
      <xdr:rowOff>297195</xdr:rowOff>
    </xdr:from>
    <xdr:to>
      <xdr:col>8</xdr:col>
      <xdr:colOff>96569</xdr:colOff>
      <xdr:row>17</xdr:row>
      <xdr:rowOff>1324616</xdr:rowOff>
    </xdr:to>
    <xdr:grpSp>
      <xdr:nvGrpSpPr>
        <xdr:cNvPr id="138" name="グループ化 137">
          <a:extLst>
            <a:ext uri="{FF2B5EF4-FFF2-40B4-BE49-F238E27FC236}">
              <a16:creationId xmlns:a16="http://schemas.microsoft.com/office/drawing/2014/main" id="{63189942-DDE1-4915-BFC4-BDA0FF3F7033}"/>
            </a:ext>
          </a:extLst>
        </xdr:cNvPr>
        <xdr:cNvGrpSpPr/>
      </xdr:nvGrpSpPr>
      <xdr:grpSpPr>
        <a:xfrm rot="18631339">
          <a:off x="1533525" y="5438098"/>
          <a:ext cx="1027421" cy="1127866"/>
          <a:chOff x="1533525" y="5438098"/>
          <a:chExt cx="1027421" cy="1127866"/>
        </a:xfrm>
      </xdr:grpSpPr>
      <xdr:grpSp>
        <xdr:nvGrpSpPr>
          <xdr:cNvPr id="134" name="グループ化 133">
            <a:extLst>
              <a:ext uri="{FF2B5EF4-FFF2-40B4-BE49-F238E27FC236}">
                <a16:creationId xmlns:a16="http://schemas.microsoft.com/office/drawing/2014/main" id="{2B7B2E97-5171-4C74-B5A9-D7F90E5DABBF}"/>
              </a:ext>
            </a:extLst>
          </xdr:cNvPr>
          <xdr:cNvGrpSpPr/>
        </xdr:nvGrpSpPr>
        <xdr:grpSpPr>
          <a:xfrm>
            <a:off x="1541991" y="5438098"/>
            <a:ext cx="1009430" cy="175366"/>
            <a:chOff x="1541991" y="5438098"/>
            <a:chExt cx="1009430" cy="175366"/>
          </a:xfrm>
        </xdr:grpSpPr>
        <xdr:sp macro="" textlink="">
          <xdr:nvSpPr>
            <xdr:cNvPr id="132" name="円弧 131">
              <a:extLst>
                <a:ext uri="{FF2B5EF4-FFF2-40B4-BE49-F238E27FC236}">
                  <a16:creationId xmlns:a16="http://schemas.microsoft.com/office/drawing/2014/main" id="{E3BF71A6-D070-45EB-AFD6-977CCDE7B70C}"/>
                </a:ext>
              </a:extLst>
            </xdr:cNvPr>
            <xdr:cNvSpPr/>
          </xdr:nvSpPr>
          <xdr:spPr bwMode="auto">
            <a:xfrm rot="13426172">
              <a:off x="1541991" y="5438098"/>
              <a:ext cx="171230" cy="175366"/>
            </a:xfrm>
            <a:prstGeom prst="arc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33" name="円弧 132">
              <a:extLst>
                <a:ext uri="{FF2B5EF4-FFF2-40B4-BE49-F238E27FC236}">
                  <a16:creationId xmlns:a16="http://schemas.microsoft.com/office/drawing/2014/main" id="{22B72949-541B-4488-9DC9-8B16AEB2F053}"/>
                </a:ext>
              </a:extLst>
            </xdr:cNvPr>
            <xdr:cNvSpPr/>
          </xdr:nvSpPr>
          <xdr:spPr bwMode="auto">
            <a:xfrm rot="2626172">
              <a:off x="2380191" y="5438098"/>
              <a:ext cx="171230" cy="175366"/>
            </a:xfrm>
            <a:prstGeom prst="arc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43" name="Group 104">
            <a:extLst>
              <a:ext uri="{FF2B5EF4-FFF2-40B4-BE49-F238E27FC236}">
                <a16:creationId xmlns:a16="http://schemas.microsoft.com/office/drawing/2014/main" id="{4FCA027C-D422-48E8-8411-234D09D9E692}"/>
              </a:ext>
            </a:extLst>
          </xdr:cNvPr>
          <xdr:cNvGrpSpPr>
            <a:grpSpLocks/>
          </xdr:cNvGrpSpPr>
        </xdr:nvGrpSpPr>
        <xdr:grpSpPr bwMode="auto">
          <a:xfrm>
            <a:off x="1676400" y="6438900"/>
            <a:ext cx="733425" cy="57150"/>
            <a:chOff x="123" y="549"/>
            <a:chExt cx="77" cy="6"/>
          </a:xfrm>
        </xdr:grpSpPr>
        <xdr:sp macro="" textlink="">
          <xdr:nvSpPr>
            <xdr:cNvPr id="44" name="Line 105">
              <a:extLst>
                <a:ext uri="{FF2B5EF4-FFF2-40B4-BE49-F238E27FC236}">
                  <a16:creationId xmlns:a16="http://schemas.microsoft.com/office/drawing/2014/main" id="{84A9A882-3871-456C-81EB-94C51EF4E2A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" name="Freeform 106">
              <a:extLst>
                <a:ext uri="{FF2B5EF4-FFF2-40B4-BE49-F238E27FC236}">
                  <a16:creationId xmlns:a16="http://schemas.microsoft.com/office/drawing/2014/main" id="{B28A5EDF-4381-4A22-BAC1-E7EB0D89B216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" name="Freeform 107">
              <a:extLst>
                <a:ext uri="{FF2B5EF4-FFF2-40B4-BE49-F238E27FC236}">
                  <a16:creationId xmlns:a16="http://schemas.microsoft.com/office/drawing/2014/main" id="{397E19B0-55E5-41B0-B98B-EECA20C66DD1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8" name="Group 109">
            <a:extLst>
              <a:ext uri="{FF2B5EF4-FFF2-40B4-BE49-F238E27FC236}">
                <a16:creationId xmlns:a16="http://schemas.microsoft.com/office/drawing/2014/main" id="{EEF7099B-2360-41A8-ACA7-244EAF67828D}"/>
              </a:ext>
            </a:extLst>
          </xdr:cNvPr>
          <xdr:cNvGrpSpPr>
            <a:grpSpLocks/>
          </xdr:cNvGrpSpPr>
        </xdr:nvGrpSpPr>
        <xdr:grpSpPr bwMode="auto">
          <a:xfrm>
            <a:off x="1676400" y="5505450"/>
            <a:ext cx="733425" cy="57150"/>
            <a:chOff x="123" y="549"/>
            <a:chExt cx="77" cy="6"/>
          </a:xfrm>
        </xdr:grpSpPr>
        <xdr:sp macro="" textlink="">
          <xdr:nvSpPr>
            <xdr:cNvPr id="49" name="Line 110">
              <a:extLst>
                <a:ext uri="{FF2B5EF4-FFF2-40B4-BE49-F238E27FC236}">
                  <a16:creationId xmlns:a16="http://schemas.microsoft.com/office/drawing/2014/main" id="{BEF155FD-D71C-410C-9302-DF252EC824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0" name="Freeform 111">
              <a:extLst>
                <a:ext uri="{FF2B5EF4-FFF2-40B4-BE49-F238E27FC236}">
                  <a16:creationId xmlns:a16="http://schemas.microsoft.com/office/drawing/2014/main" id="{E3C5EB08-957B-4F0A-9A54-8147BA5A42BC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1" name="Freeform 112">
              <a:extLst>
                <a:ext uri="{FF2B5EF4-FFF2-40B4-BE49-F238E27FC236}">
                  <a16:creationId xmlns:a16="http://schemas.microsoft.com/office/drawing/2014/main" id="{AA3422D0-6616-47A5-A8A8-F0512551F6EB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4" name="Group 115">
            <a:extLst>
              <a:ext uri="{FF2B5EF4-FFF2-40B4-BE49-F238E27FC236}">
                <a16:creationId xmlns:a16="http://schemas.microsoft.com/office/drawing/2014/main" id="{1F676AA0-911A-468A-9139-63CC7D6A9C27}"/>
              </a:ext>
            </a:extLst>
          </xdr:cNvPr>
          <xdr:cNvGrpSpPr>
            <a:grpSpLocks/>
          </xdr:cNvGrpSpPr>
        </xdr:nvGrpSpPr>
        <xdr:grpSpPr bwMode="auto">
          <a:xfrm>
            <a:off x="1543050" y="5657850"/>
            <a:ext cx="1000125" cy="304800"/>
            <a:chOff x="110" y="567"/>
            <a:chExt cx="105" cy="32"/>
          </a:xfrm>
        </xdr:grpSpPr>
        <xdr:sp macro="" textlink="">
          <xdr:nvSpPr>
            <xdr:cNvPr id="55" name="Line 116">
              <a:extLst>
                <a:ext uri="{FF2B5EF4-FFF2-40B4-BE49-F238E27FC236}">
                  <a16:creationId xmlns:a16="http://schemas.microsoft.com/office/drawing/2014/main" id="{FF6DBC5D-8130-446B-B4FA-FBD57BE100B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6" name="Freeform 117">
              <a:extLst>
                <a:ext uri="{FF2B5EF4-FFF2-40B4-BE49-F238E27FC236}">
                  <a16:creationId xmlns:a16="http://schemas.microsoft.com/office/drawing/2014/main" id="{4B44B483-B6F3-4782-B027-3A7824EAA435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" name="Freeform 118">
              <a:extLst>
                <a:ext uri="{FF2B5EF4-FFF2-40B4-BE49-F238E27FC236}">
                  <a16:creationId xmlns:a16="http://schemas.microsoft.com/office/drawing/2014/main" id="{D730A920-E995-424A-BAF2-50B8AA5D2308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" name="Line 119">
              <a:extLst>
                <a:ext uri="{FF2B5EF4-FFF2-40B4-BE49-F238E27FC236}">
                  <a16:creationId xmlns:a16="http://schemas.microsoft.com/office/drawing/2014/main" id="{FD4A07D6-2361-4753-B035-CEDB55A7919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9" name="Freeform 120">
              <a:extLst>
                <a:ext uri="{FF2B5EF4-FFF2-40B4-BE49-F238E27FC236}">
                  <a16:creationId xmlns:a16="http://schemas.microsoft.com/office/drawing/2014/main" id="{C8B86983-EA20-43A6-A7D3-AB138FC0A113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" name="Freeform 121">
              <a:extLst>
                <a:ext uri="{FF2B5EF4-FFF2-40B4-BE49-F238E27FC236}">
                  <a16:creationId xmlns:a16="http://schemas.microsoft.com/office/drawing/2014/main" id="{4D50FBE6-0F29-4076-9666-F89CA1159025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" name="Line 122">
              <a:extLst>
                <a:ext uri="{FF2B5EF4-FFF2-40B4-BE49-F238E27FC236}">
                  <a16:creationId xmlns:a16="http://schemas.microsoft.com/office/drawing/2014/main" id="{514384E5-7B6D-4010-8E18-92ECBC05BFA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2" name="Freeform 123">
              <a:extLst>
                <a:ext uri="{FF2B5EF4-FFF2-40B4-BE49-F238E27FC236}">
                  <a16:creationId xmlns:a16="http://schemas.microsoft.com/office/drawing/2014/main" id="{AAECF149-70F6-4E2F-A1EA-2D111C7B1FB4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63" name="Group 124">
            <a:extLst>
              <a:ext uri="{FF2B5EF4-FFF2-40B4-BE49-F238E27FC236}">
                <a16:creationId xmlns:a16="http://schemas.microsoft.com/office/drawing/2014/main" id="{ADC53238-69B1-4D59-98C5-824E5222E3DF}"/>
              </a:ext>
            </a:extLst>
          </xdr:cNvPr>
          <xdr:cNvGrpSpPr>
            <a:grpSpLocks/>
          </xdr:cNvGrpSpPr>
        </xdr:nvGrpSpPr>
        <xdr:grpSpPr bwMode="auto">
          <a:xfrm>
            <a:off x="1533525" y="6019800"/>
            <a:ext cx="1009650" cy="304800"/>
            <a:chOff x="105" y="627"/>
            <a:chExt cx="106" cy="32"/>
          </a:xfrm>
        </xdr:grpSpPr>
        <xdr:sp macro="" textlink="">
          <xdr:nvSpPr>
            <xdr:cNvPr id="64" name="Line 125">
              <a:extLst>
                <a:ext uri="{FF2B5EF4-FFF2-40B4-BE49-F238E27FC236}">
                  <a16:creationId xmlns:a16="http://schemas.microsoft.com/office/drawing/2014/main" id="{5D70AF5C-3FD3-4CB7-9C47-61D4305E3A4D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07" y="64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" name="Freeform 126">
              <a:extLst>
                <a:ext uri="{FF2B5EF4-FFF2-40B4-BE49-F238E27FC236}">
                  <a16:creationId xmlns:a16="http://schemas.microsoft.com/office/drawing/2014/main" id="{ED813640-49C1-4D13-BECC-66E065696226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05" y="64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6" name="Freeform 127">
              <a:extLst>
                <a:ext uri="{FF2B5EF4-FFF2-40B4-BE49-F238E27FC236}">
                  <a16:creationId xmlns:a16="http://schemas.microsoft.com/office/drawing/2014/main" id="{D1C940FB-E2FB-4B11-9274-7B65F53AFC15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79" y="643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7" name="Line 128">
              <a:extLst>
                <a:ext uri="{FF2B5EF4-FFF2-40B4-BE49-F238E27FC236}">
                  <a16:creationId xmlns:a16="http://schemas.microsoft.com/office/drawing/2014/main" id="{E91BA898-7638-48E4-B41B-A7B25B5B910C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179" y="651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8" name="Freeform 129">
              <a:extLst>
                <a:ext uri="{FF2B5EF4-FFF2-40B4-BE49-F238E27FC236}">
                  <a16:creationId xmlns:a16="http://schemas.microsoft.com/office/drawing/2014/main" id="{64E885C2-B10F-453A-9F69-96A5B148C805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75" y="652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9" name="Freeform 130">
              <a:extLst>
                <a:ext uri="{FF2B5EF4-FFF2-40B4-BE49-F238E27FC236}">
                  <a16:creationId xmlns:a16="http://schemas.microsoft.com/office/drawing/2014/main" id="{32D7457D-F354-4ADB-9709-22D296966903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68" y="636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0" name="Line 131">
              <a:extLst>
                <a:ext uri="{FF2B5EF4-FFF2-40B4-BE49-F238E27FC236}">
                  <a16:creationId xmlns:a16="http://schemas.microsoft.com/office/drawing/2014/main" id="{FA319FAA-8FF1-49B3-A927-9C4AAA87A4EF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68" y="629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1" name="Freeform 132">
              <a:extLst>
                <a:ext uri="{FF2B5EF4-FFF2-40B4-BE49-F238E27FC236}">
                  <a16:creationId xmlns:a16="http://schemas.microsoft.com/office/drawing/2014/main" id="{507110F7-DADF-46DF-8D8F-9C8A1506C1C3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64" y="627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35" name="グループ化 134">
            <a:extLst>
              <a:ext uri="{FF2B5EF4-FFF2-40B4-BE49-F238E27FC236}">
                <a16:creationId xmlns:a16="http://schemas.microsoft.com/office/drawing/2014/main" id="{89E839BC-380A-4C03-872D-9912136ECE87}"/>
              </a:ext>
            </a:extLst>
          </xdr:cNvPr>
          <xdr:cNvGrpSpPr/>
        </xdr:nvGrpSpPr>
        <xdr:grpSpPr>
          <a:xfrm>
            <a:off x="1551516" y="6390598"/>
            <a:ext cx="1009430" cy="175366"/>
            <a:chOff x="1541991" y="5438098"/>
            <a:chExt cx="1009430" cy="175366"/>
          </a:xfrm>
        </xdr:grpSpPr>
        <xdr:sp macro="" textlink="">
          <xdr:nvSpPr>
            <xdr:cNvPr id="136" name="円弧 135">
              <a:extLst>
                <a:ext uri="{FF2B5EF4-FFF2-40B4-BE49-F238E27FC236}">
                  <a16:creationId xmlns:a16="http://schemas.microsoft.com/office/drawing/2014/main" id="{3202E7D8-6100-430C-8210-2F47EE2F4B14}"/>
                </a:ext>
              </a:extLst>
            </xdr:cNvPr>
            <xdr:cNvSpPr/>
          </xdr:nvSpPr>
          <xdr:spPr bwMode="auto">
            <a:xfrm rot="13426172">
              <a:off x="1541991" y="5438098"/>
              <a:ext cx="171230" cy="175366"/>
            </a:xfrm>
            <a:prstGeom prst="arc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37" name="円弧 136">
              <a:extLst>
                <a:ext uri="{FF2B5EF4-FFF2-40B4-BE49-F238E27FC236}">
                  <a16:creationId xmlns:a16="http://schemas.microsoft.com/office/drawing/2014/main" id="{462E511F-F786-43A4-A3DD-39C4813437CA}"/>
                </a:ext>
              </a:extLst>
            </xdr:cNvPr>
            <xdr:cNvSpPr/>
          </xdr:nvSpPr>
          <xdr:spPr bwMode="auto">
            <a:xfrm rot="2626172">
              <a:off x="2380191" y="5438098"/>
              <a:ext cx="171230" cy="175366"/>
            </a:xfrm>
            <a:prstGeom prst="arc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9</xdr:col>
      <xdr:colOff>289479</xdr:colOff>
      <xdr:row>17</xdr:row>
      <xdr:rowOff>260903</xdr:rowOff>
    </xdr:from>
    <xdr:to>
      <xdr:col>13</xdr:col>
      <xdr:colOff>43677</xdr:colOff>
      <xdr:row>17</xdr:row>
      <xdr:rowOff>1379244</xdr:rowOff>
    </xdr:to>
    <xdr:grpSp>
      <xdr:nvGrpSpPr>
        <xdr:cNvPr id="145" name="グループ化 144">
          <a:extLst>
            <a:ext uri="{FF2B5EF4-FFF2-40B4-BE49-F238E27FC236}">
              <a16:creationId xmlns:a16="http://schemas.microsoft.com/office/drawing/2014/main" id="{532BBDC1-1D6D-4142-A723-C3FFFE6318D8}"/>
            </a:ext>
          </a:extLst>
        </xdr:cNvPr>
        <xdr:cNvGrpSpPr/>
      </xdr:nvGrpSpPr>
      <xdr:grpSpPr>
        <a:xfrm rot="18763938">
          <a:off x="3064982" y="5505450"/>
          <a:ext cx="1118341" cy="1011498"/>
          <a:chOff x="3064982" y="5505450"/>
          <a:chExt cx="1118341" cy="1011498"/>
        </a:xfrm>
      </xdr:grpSpPr>
      <xdr:grpSp>
        <xdr:nvGrpSpPr>
          <xdr:cNvPr id="76" name="Group 138">
            <a:extLst>
              <a:ext uri="{FF2B5EF4-FFF2-40B4-BE49-F238E27FC236}">
                <a16:creationId xmlns:a16="http://schemas.microsoft.com/office/drawing/2014/main" id="{F8F05C9B-6459-47AB-A4AD-B1167E92FA26}"/>
              </a:ext>
            </a:extLst>
          </xdr:cNvPr>
          <xdr:cNvGrpSpPr>
            <a:grpSpLocks/>
          </xdr:cNvGrpSpPr>
        </xdr:nvGrpSpPr>
        <xdr:grpSpPr bwMode="auto">
          <a:xfrm>
            <a:off x="3305175" y="5505450"/>
            <a:ext cx="304800" cy="1000125"/>
            <a:chOff x="306" y="566"/>
            <a:chExt cx="32" cy="105"/>
          </a:xfrm>
        </xdr:grpSpPr>
        <xdr:sp macro="" textlink="">
          <xdr:nvSpPr>
            <xdr:cNvPr id="77" name="Line 139">
              <a:extLst>
                <a:ext uri="{FF2B5EF4-FFF2-40B4-BE49-F238E27FC236}">
                  <a16:creationId xmlns:a16="http://schemas.microsoft.com/office/drawing/2014/main" id="{452634EC-4E54-4829-89EC-4DB6EB99ED21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270" y="61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8" name="Freeform 140">
              <a:extLst>
                <a:ext uri="{FF2B5EF4-FFF2-40B4-BE49-F238E27FC236}">
                  <a16:creationId xmlns:a16="http://schemas.microsoft.com/office/drawing/2014/main" id="{B5B724EB-7E81-4327-AC03-0CB073689D84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18" y="567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9" name="Freeform 141">
              <a:extLst>
                <a:ext uri="{FF2B5EF4-FFF2-40B4-BE49-F238E27FC236}">
                  <a16:creationId xmlns:a16="http://schemas.microsoft.com/office/drawing/2014/main" id="{D5CF6475-AFC1-4DF4-806B-3028C32143C8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14" y="639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0" name="Line 142">
              <a:extLst>
                <a:ext uri="{FF2B5EF4-FFF2-40B4-BE49-F238E27FC236}">
                  <a16:creationId xmlns:a16="http://schemas.microsoft.com/office/drawing/2014/main" id="{604ABC82-8830-4B9C-8F5D-C5ED9D1AF80C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310" y="63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1" name="Freeform 143">
              <a:extLst>
                <a:ext uri="{FF2B5EF4-FFF2-40B4-BE49-F238E27FC236}">
                  <a16:creationId xmlns:a16="http://schemas.microsoft.com/office/drawing/2014/main" id="{A08BAAE6-2D4E-4F22-9132-E31FCCD42138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06" y="635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2" name="Freeform 144">
              <a:extLst>
                <a:ext uri="{FF2B5EF4-FFF2-40B4-BE49-F238E27FC236}">
                  <a16:creationId xmlns:a16="http://schemas.microsoft.com/office/drawing/2014/main" id="{9827D737-8517-4661-811B-92CFE59C1AFE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22" y="628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3" name="Line 145">
              <a:extLst>
                <a:ext uri="{FF2B5EF4-FFF2-40B4-BE49-F238E27FC236}">
                  <a16:creationId xmlns:a16="http://schemas.microsoft.com/office/drawing/2014/main" id="{E041FC24-9A0F-4349-BF71-D722D3618B1D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33" y="624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4" name="Freeform 146">
              <a:extLst>
                <a:ext uri="{FF2B5EF4-FFF2-40B4-BE49-F238E27FC236}">
                  <a16:creationId xmlns:a16="http://schemas.microsoft.com/office/drawing/2014/main" id="{EC57B47A-0415-4F78-8085-2F92F47B3883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31" y="624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85" name="Group 147">
            <a:extLst>
              <a:ext uri="{FF2B5EF4-FFF2-40B4-BE49-F238E27FC236}">
                <a16:creationId xmlns:a16="http://schemas.microsoft.com/office/drawing/2014/main" id="{C3288AA8-4B69-4E46-9F59-EC6D5682A891}"/>
              </a:ext>
            </a:extLst>
          </xdr:cNvPr>
          <xdr:cNvGrpSpPr>
            <a:grpSpLocks/>
          </xdr:cNvGrpSpPr>
        </xdr:nvGrpSpPr>
        <xdr:grpSpPr bwMode="auto">
          <a:xfrm rot="5400000">
            <a:off x="3729037" y="5948363"/>
            <a:ext cx="733425" cy="57150"/>
            <a:chOff x="123" y="549"/>
            <a:chExt cx="77" cy="6"/>
          </a:xfrm>
        </xdr:grpSpPr>
        <xdr:sp macro="" textlink="">
          <xdr:nvSpPr>
            <xdr:cNvPr id="86" name="Line 148">
              <a:extLst>
                <a:ext uri="{FF2B5EF4-FFF2-40B4-BE49-F238E27FC236}">
                  <a16:creationId xmlns:a16="http://schemas.microsoft.com/office/drawing/2014/main" id="{2736E375-2A2C-4BBF-875E-B47F0ECA87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7" name="Freeform 149">
              <a:extLst>
                <a:ext uri="{FF2B5EF4-FFF2-40B4-BE49-F238E27FC236}">
                  <a16:creationId xmlns:a16="http://schemas.microsoft.com/office/drawing/2014/main" id="{4C823EBF-A3E7-415C-BF9F-6E01DBB2DC1E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8" name="Freeform 150">
              <a:extLst>
                <a:ext uri="{FF2B5EF4-FFF2-40B4-BE49-F238E27FC236}">
                  <a16:creationId xmlns:a16="http://schemas.microsoft.com/office/drawing/2014/main" id="{24E166A0-D57E-4F72-B332-B7B1C5DAE04D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89" name="Group 151">
            <a:extLst>
              <a:ext uri="{FF2B5EF4-FFF2-40B4-BE49-F238E27FC236}">
                <a16:creationId xmlns:a16="http://schemas.microsoft.com/office/drawing/2014/main" id="{2ABBB3F9-2B2E-49B5-9317-5990E1575AA6}"/>
              </a:ext>
            </a:extLst>
          </xdr:cNvPr>
          <xdr:cNvGrpSpPr>
            <a:grpSpLocks/>
          </xdr:cNvGrpSpPr>
        </xdr:nvGrpSpPr>
        <xdr:grpSpPr bwMode="auto">
          <a:xfrm>
            <a:off x="3629025" y="5505450"/>
            <a:ext cx="295275" cy="1000125"/>
            <a:chOff x="342" y="566"/>
            <a:chExt cx="31" cy="105"/>
          </a:xfrm>
        </xdr:grpSpPr>
        <xdr:sp macro="" textlink="">
          <xdr:nvSpPr>
            <xdr:cNvPr id="90" name="Line 152">
              <a:extLst>
                <a:ext uri="{FF2B5EF4-FFF2-40B4-BE49-F238E27FC236}">
                  <a16:creationId xmlns:a16="http://schemas.microsoft.com/office/drawing/2014/main" id="{4399032A-944A-4D44-830C-E9D769E8F328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05" y="618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1" name="Freeform 153">
              <a:extLst>
                <a:ext uri="{FF2B5EF4-FFF2-40B4-BE49-F238E27FC236}">
                  <a16:creationId xmlns:a16="http://schemas.microsoft.com/office/drawing/2014/main" id="{1DD8F0BD-C86A-44E1-BD7E-8B039D167C93}"/>
                </a:ext>
              </a:extLst>
            </xdr:cNvPr>
            <xdr:cNvSpPr>
              <a:spLocks/>
            </xdr:cNvSpPr>
          </xdr:nvSpPr>
          <xdr:spPr bwMode="auto">
            <a:xfrm rot="5400000">
              <a:off x="353" y="665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92" name="Freeform 154">
              <a:extLst>
                <a:ext uri="{FF2B5EF4-FFF2-40B4-BE49-F238E27FC236}">
                  <a16:creationId xmlns:a16="http://schemas.microsoft.com/office/drawing/2014/main" id="{A74BB891-D950-4E03-802E-E9E4B367B884}"/>
                </a:ext>
              </a:extLst>
            </xdr:cNvPr>
            <xdr:cNvSpPr>
              <a:spLocks/>
            </xdr:cNvSpPr>
          </xdr:nvSpPr>
          <xdr:spPr bwMode="auto">
            <a:xfrm rot="5400000">
              <a:off x="357" y="590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93" name="Line 155">
              <a:extLst>
                <a:ext uri="{FF2B5EF4-FFF2-40B4-BE49-F238E27FC236}">
                  <a16:creationId xmlns:a16="http://schemas.microsoft.com/office/drawing/2014/main" id="{CB16C64F-07E2-4E2A-AD21-CF63CBF92088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369" y="59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Freeform 156">
              <a:extLst>
                <a:ext uri="{FF2B5EF4-FFF2-40B4-BE49-F238E27FC236}">
                  <a16:creationId xmlns:a16="http://schemas.microsoft.com/office/drawing/2014/main" id="{23AA6659-657A-4548-BB94-2F44D475661E}"/>
                </a:ext>
              </a:extLst>
            </xdr:cNvPr>
            <xdr:cNvSpPr>
              <a:spLocks/>
            </xdr:cNvSpPr>
          </xdr:nvSpPr>
          <xdr:spPr bwMode="auto">
            <a:xfrm rot="5400000">
              <a:off x="366" y="593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95" name="Freeform 157">
              <a:extLst>
                <a:ext uri="{FF2B5EF4-FFF2-40B4-BE49-F238E27FC236}">
                  <a16:creationId xmlns:a16="http://schemas.microsoft.com/office/drawing/2014/main" id="{F8C062D7-6BEB-4798-9905-8699BCFE4D94}"/>
                </a:ext>
              </a:extLst>
            </xdr:cNvPr>
            <xdr:cNvSpPr>
              <a:spLocks/>
            </xdr:cNvSpPr>
          </xdr:nvSpPr>
          <xdr:spPr bwMode="auto">
            <a:xfrm rot="5400000">
              <a:off x="350" y="601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96" name="Line 158">
              <a:extLst>
                <a:ext uri="{FF2B5EF4-FFF2-40B4-BE49-F238E27FC236}">
                  <a16:creationId xmlns:a16="http://schemas.microsoft.com/office/drawing/2014/main" id="{C0F2FB93-00A9-4F45-A6CC-26227E39FD89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47" y="60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Freeform 159">
              <a:extLst>
                <a:ext uri="{FF2B5EF4-FFF2-40B4-BE49-F238E27FC236}">
                  <a16:creationId xmlns:a16="http://schemas.microsoft.com/office/drawing/2014/main" id="{870C7C17-86F0-4968-8490-9E0533F3B92D}"/>
                </a:ext>
              </a:extLst>
            </xdr:cNvPr>
            <xdr:cNvSpPr>
              <a:spLocks/>
            </xdr:cNvSpPr>
          </xdr:nvSpPr>
          <xdr:spPr bwMode="auto">
            <a:xfrm rot="5400000">
              <a:off x="342" y="605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99" name="Group 161">
            <a:extLst>
              <a:ext uri="{FF2B5EF4-FFF2-40B4-BE49-F238E27FC236}">
                <a16:creationId xmlns:a16="http://schemas.microsoft.com/office/drawing/2014/main" id="{0EE6689F-F75B-4C78-8150-CCEE549C0BC1}"/>
              </a:ext>
            </a:extLst>
          </xdr:cNvPr>
          <xdr:cNvGrpSpPr>
            <a:grpSpLocks/>
          </xdr:cNvGrpSpPr>
        </xdr:nvGrpSpPr>
        <xdr:grpSpPr bwMode="auto">
          <a:xfrm rot="5400000">
            <a:off x="2786062" y="5957888"/>
            <a:ext cx="733425" cy="57150"/>
            <a:chOff x="123" y="549"/>
            <a:chExt cx="77" cy="6"/>
          </a:xfrm>
        </xdr:grpSpPr>
        <xdr:sp macro="" textlink="">
          <xdr:nvSpPr>
            <xdr:cNvPr id="100" name="Line 162">
              <a:extLst>
                <a:ext uri="{FF2B5EF4-FFF2-40B4-BE49-F238E27FC236}">
                  <a16:creationId xmlns:a16="http://schemas.microsoft.com/office/drawing/2014/main" id="{AFF02850-BD4D-496F-A6C0-4C1E3FC312C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Freeform 163">
              <a:extLst>
                <a:ext uri="{FF2B5EF4-FFF2-40B4-BE49-F238E27FC236}">
                  <a16:creationId xmlns:a16="http://schemas.microsoft.com/office/drawing/2014/main" id="{B504CDBE-CF87-4ADC-83E3-085B1D4C5BC4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" name="Freeform 164">
              <a:extLst>
                <a:ext uri="{FF2B5EF4-FFF2-40B4-BE49-F238E27FC236}">
                  <a16:creationId xmlns:a16="http://schemas.microsoft.com/office/drawing/2014/main" id="{8DFCE9ED-BE52-479C-9B05-9CBD6D3C0637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39" name="グループ化 138">
            <a:extLst>
              <a:ext uri="{FF2B5EF4-FFF2-40B4-BE49-F238E27FC236}">
                <a16:creationId xmlns:a16="http://schemas.microsoft.com/office/drawing/2014/main" id="{4AE5539C-E9EA-4C90-9AE6-C3CEF15F1552}"/>
              </a:ext>
            </a:extLst>
          </xdr:cNvPr>
          <xdr:cNvGrpSpPr/>
        </xdr:nvGrpSpPr>
        <xdr:grpSpPr>
          <a:xfrm rot="5400000">
            <a:off x="3590925" y="5924550"/>
            <a:ext cx="1009430" cy="175366"/>
            <a:chOff x="1541991" y="5438098"/>
            <a:chExt cx="1009430" cy="175366"/>
          </a:xfrm>
        </xdr:grpSpPr>
        <xdr:sp macro="" textlink="">
          <xdr:nvSpPr>
            <xdr:cNvPr id="140" name="円弧 139">
              <a:extLst>
                <a:ext uri="{FF2B5EF4-FFF2-40B4-BE49-F238E27FC236}">
                  <a16:creationId xmlns:a16="http://schemas.microsoft.com/office/drawing/2014/main" id="{BC8FF6A6-F244-4706-9A43-4B2B85F574ED}"/>
                </a:ext>
              </a:extLst>
            </xdr:cNvPr>
            <xdr:cNvSpPr/>
          </xdr:nvSpPr>
          <xdr:spPr bwMode="auto">
            <a:xfrm rot="13426172">
              <a:off x="1541991" y="5438098"/>
              <a:ext cx="171230" cy="175366"/>
            </a:xfrm>
            <a:prstGeom prst="arc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41" name="円弧 140">
              <a:extLst>
                <a:ext uri="{FF2B5EF4-FFF2-40B4-BE49-F238E27FC236}">
                  <a16:creationId xmlns:a16="http://schemas.microsoft.com/office/drawing/2014/main" id="{5ADC6056-0FA2-4E3A-B145-07F835C661B6}"/>
                </a:ext>
              </a:extLst>
            </xdr:cNvPr>
            <xdr:cNvSpPr/>
          </xdr:nvSpPr>
          <xdr:spPr bwMode="auto">
            <a:xfrm rot="2626172">
              <a:off x="2380191" y="5438098"/>
              <a:ext cx="171230" cy="175366"/>
            </a:xfrm>
            <a:prstGeom prst="arc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42" name="グループ化 141">
            <a:extLst>
              <a:ext uri="{FF2B5EF4-FFF2-40B4-BE49-F238E27FC236}">
                <a16:creationId xmlns:a16="http://schemas.microsoft.com/office/drawing/2014/main" id="{23337B9E-3597-490F-8723-79CDEB89407F}"/>
              </a:ext>
            </a:extLst>
          </xdr:cNvPr>
          <xdr:cNvGrpSpPr/>
        </xdr:nvGrpSpPr>
        <xdr:grpSpPr>
          <a:xfrm rot="5400000">
            <a:off x="2647950" y="5924550"/>
            <a:ext cx="1009430" cy="175366"/>
            <a:chOff x="1541991" y="5438098"/>
            <a:chExt cx="1009430" cy="175366"/>
          </a:xfrm>
        </xdr:grpSpPr>
        <xdr:sp macro="" textlink="">
          <xdr:nvSpPr>
            <xdr:cNvPr id="143" name="円弧 142">
              <a:extLst>
                <a:ext uri="{FF2B5EF4-FFF2-40B4-BE49-F238E27FC236}">
                  <a16:creationId xmlns:a16="http://schemas.microsoft.com/office/drawing/2014/main" id="{1FB3E3DF-9321-404F-ABCC-11556F16017B}"/>
                </a:ext>
              </a:extLst>
            </xdr:cNvPr>
            <xdr:cNvSpPr/>
          </xdr:nvSpPr>
          <xdr:spPr bwMode="auto">
            <a:xfrm rot="13426172">
              <a:off x="1541991" y="5438098"/>
              <a:ext cx="171230" cy="175366"/>
            </a:xfrm>
            <a:prstGeom prst="arc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44" name="円弧 143">
              <a:extLst>
                <a:ext uri="{FF2B5EF4-FFF2-40B4-BE49-F238E27FC236}">
                  <a16:creationId xmlns:a16="http://schemas.microsoft.com/office/drawing/2014/main" id="{AA3F72A7-21D6-499C-80F6-AECDBB41D82C}"/>
                </a:ext>
              </a:extLst>
            </xdr:cNvPr>
            <xdr:cNvSpPr/>
          </xdr:nvSpPr>
          <xdr:spPr bwMode="auto">
            <a:xfrm rot="2626172">
              <a:off x="2380191" y="5438098"/>
              <a:ext cx="171230" cy="175366"/>
            </a:xfrm>
            <a:prstGeom prst="arc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oneCellAnchor>
    <xdr:from>
      <xdr:col>20</xdr:col>
      <xdr:colOff>247650</xdr:colOff>
      <xdr:row>17</xdr:row>
      <xdr:rowOff>1095375</xdr:rowOff>
    </xdr:from>
    <xdr:ext cx="1015715" cy="666750"/>
    <xdr:sp macro="" textlink="">
      <xdr:nvSpPr>
        <xdr:cNvPr id="37" name="Text Box 91">
          <a:extLst>
            <a:ext uri="{FF2B5EF4-FFF2-40B4-BE49-F238E27FC236}">
              <a16:creationId xmlns:a16="http://schemas.microsoft.com/office/drawing/2014/main" id="{F11B6655-CC44-4C1D-92E5-9768614EAE2B}"/>
            </a:ext>
          </a:extLst>
        </xdr:cNvPr>
        <xdr:cNvSpPr txBox="1">
          <a:spLocks noChangeArrowheads="1"/>
        </xdr:cNvSpPr>
      </xdr:nvSpPr>
      <xdr:spPr bwMode="auto">
        <a:xfrm>
          <a:off x="6534150" y="628650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7E718BC0-3B20-475D-A1A7-901138829F23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8624BDFC-EE75-4940-B57C-81AE841EDB25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1036" name="Freeform 12">
          <a:extLst>
            <a:ext uri="{FF2B5EF4-FFF2-40B4-BE49-F238E27FC236}">
              <a16:creationId xmlns:a16="http://schemas.microsoft.com/office/drawing/2014/main" id="{067046C3-C9B6-403D-9EB4-7CA187457D92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C3CC67EB-4EC8-4EFF-B2CF-ACECC9166903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A3F261E3-45CA-467C-9E64-044B12BD189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ACB6B6C0-233F-456B-9953-B6DD35D729B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64C6D56B-345C-4DF3-ABE5-664207C7946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B60424F6-CB6C-495E-8550-37B62B26C0A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42" name="Group 18">
          <a:extLst>
            <a:ext uri="{FF2B5EF4-FFF2-40B4-BE49-F238E27FC236}">
              <a16:creationId xmlns:a16="http://schemas.microsoft.com/office/drawing/2014/main" id="{3566F9D4-61D2-4229-96AB-CDAD9E0D14A5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B813EC23-80F8-4807-9C0A-A67E2C74CD6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A0B59828-0172-4555-8BDB-35EC7B8D004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97F8D091-2F87-491D-AFA4-9C2901196F56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DD59694D-DDA0-409C-8625-492E0A3820FB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9973713C-9876-45F9-AE43-DF416C22BAD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D425D3F2-9E0A-4ACC-B2E5-69F4E0E6D0A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19</xdr:row>
      <xdr:rowOff>28575</xdr:rowOff>
    </xdr:from>
    <xdr:to>
      <xdr:col>13</xdr:col>
      <xdr:colOff>0</xdr:colOff>
      <xdr:row>19</xdr:row>
      <xdr:rowOff>171450</xdr:rowOff>
    </xdr:to>
    <xdr:sp macro="" textlink="">
      <xdr:nvSpPr>
        <xdr:cNvPr id="1088" name="Freeform 64">
          <a:extLst>
            <a:ext uri="{FF2B5EF4-FFF2-40B4-BE49-F238E27FC236}">
              <a16:creationId xmlns:a16="http://schemas.microsoft.com/office/drawing/2014/main" id="{39B5ED67-A297-49F1-B0C9-4F17508287F3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1089" name="Group 65">
          <a:extLst>
            <a:ext uri="{FF2B5EF4-FFF2-40B4-BE49-F238E27FC236}">
              <a16:creationId xmlns:a16="http://schemas.microsoft.com/office/drawing/2014/main" id="{A186144A-4832-44A4-A035-77283778A6A6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1090" name="Line 66">
            <a:extLst>
              <a:ext uri="{FF2B5EF4-FFF2-40B4-BE49-F238E27FC236}">
                <a16:creationId xmlns:a16="http://schemas.microsoft.com/office/drawing/2014/main" id="{622AB2C8-8C42-4D53-9915-BA75FC288E9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" name="Line 67">
            <a:extLst>
              <a:ext uri="{FF2B5EF4-FFF2-40B4-BE49-F238E27FC236}">
                <a16:creationId xmlns:a16="http://schemas.microsoft.com/office/drawing/2014/main" id="{565F9649-BA22-4D16-9D6B-77C15696860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" name="Line 68">
            <a:extLst>
              <a:ext uri="{FF2B5EF4-FFF2-40B4-BE49-F238E27FC236}">
                <a16:creationId xmlns:a16="http://schemas.microsoft.com/office/drawing/2014/main" id="{8272F593-6A25-4E44-9657-9D92869D9B9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Line 69">
            <a:extLst>
              <a:ext uri="{FF2B5EF4-FFF2-40B4-BE49-F238E27FC236}">
                <a16:creationId xmlns:a16="http://schemas.microsoft.com/office/drawing/2014/main" id="{8A454F40-FED3-46CA-959E-0CFBCF5A479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18</xdr:row>
      <xdr:rowOff>85725</xdr:rowOff>
    </xdr:from>
    <xdr:to>
      <xdr:col>14</xdr:col>
      <xdr:colOff>0</xdr:colOff>
      <xdr:row>18</xdr:row>
      <xdr:rowOff>133350</xdr:rowOff>
    </xdr:to>
    <xdr:grpSp>
      <xdr:nvGrpSpPr>
        <xdr:cNvPr id="1094" name="Group 70">
          <a:extLst>
            <a:ext uri="{FF2B5EF4-FFF2-40B4-BE49-F238E27FC236}">
              <a16:creationId xmlns:a16="http://schemas.microsoft.com/office/drawing/2014/main" id="{7976C0A0-6DDF-4D31-BC28-9B96B2D46471}"/>
            </a:ext>
          </a:extLst>
        </xdr:cNvPr>
        <xdr:cNvGrpSpPr>
          <a:grpSpLocks/>
        </xdr:cNvGrpSpPr>
      </xdr:nvGrpSpPr>
      <xdr:grpSpPr bwMode="auto">
        <a:xfrm>
          <a:off x="3086100" y="7239000"/>
          <a:ext cx="933450" cy="47625"/>
          <a:chOff x="158" y="715"/>
          <a:chExt cx="33" cy="5"/>
        </a:xfrm>
      </xdr:grpSpPr>
      <xdr:sp macro="" textlink="">
        <xdr:nvSpPr>
          <xdr:cNvPr id="1095" name="Line 71">
            <a:extLst>
              <a:ext uri="{FF2B5EF4-FFF2-40B4-BE49-F238E27FC236}">
                <a16:creationId xmlns:a16="http://schemas.microsoft.com/office/drawing/2014/main" id="{6A41C961-13A4-4AB1-9604-765D29461FE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" name="Line 72">
            <a:extLst>
              <a:ext uri="{FF2B5EF4-FFF2-40B4-BE49-F238E27FC236}">
                <a16:creationId xmlns:a16="http://schemas.microsoft.com/office/drawing/2014/main" id="{27AD9F6E-C785-40D9-81D4-17DB17D15FC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85725</xdr:rowOff>
    </xdr:from>
    <xdr:to>
      <xdr:col>14</xdr:col>
      <xdr:colOff>9525</xdr:colOff>
      <xdr:row>19</xdr:row>
      <xdr:rowOff>133350</xdr:rowOff>
    </xdr:to>
    <xdr:grpSp>
      <xdr:nvGrpSpPr>
        <xdr:cNvPr id="1097" name="Group 73">
          <a:extLst>
            <a:ext uri="{FF2B5EF4-FFF2-40B4-BE49-F238E27FC236}">
              <a16:creationId xmlns:a16="http://schemas.microsoft.com/office/drawing/2014/main" id="{465C61F0-477E-4B36-9705-C40ACCD35C83}"/>
            </a:ext>
          </a:extLst>
        </xdr:cNvPr>
        <xdr:cNvGrpSpPr>
          <a:grpSpLocks/>
        </xdr:cNvGrpSpPr>
      </xdr:nvGrpSpPr>
      <xdr:grpSpPr bwMode="auto">
        <a:xfrm>
          <a:off x="3714750" y="7467600"/>
          <a:ext cx="314325" cy="47625"/>
          <a:chOff x="158" y="715"/>
          <a:chExt cx="33" cy="5"/>
        </a:xfrm>
      </xdr:grpSpPr>
      <xdr:sp macro="" textlink="">
        <xdr:nvSpPr>
          <xdr:cNvPr id="1098" name="Line 74">
            <a:extLst>
              <a:ext uri="{FF2B5EF4-FFF2-40B4-BE49-F238E27FC236}">
                <a16:creationId xmlns:a16="http://schemas.microsoft.com/office/drawing/2014/main" id="{54BFA29A-EACC-4733-900D-32AC044B4CF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" name="Line 75">
            <a:extLst>
              <a:ext uri="{FF2B5EF4-FFF2-40B4-BE49-F238E27FC236}">
                <a16:creationId xmlns:a16="http://schemas.microsoft.com/office/drawing/2014/main" id="{E8B64E63-D48D-4073-BAB6-7C5B6C5C114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85725</xdr:rowOff>
    </xdr:from>
    <xdr:to>
      <xdr:col>9</xdr:col>
      <xdr:colOff>9525</xdr:colOff>
      <xdr:row>18</xdr:row>
      <xdr:rowOff>133350</xdr:rowOff>
    </xdr:to>
    <xdr:grpSp>
      <xdr:nvGrpSpPr>
        <xdr:cNvPr id="1100" name="Group 76">
          <a:extLst>
            <a:ext uri="{FF2B5EF4-FFF2-40B4-BE49-F238E27FC236}">
              <a16:creationId xmlns:a16="http://schemas.microsoft.com/office/drawing/2014/main" id="{8CDF0088-0CBF-4F1A-909E-92A258E6B5AE}"/>
            </a:ext>
          </a:extLst>
        </xdr:cNvPr>
        <xdr:cNvGrpSpPr>
          <a:grpSpLocks/>
        </xdr:cNvGrpSpPr>
      </xdr:nvGrpSpPr>
      <xdr:grpSpPr bwMode="auto">
        <a:xfrm>
          <a:off x="885825" y="7239000"/>
          <a:ext cx="1571625" cy="47625"/>
          <a:chOff x="158" y="715"/>
          <a:chExt cx="33" cy="5"/>
        </a:xfrm>
      </xdr:grpSpPr>
      <xdr:sp macro="" textlink="">
        <xdr:nvSpPr>
          <xdr:cNvPr id="1101" name="Line 77">
            <a:extLst>
              <a:ext uri="{FF2B5EF4-FFF2-40B4-BE49-F238E27FC236}">
                <a16:creationId xmlns:a16="http://schemas.microsoft.com/office/drawing/2014/main" id="{B3F8B547-C109-41E2-BA95-25105233C46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" name="Line 78">
            <a:extLst>
              <a:ext uri="{FF2B5EF4-FFF2-40B4-BE49-F238E27FC236}">
                <a16:creationId xmlns:a16="http://schemas.microsoft.com/office/drawing/2014/main" id="{0A8EE835-E741-4846-B7FA-0CC9D126085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18</xdr:row>
      <xdr:rowOff>114300</xdr:rowOff>
    </xdr:from>
    <xdr:to>
      <xdr:col>10</xdr:col>
      <xdr:colOff>9525</xdr:colOff>
      <xdr:row>18</xdr:row>
      <xdr:rowOff>114300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14C20329-737D-40E3-BBD9-4E0D1505646C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114300</xdr:rowOff>
    </xdr:from>
    <xdr:to>
      <xdr:col>12</xdr:col>
      <xdr:colOff>9525</xdr:colOff>
      <xdr:row>19</xdr:row>
      <xdr:rowOff>114300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25184510-33D1-4EF3-8A5B-7D8C9E8E46FE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1105" name="Group 81">
          <a:extLst>
            <a:ext uri="{FF2B5EF4-FFF2-40B4-BE49-F238E27FC236}">
              <a16:creationId xmlns:a16="http://schemas.microsoft.com/office/drawing/2014/main" id="{DCAFBFDD-23D9-4ACE-BB83-BEBBC20E53CC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81150" cy="47625"/>
          <a:chOff x="158" y="715"/>
          <a:chExt cx="33" cy="5"/>
        </a:xfrm>
      </xdr:grpSpPr>
      <xdr:sp macro="" textlink="">
        <xdr:nvSpPr>
          <xdr:cNvPr id="1106" name="Line 82">
            <a:extLst>
              <a:ext uri="{FF2B5EF4-FFF2-40B4-BE49-F238E27FC236}">
                <a16:creationId xmlns:a16="http://schemas.microsoft.com/office/drawing/2014/main" id="{BD2011EE-FDF9-4678-A9E3-1287924941A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" name="Line 83">
            <a:extLst>
              <a:ext uri="{FF2B5EF4-FFF2-40B4-BE49-F238E27FC236}">
                <a16:creationId xmlns:a16="http://schemas.microsoft.com/office/drawing/2014/main" id="{5D69923B-28C4-4317-90BE-7C71D1840FE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7</xdr:row>
      <xdr:rowOff>266700</xdr:rowOff>
    </xdr:from>
    <xdr:to>
      <xdr:col>4</xdr:col>
      <xdr:colOff>257175</xdr:colOff>
      <xdr:row>7</xdr:row>
      <xdr:rowOff>1438275</xdr:rowOff>
    </xdr:to>
    <xdr:sp macro="" textlink="">
      <xdr:nvSpPr>
        <xdr:cNvPr id="1108" name="Text Box 84">
          <a:extLst>
            <a:ext uri="{FF2B5EF4-FFF2-40B4-BE49-F238E27FC236}">
              <a16:creationId xmlns:a16="http://schemas.microsoft.com/office/drawing/2014/main" id="{4451B996-F6DB-4304-B186-A13B318A6DC9}"/>
            </a:ext>
          </a:extLst>
        </xdr:cNvPr>
        <xdr:cNvSpPr txBox="1">
          <a:spLocks noChangeArrowheads="1"/>
        </xdr:cNvSpPr>
      </xdr:nvSpPr>
      <xdr:spPr bwMode="auto">
        <a:xfrm>
          <a:off x="885825" y="1905000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中央７丁目</a:t>
          </a:r>
        </a:p>
      </xdr:txBody>
    </xdr:sp>
    <xdr:clientData/>
  </xdr:twoCellAnchor>
  <xdr:twoCellAnchor>
    <xdr:from>
      <xdr:col>19</xdr:col>
      <xdr:colOff>247650</xdr:colOff>
      <xdr:row>7</xdr:row>
      <xdr:rowOff>104775</xdr:rowOff>
    </xdr:from>
    <xdr:to>
      <xdr:col>20</xdr:col>
      <xdr:colOff>180975</xdr:colOff>
      <xdr:row>7</xdr:row>
      <xdr:rowOff>1695450</xdr:rowOff>
    </xdr:to>
    <xdr:sp macro="" textlink="">
      <xdr:nvSpPr>
        <xdr:cNvPr id="1109" name="Text Box 85">
          <a:extLst>
            <a:ext uri="{FF2B5EF4-FFF2-40B4-BE49-F238E27FC236}">
              <a16:creationId xmlns:a16="http://schemas.microsoft.com/office/drawing/2014/main" id="{E15A40C4-FDA3-4E8C-8818-29F3F5614CED}"/>
            </a:ext>
          </a:extLst>
        </xdr:cNvPr>
        <xdr:cNvSpPr txBox="1">
          <a:spLocks noChangeArrowheads="1"/>
        </xdr:cNvSpPr>
      </xdr:nvSpPr>
      <xdr:spPr bwMode="auto">
        <a:xfrm>
          <a:off x="5838825" y="17430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本通り７丁目</a:t>
          </a:r>
        </a:p>
      </xdr:txBody>
    </xdr:sp>
    <xdr:clientData/>
  </xdr:twoCellAnchor>
  <xdr:twoCellAnchor editAs="oneCell">
    <xdr:from>
      <xdr:col>4</xdr:col>
      <xdr:colOff>266700</xdr:colOff>
      <xdr:row>4</xdr:row>
      <xdr:rowOff>28575</xdr:rowOff>
    </xdr:from>
    <xdr:to>
      <xdr:col>19</xdr:col>
      <xdr:colOff>238125</xdr:colOff>
      <xdr:row>10</xdr:row>
      <xdr:rowOff>161925</xdr:rowOff>
    </xdr:to>
    <xdr:pic>
      <xdr:nvPicPr>
        <xdr:cNvPr id="1118" name="Picture 94">
          <a:extLst>
            <a:ext uri="{FF2B5EF4-FFF2-40B4-BE49-F238E27FC236}">
              <a16:creationId xmlns:a16="http://schemas.microsoft.com/office/drawing/2014/main" id="{0569572A-9866-45D8-9CC2-5B4E22990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981075"/>
          <a:ext cx="4686300" cy="3152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10</xdr:row>
      <xdr:rowOff>133350</xdr:rowOff>
    </xdr:from>
    <xdr:to>
      <xdr:col>6</xdr:col>
      <xdr:colOff>200025</xdr:colOff>
      <xdr:row>13</xdr:row>
      <xdr:rowOff>28575</xdr:rowOff>
    </xdr:to>
    <xdr:sp macro="" textlink="">
      <xdr:nvSpPr>
        <xdr:cNvPr id="1121" name="Text Box 97">
          <a:extLst>
            <a:ext uri="{FF2B5EF4-FFF2-40B4-BE49-F238E27FC236}">
              <a16:creationId xmlns:a16="http://schemas.microsoft.com/office/drawing/2014/main" id="{BACF84B9-BE9E-416B-B99C-5987E0676D93}"/>
            </a:ext>
          </a:extLst>
        </xdr:cNvPr>
        <xdr:cNvSpPr txBox="1">
          <a:spLocks noChangeArrowheads="1"/>
        </xdr:cNvSpPr>
      </xdr:nvSpPr>
      <xdr:spPr bwMode="auto">
        <a:xfrm>
          <a:off x="76200" y="4105275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S3:閃光(21:30～ 6:30)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1123" name="Picture 99">
          <a:extLst>
            <a:ext uri="{FF2B5EF4-FFF2-40B4-BE49-F238E27FC236}">
              <a16:creationId xmlns:a16="http://schemas.microsoft.com/office/drawing/2014/main" id="{FDAE4DC5-AC26-47E5-AEF7-AE90F204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</xdr:colOff>
      <xdr:row>15</xdr:row>
      <xdr:rowOff>1181100</xdr:rowOff>
    </xdr:from>
    <xdr:to>
      <xdr:col>9</xdr:col>
      <xdr:colOff>0</xdr:colOff>
      <xdr:row>15</xdr:row>
      <xdr:rowOff>1371600</xdr:rowOff>
    </xdr:to>
    <xdr:sp macro="" textlink="">
      <xdr:nvSpPr>
        <xdr:cNvPr id="1127" name="Text Box 103">
          <a:extLst>
            <a:ext uri="{FF2B5EF4-FFF2-40B4-BE49-F238E27FC236}">
              <a16:creationId xmlns:a16="http://schemas.microsoft.com/office/drawing/2014/main" id="{A82CCF9E-26F9-49E0-A8DC-FA5115393D07}"/>
            </a:ext>
          </a:extLst>
        </xdr:cNvPr>
        <xdr:cNvSpPr txBox="1">
          <a:spLocks noChangeArrowheads="1"/>
        </xdr:cNvSpPr>
      </xdr:nvSpPr>
      <xdr:spPr bwMode="auto">
        <a:xfrm>
          <a:off x="895350" y="6296025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）</a:t>
          </a:r>
        </a:p>
      </xdr:txBody>
    </xdr:sp>
    <xdr:clientData/>
  </xdr:twoCellAnchor>
  <xdr:twoCellAnchor>
    <xdr:from>
      <xdr:col>5</xdr:col>
      <xdr:colOff>104775</xdr:colOff>
      <xdr:row>15</xdr:row>
      <xdr:rowOff>1247775</xdr:rowOff>
    </xdr:from>
    <xdr:to>
      <xdr:col>7</xdr:col>
      <xdr:colOff>209550</xdr:colOff>
      <xdr:row>15</xdr:row>
      <xdr:rowOff>1304925</xdr:rowOff>
    </xdr:to>
    <xdr:grpSp>
      <xdr:nvGrpSpPr>
        <xdr:cNvPr id="1128" name="Group 104">
          <a:extLst>
            <a:ext uri="{FF2B5EF4-FFF2-40B4-BE49-F238E27FC236}">
              <a16:creationId xmlns:a16="http://schemas.microsoft.com/office/drawing/2014/main" id="{A9E830B7-2ADA-48DB-81B7-CAAD1D9C13CA}"/>
            </a:ext>
          </a:extLst>
        </xdr:cNvPr>
        <xdr:cNvGrpSpPr>
          <a:grpSpLocks/>
        </xdr:cNvGrpSpPr>
      </xdr:nvGrpSpPr>
      <xdr:grpSpPr bwMode="auto">
        <a:xfrm>
          <a:off x="1295400" y="6362700"/>
          <a:ext cx="733425" cy="57150"/>
          <a:chOff x="123" y="549"/>
          <a:chExt cx="77" cy="6"/>
        </a:xfrm>
      </xdr:grpSpPr>
      <xdr:sp macro="" textlink="">
        <xdr:nvSpPr>
          <xdr:cNvPr id="1129" name="Line 105">
            <a:extLst>
              <a:ext uri="{FF2B5EF4-FFF2-40B4-BE49-F238E27FC236}">
                <a16:creationId xmlns:a16="http://schemas.microsoft.com/office/drawing/2014/main" id="{D95BF15D-E518-424B-9033-4E49B3B2802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0" name="Freeform 106">
            <a:extLst>
              <a:ext uri="{FF2B5EF4-FFF2-40B4-BE49-F238E27FC236}">
                <a16:creationId xmlns:a16="http://schemas.microsoft.com/office/drawing/2014/main" id="{FA4418B9-9494-4E2A-8C66-AD8472EA741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1" name="Freeform 107">
            <a:extLst>
              <a:ext uri="{FF2B5EF4-FFF2-40B4-BE49-F238E27FC236}">
                <a16:creationId xmlns:a16="http://schemas.microsoft.com/office/drawing/2014/main" id="{36AC7E57-2E28-458D-9641-76BA4F103F99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19050</xdr:colOff>
      <xdr:row>15</xdr:row>
      <xdr:rowOff>247650</xdr:rowOff>
    </xdr:from>
    <xdr:to>
      <xdr:col>9</xdr:col>
      <xdr:colOff>0</xdr:colOff>
      <xdr:row>15</xdr:row>
      <xdr:rowOff>438150</xdr:rowOff>
    </xdr:to>
    <xdr:sp macro="" textlink="">
      <xdr:nvSpPr>
        <xdr:cNvPr id="1132" name="Text Box 108">
          <a:extLst>
            <a:ext uri="{FF2B5EF4-FFF2-40B4-BE49-F238E27FC236}">
              <a16:creationId xmlns:a16="http://schemas.microsoft.com/office/drawing/2014/main" id="{77A666EC-9786-4C07-A472-FC1E7BE9E8EC}"/>
            </a:ext>
          </a:extLst>
        </xdr:cNvPr>
        <xdr:cNvSpPr txBox="1">
          <a:spLocks noChangeArrowheads="1"/>
        </xdr:cNvSpPr>
      </xdr:nvSpPr>
      <xdr:spPr bwMode="auto">
        <a:xfrm>
          <a:off x="895350" y="5362575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 　 　）</a:t>
          </a:r>
        </a:p>
      </xdr:txBody>
    </xdr:sp>
    <xdr:clientData/>
  </xdr:twoCellAnchor>
  <xdr:twoCellAnchor>
    <xdr:from>
      <xdr:col>5</xdr:col>
      <xdr:colOff>104775</xdr:colOff>
      <xdr:row>15</xdr:row>
      <xdr:rowOff>314325</xdr:rowOff>
    </xdr:from>
    <xdr:to>
      <xdr:col>7</xdr:col>
      <xdr:colOff>209550</xdr:colOff>
      <xdr:row>15</xdr:row>
      <xdr:rowOff>371475</xdr:rowOff>
    </xdr:to>
    <xdr:grpSp>
      <xdr:nvGrpSpPr>
        <xdr:cNvPr id="1133" name="Group 109">
          <a:extLst>
            <a:ext uri="{FF2B5EF4-FFF2-40B4-BE49-F238E27FC236}">
              <a16:creationId xmlns:a16="http://schemas.microsoft.com/office/drawing/2014/main" id="{16A603DA-ED61-46C5-8971-74BEE9FAE6BB}"/>
            </a:ext>
          </a:extLst>
        </xdr:cNvPr>
        <xdr:cNvGrpSpPr>
          <a:grpSpLocks/>
        </xdr:cNvGrpSpPr>
      </xdr:nvGrpSpPr>
      <xdr:grpSpPr bwMode="auto">
        <a:xfrm>
          <a:off x="1295400" y="5429250"/>
          <a:ext cx="733425" cy="57150"/>
          <a:chOff x="123" y="549"/>
          <a:chExt cx="77" cy="6"/>
        </a:xfrm>
      </xdr:grpSpPr>
      <xdr:sp macro="" textlink="">
        <xdr:nvSpPr>
          <xdr:cNvPr id="1134" name="Line 110">
            <a:extLst>
              <a:ext uri="{FF2B5EF4-FFF2-40B4-BE49-F238E27FC236}">
                <a16:creationId xmlns:a16="http://schemas.microsoft.com/office/drawing/2014/main" id="{F863899B-3649-46E5-ADD8-2E5A02E66F9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5" name="Freeform 111">
            <a:extLst>
              <a:ext uri="{FF2B5EF4-FFF2-40B4-BE49-F238E27FC236}">
                <a16:creationId xmlns:a16="http://schemas.microsoft.com/office/drawing/2014/main" id="{A4A09CDF-E3AB-4997-A07E-B5610187FCE6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6" name="Freeform 112">
            <a:extLst>
              <a:ext uri="{FF2B5EF4-FFF2-40B4-BE49-F238E27FC236}">
                <a16:creationId xmlns:a16="http://schemas.microsoft.com/office/drawing/2014/main" id="{37A9CE37-F317-46AB-BEBD-62C781263D56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47625</xdr:colOff>
      <xdr:row>15</xdr:row>
      <xdr:rowOff>161925</xdr:rowOff>
    </xdr:from>
    <xdr:to>
      <xdr:col>7</xdr:col>
      <xdr:colOff>85725</xdr:colOff>
      <xdr:row>15</xdr:row>
      <xdr:rowOff>323850</xdr:rowOff>
    </xdr:to>
    <xdr:sp macro="" textlink="">
      <xdr:nvSpPr>
        <xdr:cNvPr id="1137" name="Text Box 113">
          <a:extLst>
            <a:ext uri="{FF2B5EF4-FFF2-40B4-BE49-F238E27FC236}">
              <a16:creationId xmlns:a16="http://schemas.microsoft.com/office/drawing/2014/main" id="{F37A50DF-2120-43CE-9171-1D51FFC34684}"/>
            </a:ext>
          </a:extLst>
        </xdr:cNvPr>
        <xdr:cNvSpPr txBox="1">
          <a:spLocks noChangeArrowheads="1"/>
        </xdr:cNvSpPr>
      </xdr:nvSpPr>
      <xdr:spPr bwMode="auto">
        <a:xfrm>
          <a:off x="1552575" y="52768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7.2m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6</xdr:col>
      <xdr:colOff>47625</xdr:colOff>
      <xdr:row>15</xdr:row>
      <xdr:rowOff>1323975</xdr:rowOff>
    </xdr:from>
    <xdr:to>
      <xdr:col>7</xdr:col>
      <xdr:colOff>85725</xdr:colOff>
      <xdr:row>15</xdr:row>
      <xdr:rowOff>1485900</xdr:rowOff>
    </xdr:to>
    <xdr:sp macro="" textlink="">
      <xdr:nvSpPr>
        <xdr:cNvPr id="1138" name="Text Box 114">
          <a:extLst>
            <a:ext uri="{FF2B5EF4-FFF2-40B4-BE49-F238E27FC236}">
              <a16:creationId xmlns:a16="http://schemas.microsoft.com/office/drawing/2014/main" id="{2EE26429-A594-4414-A152-EEBCE04F1A6B}"/>
            </a:ext>
          </a:extLst>
        </xdr:cNvPr>
        <xdr:cNvSpPr txBox="1">
          <a:spLocks noChangeArrowheads="1"/>
        </xdr:cNvSpPr>
      </xdr:nvSpPr>
      <xdr:spPr bwMode="auto">
        <a:xfrm>
          <a:off x="1552575" y="64389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8.0m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4</xdr:col>
      <xdr:colOff>285750</xdr:colOff>
      <xdr:row>15</xdr:row>
      <xdr:rowOff>466725</xdr:rowOff>
    </xdr:from>
    <xdr:to>
      <xdr:col>8</xdr:col>
      <xdr:colOff>28575</xdr:colOff>
      <xdr:row>15</xdr:row>
      <xdr:rowOff>771525</xdr:rowOff>
    </xdr:to>
    <xdr:grpSp>
      <xdr:nvGrpSpPr>
        <xdr:cNvPr id="1139" name="Group 115">
          <a:extLst>
            <a:ext uri="{FF2B5EF4-FFF2-40B4-BE49-F238E27FC236}">
              <a16:creationId xmlns:a16="http://schemas.microsoft.com/office/drawing/2014/main" id="{CA464984-C84B-449C-A887-3FFB3BEC357B}"/>
            </a:ext>
          </a:extLst>
        </xdr:cNvPr>
        <xdr:cNvGrpSpPr>
          <a:grpSpLocks/>
        </xdr:cNvGrpSpPr>
      </xdr:nvGrpSpPr>
      <xdr:grpSpPr bwMode="auto">
        <a:xfrm>
          <a:off x="1162050" y="5581650"/>
          <a:ext cx="1000125" cy="304800"/>
          <a:chOff x="110" y="567"/>
          <a:chExt cx="105" cy="32"/>
        </a:xfrm>
      </xdr:grpSpPr>
      <xdr:sp macro="" textlink="">
        <xdr:nvSpPr>
          <xdr:cNvPr id="1140" name="Line 116">
            <a:extLst>
              <a:ext uri="{FF2B5EF4-FFF2-40B4-BE49-F238E27FC236}">
                <a16:creationId xmlns:a16="http://schemas.microsoft.com/office/drawing/2014/main" id="{FC0596CA-F03A-4616-A395-51D1C6D9BFBD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1" name="Freeform 117">
            <a:extLst>
              <a:ext uri="{FF2B5EF4-FFF2-40B4-BE49-F238E27FC236}">
                <a16:creationId xmlns:a16="http://schemas.microsoft.com/office/drawing/2014/main" id="{C648791C-FB04-4AF6-BB30-C3694C7930C8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2" name="Freeform 118">
            <a:extLst>
              <a:ext uri="{FF2B5EF4-FFF2-40B4-BE49-F238E27FC236}">
                <a16:creationId xmlns:a16="http://schemas.microsoft.com/office/drawing/2014/main" id="{91EDDC2D-3FBF-4494-9BAC-3D4310E4BC42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3" name="Line 119">
            <a:extLst>
              <a:ext uri="{FF2B5EF4-FFF2-40B4-BE49-F238E27FC236}">
                <a16:creationId xmlns:a16="http://schemas.microsoft.com/office/drawing/2014/main" id="{72E6FF18-5EEF-4E4A-AE02-A5A9D1D8763F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4" name="Freeform 120">
            <a:extLst>
              <a:ext uri="{FF2B5EF4-FFF2-40B4-BE49-F238E27FC236}">
                <a16:creationId xmlns:a16="http://schemas.microsoft.com/office/drawing/2014/main" id="{B59592AF-5562-4B59-895E-393BEC27FC4B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5" name="Freeform 121">
            <a:extLst>
              <a:ext uri="{FF2B5EF4-FFF2-40B4-BE49-F238E27FC236}">
                <a16:creationId xmlns:a16="http://schemas.microsoft.com/office/drawing/2014/main" id="{573FA778-4702-41D0-B484-368EC4899522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6" name="Line 122">
            <a:extLst>
              <a:ext uri="{FF2B5EF4-FFF2-40B4-BE49-F238E27FC236}">
                <a16:creationId xmlns:a16="http://schemas.microsoft.com/office/drawing/2014/main" id="{6CD502D2-C6FB-4DC0-9284-5991CE58DFEA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7" name="Freeform 123">
            <a:extLst>
              <a:ext uri="{FF2B5EF4-FFF2-40B4-BE49-F238E27FC236}">
                <a16:creationId xmlns:a16="http://schemas.microsoft.com/office/drawing/2014/main" id="{27B193CD-354A-4DBD-95ED-060214BF0DB2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828675</xdr:rowOff>
    </xdr:from>
    <xdr:to>
      <xdr:col>8</xdr:col>
      <xdr:colOff>28575</xdr:colOff>
      <xdr:row>15</xdr:row>
      <xdr:rowOff>1133475</xdr:rowOff>
    </xdr:to>
    <xdr:grpSp>
      <xdr:nvGrpSpPr>
        <xdr:cNvPr id="1148" name="Group 124">
          <a:extLst>
            <a:ext uri="{FF2B5EF4-FFF2-40B4-BE49-F238E27FC236}">
              <a16:creationId xmlns:a16="http://schemas.microsoft.com/office/drawing/2014/main" id="{61842C20-CE78-4142-9931-EFAC6D0FD0DC}"/>
            </a:ext>
          </a:extLst>
        </xdr:cNvPr>
        <xdr:cNvGrpSpPr>
          <a:grpSpLocks/>
        </xdr:cNvGrpSpPr>
      </xdr:nvGrpSpPr>
      <xdr:grpSpPr bwMode="auto">
        <a:xfrm>
          <a:off x="1152525" y="5943600"/>
          <a:ext cx="1009650" cy="304800"/>
          <a:chOff x="105" y="627"/>
          <a:chExt cx="106" cy="32"/>
        </a:xfrm>
      </xdr:grpSpPr>
      <xdr:sp macro="" textlink="">
        <xdr:nvSpPr>
          <xdr:cNvPr id="1149" name="Line 125">
            <a:extLst>
              <a:ext uri="{FF2B5EF4-FFF2-40B4-BE49-F238E27FC236}">
                <a16:creationId xmlns:a16="http://schemas.microsoft.com/office/drawing/2014/main" id="{686AE1B4-EE88-4A49-8286-56D6D3025022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0" name="Freeform 126">
            <a:extLst>
              <a:ext uri="{FF2B5EF4-FFF2-40B4-BE49-F238E27FC236}">
                <a16:creationId xmlns:a16="http://schemas.microsoft.com/office/drawing/2014/main" id="{FBD05CF0-0116-4E46-82E0-25F5FC3EDC8E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1" name="Freeform 127">
            <a:extLst>
              <a:ext uri="{FF2B5EF4-FFF2-40B4-BE49-F238E27FC236}">
                <a16:creationId xmlns:a16="http://schemas.microsoft.com/office/drawing/2014/main" id="{1C347473-98CF-4D41-B2D5-F13821A6165A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2" name="Line 128">
            <a:extLst>
              <a:ext uri="{FF2B5EF4-FFF2-40B4-BE49-F238E27FC236}">
                <a16:creationId xmlns:a16="http://schemas.microsoft.com/office/drawing/2014/main" id="{5794F1B3-692B-43FA-BB5A-E4C830C3FD89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3" name="Freeform 129">
            <a:extLst>
              <a:ext uri="{FF2B5EF4-FFF2-40B4-BE49-F238E27FC236}">
                <a16:creationId xmlns:a16="http://schemas.microsoft.com/office/drawing/2014/main" id="{42255CF3-ED58-4776-B22E-7D6471E76AA6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4" name="Freeform 130">
            <a:extLst>
              <a:ext uri="{FF2B5EF4-FFF2-40B4-BE49-F238E27FC236}">
                <a16:creationId xmlns:a16="http://schemas.microsoft.com/office/drawing/2014/main" id="{2D085251-B4E4-4B91-9E64-0737DC298A54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5" name="Line 131">
            <a:extLst>
              <a:ext uri="{FF2B5EF4-FFF2-40B4-BE49-F238E27FC236}">
                <a16:creationId xmlns:a16="http://schemas.microsoft.com/office/drawing/2014/main" id="{252E89C1-D077-49BC-9A06-632E76C54A54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6" name="Freeform 132">
            <a:extLst>
              <a:ext uri="{FF2B5EF4-FFF2-40B4-BE49-F238E27FC236}">
                <a16:creationId xmlns:a16="http://schemas.microsoft.com/office/drawing/2014/main" id="{5232C761-FFE5-4594-96D3-98A3C35F3AD7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266700</xdr:colOff>
      <xdr:row>15</xdr:row>
      <xdr:rowOff>285750</xdr:rowOff>
    </xdr:from>
    <xdr:to>
      <xdr:col>9</xdr:col>
      <xdr:colOff>57150</xdr:colOff>
      <xdr:row>15</xdr:row>
      <xdr:rowOff>438150</xdr:rowOff>
    </xdr:to>
    <xdr:sp macro="" textlink="">
      <xdr:nvSpPr>
        <xdr:cNvPr id="1157" name="Text Box 133">
          <a:extLst>
            <a:ext uri="{FF2B5EF4-FFF2-40B4-BE49-F238E27FC236}">
              <a16:creationId xmlns:a16="http://schemas.microsoft.com/office/drawing/2014/main" id="{84AB42AF-044E-4DC6-BE02-66017C139376}"/>
            </a:ext>
          </a:extLst>
        </xdr:cNvPr>
        <xdr:cNvSpPr txBox="1">
          <a:spLocks noChangeArrowheads="1"/>
        </xdr:cNvSpPr>
      </xdr:nvSpPr>
      <xdr:spPr bwMode="auto">
        <a:xfrm>
          <a:off x="2085975" y="5400675"/>
          <a:ext cx="419100" cy="152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7</xdr:col>
      <xdr:colOff>266700</xdr:colOff>
      <xdr:row>15</xdr:row>
      <xdr:rowOff>1209675</xdr:rowOff>
    </xdr:from>
    <xdr:to>
      <xdr:col>9</xdr:col>
      <xdr:colOff>28575</xdr:colOff>
      <xdr:row>15</xdr:row>
      <xdr:rowOff>1390650</xdr:rowOff>
    </xdr:to>
    <xdr:sp macro="" textlink="">
      <xdr:nvSpPr>
        <xdr:cNvPr id="1158" name="Text Box 134">
          <a:extLst>
            <a:ext uri="{FF2B5EF4-FFF2-40B4-BE49-F238E27FC236}">
              <a16:creationId xmlns:a16="http://schemas.microsoft.com/office/drawing/2014/main" id="{8FCC940C-275F-4938-B6C1-B079EB7C25DB}"/>
            </a:ext>
          </a:extLst>
        </xdr:cNvPr>
        <xdr:cNvSpPr txBox="1">
          <a:spLocks noChangeArrowheads="1"/>
        </xdr:cNvSpPr>
      </xdr:nvSpPr>
      <xdr:spPr bwMode="auto">
        <a:xfrm>
          <a:off x="2085975" y="6324600"/>
          <a:ext cx="390525" cy="180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12</xdr:col>
      <xdr:colOff>238125</xdr:colOff>
      <xdr:row>14</xdr:row>
      <xdr:rowOff>219075</xdr:rowOff>
    </xdr:from>
    <xdr:to>
      <xdr:col>13</xdr:col>
      <xdr:colOff>114300</xdr:colOff>
      <xdr:row>15</xdr:row>
      <xdr:rowOff>1571625</xdr:rowOff>
    </xdr:to>
    <xdr:sp macro="" textlink="">
      <xdr:nvSpPr>
        <xdr:cNvPr id="1160" name="Text Box 136">
          <a:extLst>
            <a:ext uri="{FF2B5EF4-FFF2-40B4-BE49-F238E27FC236}">
              <a16:creationId xmlns:a16="http://schemas.microsoft.com/office/drawing/2014/main" id="{D626DD5D-CEAE-424F-A709-E47D294A8691}"/>
            </a:ext>
          </a:extLst>
        </xdr:cNvPr>
        <xdr:cNvSpPr txBox="1">
          <a:spLocks noChangeArrowheads="1"/>
        </xdr:cNvSpPr>
      </xdr:nvSpPr>
      <xdr:spPr bwMode="auto">
        <a:xfrm>
          <a:off x="3629025" y="5105400"/>
          <a:ext cx="1905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）</a:t>
          </a:r>
        </a:p>
      </xdr:txBody>
    </xdr:sp>
    <xdr:clientData/>
  </xdr:twoCellAnchor>
  <xdr:twoCellAnchor>
    <xdr:from>
      <xdr:col>9</xdr:col>
      <xdr:colOff>228600</xdr:colOff>
      <xdr:row>15</xdr:row>
      <xdr:rowOff>0</xdr:rowOff>
    </xdr:from>
    <xdr:to>
      <xdr:col>10</xdr:col>
      <xdr:colOff>114300</xdr:colOff>
      <xdr:row>15</xdr:row>
      <xdr:rowOff>1571625</xdr:rowOff>
    </xdr:to>
    <xdr:sp macro="" textlink="">
      <xdr:nvSpPr>
        <xdr:cNvPr id="1161" name="Text Box 137">
          <a:extLst>
            <a:ext uri="{FF2B5EF4-FFF2-40B4-BE49-F238E27FC236}">
              <a16:creationId xmlns:a16="http://schemas.microsoft.com/office/drawing/2014/main" id="{DD253879-9CAB-41B5-B885-E690705D38A1}"/>
            </a:ext>
          </a:extLst>
        </xdr:cNvPr>
        <xdr:cNvSpPr txBox="1">
          <a:spLocks noChangeArrowheads="1"/>
        </xdr:cNvSpPr>
      </xdr:nvSpPr>
      <xdr:spPr bwMode="auto">
        <a:xfrm>
          <a:off x="2676525" y="5114925"/>
          <a:ext cx="200025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）</a:t>
          </a:r>
        </a:p>
      </xdr:txBody>
    </xdr:sp>
    <xdr:clientData/>
  </xdr:twoCellAnchor>
  <xdr:twoCellAnchor>
    <xdr:from>
      <xdr:col>10</xdr:col>
      <xdr:colOff>161925</xdr:colOff>
      <xdr:row>15</xdr:row>
      <xdr:rowOff>314325</xdr:rowOff>
    </xdr:from>
    <xdr:to>
      <xdr:col>11</xdr:col>
      <xdr:colOff>152400</xdr:colOff>
      <xdr:row>15</xdr:row>
      <xdr:rowOff>1314450</xdr:rowOff>
    </xdr:to>
    <xdr:grpSp>
      <xdr:nvGrpSpPr>
        <xdr:cNvPr id="1162" name="Group 138">
          <a:extLst>
            <a:ext uri="{FF2B5EF4-FFF2-40B4-BE49-F238E27FC236}">
              <a16:creationId xmlns:a16="http://schemas.microsoft.com/office/drawing/2014/main" id="{409AA400-C96F-4AEE-BF89-F0E5E2F4710E}"/>
            </a:ext>
          </a:extLst>
        </xdr:cNvPr>
        <xdr:cNvGrpSpPr>
          <a:grpSpLocks/>
        </xdr:cNvGrpSpPr>
      </xdr:nvGrpSpPr>
      <xdr:grpSpPr bwMode="auto">
        <a:xfrm>
          <a:off x="2924175" y="5429250"/>
          <a:ext cx="304800" cy="1000125"/>
          <a:chOff x="306" y="566"/>
          <a:chExt cx="32" cy="105"/>
        </a:xfrm>
      </xdr:grpSpPr>
      <xdr:sp macro="" textlink="">
        <xdr:nvSpPr>
          <xdr:cNvPr id="1163" name="Line 139">
            <a:extLst>
              <a:ext uri="{FF2B5EF4-FFF2-40B4-BE49-F238E27FC236}">
                <a16:creationId xmlns:a16="http://schemas.microsoft.com/office/drawing/2014/main" id="{8AF62DF9-87E4-4F27-97A9-520B7AF35839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70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4" name="Freeform 140">
            <a:extLst>
              <a:ext uri="{FF2B5EF4-FFF2-40B4-BE49-F238E27FC236}">
                <a16:creationId xmlns:a16="http://schemas.microsoft.com/office/drawing/2014/main" id="{DC757DD7-84C3-47A9-9575-10920E868EE9}"/>
              </a:ext>
            </a:extLst>
          </xdr:cNvPr>
          <xdr:cNvSpPr>
            <a:spLocks/>
          </xdr:cNvSpPr>
        </xdr:nvSpPr>
        <xdr:spPr bwMode="auto">
          <a:xfrm rot="-5400000">
            <a:off x="318" y="56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5" name="Freeform 141">
            <a:extLst>
              <a:ext uri="{FF2B5EF4-FFF2-40B4-BE49-F238E27FC236}">
                <a16:creationId xmlns:a16="http://schemas.microsoft.com/office/drawing/2014/main" id="{54F63B48-E2AD-450B-B5CF-BC568D76423C}"/>
              </a:ext>
            </a:extLst>
          </xdr:cNvPr>
          <xdr:cNvSpPr>
            <a:spLocks/>
          </xdr:cNvSpPr>
        </xdr:nvSpPr>
        <xdr:spPr bwMode="auto">
          <a:xfrm rot="-5400000">
            <a:off x="314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6" name="Line 142">
            <a:extLst>
              <a:ext uri="{FF2B5EF4-FFF2-40B4-BE49-F238E27FC236}">
                <a16:creationId xmlns:a16="http://schemas.microsoft.com/office/drawing/2014/main" id="{E9C939D5-33EC-4DAB-B74B-2F373BC5FB43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10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7" name="Freeform 143">
            <a:extLst>
              <a:ext uri="{FF2B5EF4-FFF2-40B4-BE49-F238E27FC236}">
                <a16:creationId xmlns:a16="http://schemas.microsoft.com/office/drawing/2014/main" id="{CA076777-9355-44CE-B574-C88142B18F39}"/>
              </a:ext>
            </a:extLst>
          </xdr:cNvPr>
          <xdr:cNvSpPr>
            <a:spLocks/>
          </xdr:cNvSpPr>
        </xdr:nvSpPr>
        <xdr:spPr bwMode="auto">
          <a:xfrm rot="-5400000">
            <a:off x="306" y="63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8" name="Freeform 144">
            <a:extLst>
              <a:ext uri="{FF2B5EF4-FFF2-40B4-BE49-F238E27FC236}">
                <a16:creationId xmlns:a16="http://schemas.microsoft.com/office/drawing/2014/main" id="{CBF9A6FB-41BB-4E6E-8920-0DBD1946BDC7}"/>
              </a:ext>
            </a:extLst>
          </xdr:cNvPr>
          <xdr:cNvSpPr>
            <a:spLocks/>
          </xdr:cNvSpPr>
        </xdr:nvSpPr>
        <xdr:spPr bwMode="auto">
          <a:xfrm rot="-5400000">
            <a:off x="322" y="628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9" name="Line 145">
            <a:extLst>
              <a:ext uri="{FF2B5EF4-FFF2-40B4-BE49-F238E27FC236}">
                <a16:creationId xmlns:a16="http://schemas.microsoft.com/office/drawing/2014/main" id="{895E8977-D109-41F5-B067-DBF298D32887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3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0" name="Freeform 146">
            <a:extLst>
              <a:ext uri="{FF2B5EF4-FFF2-40B4-BE49-F238E27FC236}">
                <a16:creationId xmlns:a16="http://schemas.microsoft.com/office/drawing/2014/main" id="{CF87731A-8C62-4A3D-B558-69D19C782915}"/>
              </a:ext>
            </a:extLst>
          </xdr:cNvPr>
          <xdr:cNvSpPr>
            <a:spLocks/>
          </xdr:cNvSpPr>
        </xdr:nvSpPr>
        <xdr:spPr bwMode="auto">
          <a:xfrm rot="-5400000">
            <a:off x="331" y="62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428625</xdr:rowOff>
    </xdr:from>
    <xdr:to>
      <xdr:col>13</xdr:col>
      <xdr:colOff>38100</xdr:colOff>
      <xdr:row>15</xdr:row>
      <xdr:rowOff>1162050</xdr:rowOff>
    </xdr:to>
    <xdr:grpSp>
      <xdr:nvGrpSpPr>
        <xdr:cNvPr id="1171" name="Group 147">
          <a:extLst>
            <a:ext uri="{FF2B5EF4-FFF2-40B4-BE49-F238E27FC236}">
              <a16:creationId xmlns:a16="http://schemas.microsoft.com/office/drawing/2014/main" id="{0158AFA7-4D7E-4435-A4A8-53AE94F18668}"/>
            </a:ext>
          </a:extLst>
        </xdr:cNvPr>
        <xdr:cNvGrpSpPr>
          <a:grpSpLocks/>
        </xdr:cNvGrpSpPr>
      </xdr:nvGrpSpPr>
      <xdr:grpSpPr bwMode="auto">
        <a:xfrm rot="5400000">
          <a:off x="3348037" y="5881688"/>
          <a:ext cx="733425" cy="57150"/>
          <a:chOff x="123" y="549"/>
          <a:chExt cx="77" cy="6"/>
        </a:xfrm>
      </xdr:grpSpPr>
      <xdr:sp macro="" textlink="">
        <xdr:nvSpPr>
          <xdr:cNvPr id="1172" name="Line 148">
            <a:extLst>
              <a:ext uri="{FF2B5EF4-FFF2-40B4-BE49-F238E27FC236}">
                <a16:creationId xmlns:a16="http://schemas.microsoft.com/office/drawing/2014/main" id="{94EE70B3-DC04-4DAB-AF06-5593FCC914C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3" name="Freeform 149">
            <a:extLst>
              <a:ext uri="{FF2B5EF4-FFF2-40B4-BE49-F238E27FC236}">
                <a16:creationId xmlns:a16="http://schemas.microsoft.com/office/drawing/2014/main" id="{FD725ACE-36FF-40E2-98C5-551754B9685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4" name="Freeform 150">
            <a:extLst>
              <a:ext uri="{FF2B5EF4-FFF2-40B4-BE49-F238E27FC236}">
                <a16:creationId xmlns:a16="http://schemas.microsoft.com/office/drawing/2014/main" id="{620BF17E-E6AC-4981-9F26-B171CA68455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15</xdr:row>
      <xdr:rowOff>314325</xdr:rowOff>
    </xdr:from>
    <xdr:to>
      <xdr:col>12</xdr:col>
      <xdr:colOff>152400</xdr:colOff>
      <xdr:row>15</xdr:row>
      <xdr:rowOff>1314450</xdr:rowOff>
    </xdr:to>
    <xdr:grpSp>
      <xdr:nvGrpSpPr>
        <xdr:cNvPr id="1175" name="Group 151">
          <a:extLst>
            <a:ext uri="{FF2B5EF4-FFF2-40B4-BE49-F238E27FC236}">
              <a16:creationId xmlns:a16="http://schemas.microsoft.com/office/drawing/2014/main" id="{071B26A6-AD7A-47B9-9464-CA2A8012CD83}"/>
            </a:ext>
          </a:extLst>
        </xdr:cNvPr>
        <xdr:cNvGrpSpPr>
          <a:grpSpLocks/>
        </xdr:cNvGrpSpPr>
      </xdr:nvGrpSpPr>
      <xdr:grpSpPr bwMode="auto">
        <a:xfrm>
          <a:off x="3248025" y="5429250"/>
          <a:ext cx="295275" cy="1000125"/>
          <a:chOff x="342" y="566"/>
          <a:chExt cx="31" cy="105"/>
        </a:xfrm>
      </xdr:grpSpPr>
      <xdr:sp macro="" textlink="">
        <xdr:nvSpPr>
          <xdr:cNvPr id="1176" name="Line 152">
            <a:extLst>
              <a:ext uri="{FF2B5EF4-FFF2-40B4-BE49-F238E27FC236}">
                <a16:creationId xmlns:a16="http://schemas.microsoft.com/office/drawing/2014/main" id="{B61A3809-780B-4A91-A7B0-557F023CC19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05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7" name="Freeform 153">
            <a:extLst>
              <a:ext uri="{FF2B5EF4-FFF2-40B4-BE49-F238E27FC236}">
                <a16:creationId xmlns:a16="http://schemas.microsoft.com/office/drawing/2014/main" id="{7CD25B59-CDFB-48D1-B4CC-2498C2CAD699}"/>
              </a:ext>
            </a:extLst>
          </xdr:cNvPr>
          <xdr:cNvSpPr>
            <a:spLocks/>
          </xdr:cNvSpPr>
        </xdr:nvSpPr>
        <xdr:spPr bwMode="auto">
          <a:xfrm rot="5400000">
            <a:off x="353" y="66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8" name="Freeform 154">
            <a:extLst>
              <a:ext uri="{FF2B5EF4-FFF2-40B4-BE49-F238E27FC236}">
                <a16:creationId xmlns:a16="http://schemas.microsoft.com/office/drawing/2014/main" id="{358D8448-6AAE-42DA-99C1-0BFA9C9DDD30}"/>
              </a:ext>
            </a:extLst>
          </xdr:cNvPr>
          <xdr:cNvSpPr>
            <a:spLocks/>
          </xdr:cNvSpPr>
        </xdr:nvSpPr>
        <xdr:spPr bwMode="auto">
          <a:xfrm rot="5400000">
            <a:off x="357" y="590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9" name="Line 155">
            <a:extLst>
              <a:ext uri="{FF2B5EF4-FFF2-40B4-BE49-F238E27FC236}">
                <a16:creationId xmlns:a16="http://schemas.microsoft.com/office/drawing/2014/main" id="{9EFD7439-1859-4093-9533-138585F3C7D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69" y="59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0" name="Freeform 156">
            <a:extLst>
              <a:ext uri="{FF2B5EF4-FFF2-40B4-BE49-F238E27FC236}">
                <a16:creationId xmlns:a16="http://schemas.microsoft.com/office/drawing/2014/main" id="{0C08788C-E655-4843-9F64-0DF4AAF4135E}"/>
              </a:ext>
            </a:extLst>
          </xdr:cNvPr>
          <xdr:cNvSpPr>
            <a:spLocks/>
          </xdr:cNvSpPr>
        </xdr:nvSpPr>
        <xdr:spPr bwMode="auto">
          <a:xfrm rot="5400000">
            <a:off x="366" y="59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1" name="Freeform 157">
            <a:extLst>
              <a:ext uri="{FF2B5EF4-FFF2-40B4-BE49-F238E27FC236}">
                <a16:creationId xmlns:a16="http://schemas.microsoft.com/office/drawing/2014/main" id="{75BE44AA-B132-4C66-A44E-E1C95F305371}"/>
              </a:ext>
            </a:extLst>
          </xdr:cNvPr>
          <xdr:cNvSpPr>
            <a:spLocks/>
          </xdr:cNvSpPr>
        </xdr:nvSpPr>
        <xdr:spPr bwMode="auto">
          <a:xfrm rot="5400000">
            <a:off x="350" y="60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2" name="Line 158">
            <a:extLst>
              <a:ext uri="{FF2B5EF4-FFF2-40B4-BE49-F238E27FC236}">
                <a16:creationId xmlns:a16="http://schemas.microsoft.com/office/drawing/2014/main" id="{9BC82318-AFB5-4000-8A20-D59B8F4599AF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47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3" name="Freeform 159">
            <a:extLst>
              <a:ext uri="{FF2B5EF4-FFF2-40B4-BE49-F238E27FC236}">
                <a16:creationId xmlns:a16="http://schemas.microsoft.com/office/drawing/2014/main" id="{EC74D5FB-7148-4C9B-B48D-6E91064BFF38}"/>
              </a:ext>
            </a:extLst>
          </xdr:cNvPr>
          <xdr:cNvSpPr>
            <a:spLocks/>
          </xdr:cNvSpPr>
        </xdr:nvSpPr>
        <xdr:spPr bwMode="auto">
          <a:xfrm rot="5400000">
            <a:off x="342" y="60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171450</xdr:colOff>
      <xdr:row>15</xdr:row>
      <xdr:rowOff>1257300</xdr:rowOff>
    </xdr:from>
    <xdr:to>
      <xdr:col>10</xdr:col>
      <xdr:colOff>209550</xdr:colOff>
      <xdr:row>15</xdr:row>
      <xdr:rowOff>1419225</xdr:rowOff>
    </xdr:to>
    <xdr:sp macro="" textlink="">
      <xdr:nvSpPr>
        <xdr:cNvPr id="1184" name="Text Box 160">
          <a:extLst>
            <a:ext uri="{FF2B5EF4-FFF2-40B4-BE49-F238E27FC236}">
              <a16:creationId xmlns:a16="http://schemas.microsoft.com/office/drawing/2014/main" id="{8623202B-3FF7-47DD-88A0-9B5050716CB9}"/>
            </a:ext>
          </a:extLst>
        </xdr:cNvPr>
        <xdr:cNvSpPr txBox="1">
          <a:spLocks noChangeArrowheads="1"/>
        </xdr:cNvSpPr>
      </xdr:nvSpPr>
      <xdr:spPr bwMode="auto">
        <a:xfrm>
          <a:off x="2619375" y="63722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12.9m</a:t>
          </a:r>
        </a:p>
      </xdr:txBody>
    </xdr:sp>
    <xdr:clientData/>
  </xdr:twoCellAnchor>
  <xdr:twoCellAnchor>
    <xdr:from>
      <xdr:col>9</xdr:col>
      <xdr:colOff>295275</xdr:colOff>
      <xdr:row>15</xdr:row>
      <xdr:rowOff>428625</xdr:rowOff>
    </xdr:from>
    <xdr:to>
      <xdr:col>10</xdr:col>
      <xdr:colOff>38100</xdr:colOff>
      <xdr:row>15</xdr:row>
      <xdr:rowOff>1162050</xdr:rowOff>
    </xdr:to>
    <xdr:grpSp>
      <xdr:nvGrpSpPr>
        <xdr:cNvPr id="1185" name="Group 161">
          <a:extLst>
            <a:ext uri="{FF2B5EF4-FFF2-40B4-BE49-F238E27FC236}">
              <a16:creationId xmlns:a16="http://schemas.microsoft.com/office/drawing/2014/main" id="{3F99F59C-2074-4411-848D-23862F6B6164}"/>
            </a:ext>
          </a:extLst>
        </xdr:cNvPr>
        <xdr:cNvGrpSpPr>
          <a:grpSpLocks/>
        </xdr:cNvGrpSpPr>
      </xdr:nvGrpSpPr>
      <xdr:grpSpPr bwMode="auto">
        <a:xfrm rot="5400000">
          <a:off x="2405062" y="5881688"/>
          <a:ext cx="733425" cy="57150"/>
          <a:chOff x="123" y="549"/>
          <a:chExt cx="77" cy="6"/>
        </a:xfrm>
      </xdr:grpSpPr>
      <xdr:sp macro="" textlink="">
        <xdr:nvSpPr>
          <xdr:cNvPr id="1186" name="Line 162">
            <a:extLst>
              <a:ext uri="{FF2B5EF4-FFF2-40B4-BE49-F238E27FC236}">
                <a16:creationId xmlns:a16="http://schemas.microsoft.com/office/drawing/2014/main" id="{A1D123C5-B213-4EE4-8237-3FE613C7CF2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7" name="Freeform 163">
            <a:extLst>
              <a:ext uri="{FF2B5EF4-FFF2-40B4-BE49-F238E27FC236}">
                <a16:creationId xmlns:a16="http://schemas.microsoft.com/office/drawing/2014/main" id="{54A59784-5623-4382-A77A-11A3A24A736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8" name="Freeform 164">
            <a:extLst>
              <a:ext uri="{FF2B5EF4-FFF2-40B4-BE49-F238E27FC236}">
                <a16:creationId xmlns:a16="http://schemas.microsoft.com/office/drawing/2014/main" id="{9EF14C3C-E7F6-4722-9A6A-C044E1A4B0CC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171450</xdr:colOff>
      <xdr:row>15</xdr:row>
      <xdr:rowOff>1257300</xdr:rowOff>
    </xdr:from>
    <xdr:to>
      <xdr:col>13</xdr:col>
      <xdr:colOff>209550</xdr:colOff>
      <xdr:row>15</xdr:row>
      <xdr:rowOff>1419225</xdr:rowOff>
    </xdr:to>
    <xdr:sp macro="" textlink="">
      <xdr:nvSpPr>
        <xdr:cNvPr id="1189" name="Text Box 165">
          <a:extLst>
            <a:ext uri="{FF2B5EF4-FFF2-40B4-BE49-F238E27FC236}">
              <a16:creationId xmlns:a16="http://schemas.microsoft.com/office/drawing/2014/main" id="{81051F69-B7D3-4FC5-AC58-AAD70DB027BA}"/>
            </a:ext>
          </a:extLst>
        </xdr:cNvPr>
        <xdr:cNvSpPr txBox="1">
          <a:spLocks noChangeArrowheads="1"/>
        </xdr:cNvSpPr>
      </xdr:nvSpPr>
      <xdr:spPr bwMode="auto">
        <a:xfrm>
          <a:off x="3562350" y="63722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10.9m</a:t>
          </a:r>
        </a:p>
      </xdr:txBody>
    </xdr:sp>
    <xdr:clientData/>
  </xdr:twoCellAnchor>
  <xdr:twoCellAnchor>
    <xdr:from>
      <xdr:col>9</xdr:col>
      <xdr:colOff>142875</xdr:colOff>
      <xdr:row>15</xdr:row>
      <xdr:rowOff>200025</xdr:rowOff>
    </xdr:from>
    <xdr:to>
      <xdr:col>11</xdr:col>
      <xdr:colOff>28575</xdr:colOff>
      <xdr:row>15</xdr:row>
      <xdr:rowOff>371475</xdr:rowOff>
    </xdr:to>
    <xdr:sp macro="" textlink="">
      <xdr:nvSpPr>
        <xdr:cNvPr id="1190" name="Text Box 166">
          <a:extLst>
            <a:ext uri="{FF2B5EF4-FFF2-40B4-BE49-F238E27FC236}">
              <a16:creationId xmlns:a16="http://schemas.microsoft.com/office/drawing/2014/main" id="{3C27955F-59BC-491C-B7EB-1C81CA46AD21}"/>
            </a:ext>
          </a:extLst>
        </xdr:cNvPr>
        <xdr:cNvSpPr txBox="1">
          <a:spLocks noChangeArrowheads="1"/>
        </xdr:cNvSpPr>
      </xdr:nvSpPr>
      <xdr:spPr bwMode="auto">
        <a:xfrm>
          <a:off x="2590800" y="5314950"/>
          <a:ext cx="514350" cy="171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12</xdr:col>
      <xdr:colOff>142875</xdr:colOff>
      <xdr:row>15</xdr:row>
      <xdr:rowOff>200025</xdr:rowOff>
    </xdr:from>
    <xdr:to>
      <xdr:col>14</xdr:col>
      <xdr:colOff>28575</xdr:colOff>
      <xdr:row>15</xdr:row>
      <xdr:rowOff>371475</xdr:rowOff>
    </xdr:to>
    <xdr:sp macro="" textlink="">
      <xdr:nvSpPr>
        <xdr:cNvPr id="1191" name="Text Box 167">
          <a:extLst>
            <a:ext uri="{FF2B5EF4-FFF2-40B4-BE49-F238E27FC236}">
              <a16:creationId xmlns:a16="http://schemas.microsoft.com/office/drawing/2014/main" id="{7114C965-F439-40C0-B029-1AE1608470CF}"/>
            </a:ext>
          </a:extLst>
        </xdr:cNvPr>
        <xdr:cNvSpPr txBox="1">
          <a:spLocks noChangeArrowheads="1"/>
        </xdr:cNvSpPr>
      </xdr:nvSpPr>
      <xdr:spPr bwMode="auto">
        <a:xfrm>
          <a:off x="3533775" y="5314950"/>
          <a:ext cx="514350" cy="171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 editAs="oneCell">
    <xdr:from>
      <xdr:col>21</xdr:col>
      <xdr:colOff>247650</xdr:colOff>
      <xdr:row>15</xdr:row>
      <xdr:rowOff>428625</xdr:rowOff>
    </xdr:from>
    <xdr:to>
      <xdr:col>24</xdr:col>
      <xdr:colOff>0</xdr:colOff>
      <xdr:row>15</xdr:row>
      <xdr:rowOff>1123950</xdr:rowOff>
    </xdr:to>
    <xdr:pic>
      <xdr:nvPicPr>
        <xdr:cNvPr id="1192" name="Picture 168">
          <a:extLst>
            <a:ext uri="{FF2B5EF4-FFF2-40B4-BE49-F238E27FC236}">
              <a16:creationId xmlns:a16="http://schemas.microsoft.com/office/drawing/2014/main" id="{6F339D3F-8C86-4EB7-9910-23D6AFD9E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7475" y="554355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W18" sqref="W18"/>
    </sheetView>
  </sheetViews>
  <sheetFormatPr defaultRowHeight="12" x14ac:dyDescent="0.15"/>
  <cols>
    <col min="1" max="1" width="7.5" style="43" bestFit="1" customWidth="1"/>
    <col min="2" max="2" width="2.25" style="48" bestFit="1" customWidth="1"/>
    <col min="3" max="3" width="4.5" style="48" bestFit="1" customWidth="1"/>
    <col min="4" max="4" width="2.25" style="48" bestFit="1" customWidth="1"/>
    <col min="5" max="24" width="4.125" style="24" customWidth="1"/>
    <col min="25" max="16384" width="9" style="24"/>
  </cols>
  <sheetData>
    <row r="1" spans="1:30" ht="15" customHeight="1" x14ac:dyDescent="0.15">
      <c r="A1" s="52" t="s">
        <v>0</v>
      </c>
      <c r="B1" s="81"/>
      <c r="C1" s="81"/>
      <c r="D1" s="81"/>
      <c r="E1" s="53"/>
      <c r="F1" s="96" t="s">
        <v>55</v>
      </c>
      <c r="G1" s="81"/>
      <c r="H1" s="79" t="s">
        <v>1</v>
      </c>
      <c r="I1" s="79"/>
      <c r="J1" s="79"/>
      <c r="K1" s="79"/>
      <c r="L1" s="81" t="s">
        <v>48</v>
      </c>
      <c r="M1" s="53"/>
      <c r="N1" s="84" t="s">
        <v>49</v>
      </c>
      <c r="O1" s="53"/>
      <c r="P1" s="86">
        <v>46067</v>
      </c>
      <c r="Q1" s="87"/>
      <c r="R1" s="87"/>
      <c r="S1" s="88"/>
      <c r="T1" s="85" t="s">
        <v>4</v>
      </c>
      <c r="U1" s="85"/>
      <c r="V1" s="85" t="s">
        <v>60</v>
      </c>
      <c r="W1" s="85"/>
      <c r="X1" s="85"/>
    </row>
    <row r="2" spans="1:30" ht="7.5" customHeight="1" x14ac:dyDescent="0.15">
      <c r="A2" s="95"/>
      <c r="B2" s="82"/>
      <c r="C2" s="82"/>
      <c r="D2" s="82"/>
      <c r="E2" s="83"/>
      <c r="F2" s="95"/>
      <c r="G2" s="82"/>
      <c r="H2" s="80"/>
      <c r="I2" s="80"/>
      <c r="J2" s="80"/>
      <c r="K2" s="80"/>
      <c r="L2" s="82"/>
      <c r="M2" s="83"/>
      <c r="N2" s="62"/>
      <c r="O2" s="64"/>
      <c r="P2" s="89"/>
      <c r="Q2" s="90"/>
      <c r="R2" s="90"/>
      <c r="S2" s="91"/>
      <c r="T2" s="52" t="s">
        <v>8</v>
      </c>
      <c r="U2" s="53"/>
      <c r="V2" s="56">
        <v>45992</v>
      </c>
      <c r="W2" s="57"/>
      <c r="X2" s="58"/>
    </row>
    <row r="3" spans="1:30" ht="7.5" customHeight="1" x14ac:dyDescent="0.15">
      <c r="A3" s="62" t="s">
        <v>5</v>
      </c>
      <c r="B3" s="63"/>
      <c r="C3" s="63"/>
      <c r="D3" s="63"/>
      <c r="E3" s="64"/>
      <c r="F3" s="66" t="s">
        <v>56</v>
      </c>
      <c r="G3" s="67"/>
      <c r="H3" s="68" t="s">
        <v>1</v>
      </c>
      <c r="I3" s="68"/>
      <c r="J3" s="68"/>
      <c r="K3" s="68"/>
      <c r="L3" s="70" t="s">
        <v>50</v>
      </c>
      <c r="M3" s="71"/>
      <c r="N3" s="62"/>
      <c r="O3" s="64"/>
      <c r="P3" s="74">
        <v>5.9027777777777783E-2</v>
      </c>
      <c r="Q3" s="75"/>
      <c r="R3" s="75"/>
      <c r="S3" s="78" t="s">
        <v>7</v>
      </c>
      <c r="T3" s="54"/>
      <c r="U3" s="55"/>
      <c r="V3" s="59"/>
      <c r="W3" s="60"/>
      <c r="X3" s="61"/>
    </row>
    <row r="4" spans="1:30" ht="15" customHeight="1" x14ac:dyDescent="0.15">
      <c r="A4" s="54"/>
      <c r="B4" s="65"/>
      <c r="C4" s="65"/>
      <c r="D4" s="65"/>
      <c r="E4" s="55"/>
      <c r="F4" s="54"/>
      <c r="G4" s="65"/>
      <c r="H4" s="69"/>
      <c r="I4" s="69"/>
      <c r="J4" s="69"/>
      <c r="K4" s="69"/>
      <c r="L4" s="72"/>
      <c r="M4" s="73"/>
      <c r="N4" s="54"/>
      <c r="O4" s="55"/>
      <c r="P4" s="76"/>
      <c r="Q4" s="77"/>
      <c r="R4" s="77"/>
      <c r="S4" s="55"/>
      <c r="T4" s="85" t="s">
        <v>51</v>
      </c>
      <c r="U4" s="85"/>
      <c r="V4" s="85" t="s">
        <v>59</v>
      </c>
      <c r="W4" s="85"/>
      <c r="X4" s="85"/>
      <c r="Z4" s="25" t="s">
        <v>52</v>
      </c>
      <c r="AA4" s="26">
        <v>827</v>
      </c>
    </row>
    <row r="5" spans="1:30" ht="18" customHeight="1" x14ac:dyDescent="0.15">
      <c r="A5" s="107"/>
      <c r="B5" s="108"/>
      <c r="C5" s="108"/>
      <c r="D5" s="108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</row>
    <row r="6" spans="1:30" ht="18" customHeight="1" x14ac:dyDescent="0.15">
      <c r="A6" s="106"/>
      <c r="B6" s="102"/>
      <c r="C6" s="102"/>
      <c r="D6" s="102"/>
      <c r="X6" s="36"/>
    </row>
    <row r="7" spans="1:30" ht="18" customHeight="1" x14ac:dyDescent="0.15">
      <c r="A7" s="106"/>
      <c r="B7" s="102"/>
      <c r="C7" s="102"/>
      <c r="D7" s="102"/>
      <c r="X7" s="36"/>
    </row>
    <row r="8" spans="1:30" ht="18" customHeight="1" x14ac:dyDescent="0.15">
      <c r="A8" s="106"/>
      <c r="B8" s="102"/>
      <c r="C8" s="102"/>
      <c r="D8" s="102"/>
      <c r="X8" s="36"/>
    </row>
    <row r="9" spans="1:30" ht="18" customHeight="1" x14ac:dyDescent="0.15">
      <c r="A9" s="106"/>
      <c r="B9" s="102"/>
      <c r="C9" s="102"/>
      <c r="D9" s="102"/>
      <c r="X9" s="36"/>
    </row>
    <row r="10" spans="1:30" ht="147.75" customHeight="1" x14ac:dyDescent="0.15">
      <c r="A10" s="106"/>
      <c r="B10" s="102"/>
      <c r="C10" s="102"/>
      <c r="D10" s="102"/>
      <c r="X10" s="36"/>
    </row>
    <row r="11" spans="1:30" ht="18" customHeight="1" x14ac:dyDescent="0.15">
      <c r="A11" s="106"/>
      <c r="B11" s="102"/>
      <c r="C11" s="102"/>
      <c r="D11" s="102"/>
      <c r="X11" s="36"/>
    </row>
    <row r="12" spans="1:30" ht="18" customHeight="1" x14ac:dyDescent="0.15">
      <c r="A12" s="106"/>
      <c r="B12" s="102"/>
      <c r="C12" s="102"/>
      <c r="D12" s="102"/>
      <c r="X12" s="36"/>
    </row>
    <row r="13" spans="1:30" ht="18" customHeight="1" x14ac:dyDescent="0.15">
      <c r="A13" s="106"/>
      <c r="B13" s="102"/>
      <c r="C13" s="102"/>
      <c r="D13" s="102"/>
      <c r="X13" s="36"/>
    </row>
    <row r="14" spans="1:30" ht="18" customHeight="1" x14ac:dyDescent="0.15">
      <c r="A14" s="100"/>
      <c r="B14" s="101"/>
      <c r="C14" s="102"/>
      <c r="D14" s="102"/>
      <c r="X14" s="36"/>
      <c r="Z14" s="24">
        <v>40</v>
      </c>
      <c r="AA14" s="24">
        <f>Z14/3.6</f>
        <v>11.111111111111111</v>
      </c>
      <c r="AC14" s="51">
        <v>27</v>
      </c>
      <c r="AD14" s="51">
        <f>AC14/AA14</f>
        <v>2.4300000000000002</v>
      </c>
    </row>
    <row r="15" spans="1:30" ht="18" customHeight="1" x14ac:dyDescent="0.15">
      <c r="A15" s="103"/>
      <c r="B15" s="104"/>
      <c r="C15" s="102"/>
      <c r="D15" s="102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8"/>
      <c r="Z15" s="24">
        <v>30</v>
      </c>
      <c r="AA15" s="24">
        <f>Z15/3.6</f>
        <v>8.3333333333333339</v>
      </c>
      <c r="AC15" s="51">
        <v>26.2</v>
      </c>
      <c r="AD15" s="51">
        <f>AC15/AA15</f>
        <v>3.1439999999999997</v>
      </c>
    </row>
    <row r="16" spans="1:30" s="40" customFormat="1" ht="18" customHeight="1" x14ac:dyDescent="0.15">
      <c r="A16" s="105" t="s">
        <v>10</v>
      </c>
      <c r="B16" s="105"/>
      <c r="C16" s="105"/>
      <c r="D16" s="105"/>
      <c r="E16" s="30">
        <v>1</v>
      </c>
      <c r="F16" s="30">
        <v>2</v>
      </c>
      <c r="G16" s="30">
        <v>3</v>
      </c>
      <c r="H16" s="30">
        <v>4</v>
      </c>
      <c r="I16" s="30">
        <v>5</v>
      </c>
      <c r="J16" s="30">
        <v>6</v>
      </c>
      <c r="K16" s="30">
        <v>7</v>
      </c>
      <c r="L16" s="30">
        <v>8</v>
      </c>
      <c r="M16" s="30">
        <v>9</v>
      </c>
      <c r="N16" s="30">
        <v>10</v>
      </c>
      <c r="O16" s="30">
        <v>11</v>
      </c>
      <c r="P16" s="30">
        <v>12</v>
      </c>
      <c r="Q16" s="30">
        <v>13</v>
      </c>
      <c r="R16" s="39">
        <v>14</v>
      </c>
      <c r="S16" s="30">
        <v>15</v>
      </c>
      <c r="T16" s="30">
        <v>16</v>
      </c>
      <c r="U16" s="30">
        <v>17</v>
      </c>
      <c r="V16" s="30">
        <v>18</v>
      </c>
      <c r="W16" s="30">
        <v>19</v>
      </c>
      <c r="X16" s="30">
        <v>20</v>
      </c>
    </row>
    <row r="17" spans="1:25" s="43" customFormat="1" ht="18" customHeight="1" x14ac:dyDescent="0.15">
      <c r="A17" s="105" t="s">
        <v>11</v>
      </c>
      <c r="B17" s="105"/>
      <c r="C17" s="105"/>
      <c r="D17" s="105"/>
      <c r="E17" s="41" t="s">
        <v>23</v>
      </c>
      <c r="F17" s="41" t="s">
        <v>24</v>
      </c>
      <c r="G17" s="41" t="s">
        <v>25</v>
      </c>
      <c r="H17" s="41" t="s">
        <v>26</v>
      </c>
      <c r="I17" s="41" t="s">
        <v>27</v>
      </c>
      <c r="J17" s="41" t="s">
        <v>28</v>
      </c>
      <c r="K17" s="41" t="s">
        <v>29</v>
      </c>
      <c r="L17" s="41" t="s">
        <v>30</v>
      </c>
      <c r="M17" s="41" t="s">
        <v>31</v>
      </c>
      <c r="N17" s="42" t="s">
        <v>32</v>
      </c>
      <c r="O17" s="41"/>
      <c r="P17" s="41"/>
      <c r="Q17" s="41"/>
      <c r="R17" s="42"/>
      <c r="S17" s="41"/>
      <c r="T17" s="41"/>
      <c r="U17" s="41"/>
      <c r="V17" s="41"/>
      <c r="W17" s="41"/>
      <c r="X17" s="41"/>
    </row>
    <row r="18" spans="1:25" s="43" customFormat="1" ht="125.1" customHeight="1" x14ac:dyDescent="0.15">
      <c r="A18" s="92"/>
      <c r="B18" s="93"/>
      <c r="C18" s="93"/>
      <c r="D18" s="94"/>
      <c r="E18" s="44"/>
      <c r="F18" s="45"/>
      <c r="G18" s="45"/>
      <c r="H18" s="45"/>
      <c r="I18" s="45"/>
      <c r="J18" s="44"/>
      <c r="K18" s="45"/>
      <c r="L18" s="45"/>
      <c r="M18" s="45"/>
      <c r="N18" s="45"/>
      <c r="O18" s="44"/>
      <c r="P18" s="45"/>
      <c r="Q18" s="45"/>
      <c r="R18" s="45"/>
      <c r="S18" s="45"/>
      <c r="T18" s="45"/>
      <c r="U18" s="45"/>
      <c r="V18" s="45"/>
      <c r="W18" s="45"/>
      <c r="X18" s="42"/>
      <c r="Y18" s="46"/>
    </row>
    <row r="19" spans="1:25" ht="18" customHeight="1" x14ac:dyDescent="0.15">
      <c r="A19" s="92" t="s">
        <v>57</v>
      </c>
      <c r="B19" s="93"/>
      <c r="C19" s="93" t="s">
        <v>34</v>
      </c>
      <c r="D19" s="94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 spans="1:25" ht="18" customHeight="1" x14ac:dyDescent="0.15">
      <c r="A20" s="92" t="s">
        <v>35</v>
      </c>
      <c r="B20" s="93"/>
      <c r="C20" s="93" t="s">
        <v>36</v>
      </c>
      <c r="D20" s="94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spans="1:25" ht="18" customHeight="1" x14ac:dyDescent="0.15">
      <c r="A21" s="92" t="s">
        <v>58</v>
      </c>
      <c r="B21" s="93"/>
      <c r="C21" s="93" t="s">
        <v>38</v>
      </c>
      <c r="D21" s="94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 spans="1:25" ht="18" customHeight="1" x14ac:dyDescent="0.15">
      <c r="A22" s="92" t="s">
        <v>39</v>
      </c>
      <c r="B22" s="93"/>
      <c r="C22" s="93" t="s">
        <v>40</v>
      </c>
      <c r="D22" s="94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spans="1:25" ht="18" customHeight="1" x14ac:dyDescent="0.15">
      <c r="A23" s="92"/>
      <c r="B23" s="93"/>
      <c r="C23" s="93"/>
      <c r="D23" s="94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spans="1:25" ht="18" customHeight="1" x14ac:dyDescent="0.15">
      <c r="A24" s="92"/>
      <c r="B24" s="93"/>
      <c r="C24" s="93"/>
      <c r="D24" s="94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spans="1:25" ht="18" customHeight="1" x14ac:dyDescent="0.15">
      <c r="A25" s="97"/>
      <c r="B25" s="98"/>
      <c r="C25" s="98"/>
      <c r="D25" s="99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</row>
    <row r="26" spans="1:25" ht="18" customHeight="1" x14ac:dyDescent="0.15">
      <c r="A26" s="97"/>
      <c r="B26" s="98"/>
      <c r="C26" s="98"/>
      <c r="D26" s="99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spans="1:25" ht="18" customHeight="1" x14ac:dyDescent="0.15">
      <c r="A27" s="97"/>
      <c r="B27" s="98"/>
      <c r="C27" s="98"/>
      <c r="D27" s="99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 spans="1:25" ht="18" customHeight="1" x14ac:dyDescent="0.15">
      <c r="A28" s="97"/>
      <c r="B28" s="98"/>
      <c r="C28" s="98"/>
      <c r="D28" s="99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 spans="1:25" ht="18" customHeight="1" x14ac:dyDescent="0.15">
      <c r="A29" s="97"/>
      <c r="B29" s="98"/>
      <c r="C29" s="98"/>
      <c r="D29" s="99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 spans="1:25" ht="18" customHeight="1" x14ac:dyDescent="0.15">
      <c r="A30" s="97"/>
      <c r="B30" s="98"/>
      <c r="C30" s="98"/>
      <c r="D30" s="99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spans="1:25" ht="18" customHeight="1" x14ac:dyDescent="0.15">
      <c r="A31" s="97"/>
      <c r="B31" s="98"/>
      <c r="C31" s="98"/>
      <c r="D31" s="99"/>
      <c r="E31" s="31"/>
      <c r="F31" s="31"/>
      <c r="G31" s="31"/>
      <c r="H31" s="47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spans="1:25" ht="18" customHeight="1" x14ac:dyDescent="0.15">
      <c r="A32" s="97"/>
      <c r="B32" s="98"/>
      <c r="C32" s="98"/>
      <c r="D32" s="99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spans="1:27" ht="18" customHeight="1" x14ac:dyDescent="0.15">
      <c r="A33" s="27" t="s">
        <v>53</v>
      </c>
      <c r="B33" s="28"/>
      <c r="C33" s="29"/>
      <c r="D33" s="49"/>
      <c r="E33" s="30">
        <v>109</v>
      </c>
      <c r="F33" s="30"/>
      <c r="G33" s="30"/>
      <c r="H33" s="30"/>
      <c r="I33" s="30"/>
      <c r="J33" s="30">
        <v>109</v>
      </c>
      <c r="K33" s="30"/>
      <c r="L33" s="30"/>
      <c r="M33" s="30"/>
      <c r="N33" s="30"/>
      <c r="O33" s="30"/>
      <c r="P33" s="30"/>
      <c r="Q33" s="30"/>
      <c r="R33" s="30"/>
      <c r="S33" s="31"/>
      <c r="T33" s="31"/>
      <c r="U33" s="31"/>
      <c r="V33" s="31"/>
      <c r="W33" s="31"/>
      <c r="X33" s="31"/>
    </row>
    <row r="34" spans="1:27" ht="18" customHeight="1" x14ac:dyDescent="0.15">
      <c r="A34" s="27" t="s">
        <v>54</v>
      </c>
      <c r="B34" s="28" t="s">
        <v>42</v>
      </c>
      <c r="C34" s="32">
        <f>SUM(E34:X34)</f>
        <v>49</v>
      </c>
      <c r="D34" s="50" t="s">
        <v>43</v>
      </c>
      <c r="E34" s="30">
        <v>10</v>
      </c>
      <c r="F34" s="30">
        <v>5</v>
      </c>
      <c r="G34" s="30">
        <v>2</v>
      </c>
      <c r="H34" s="30">
        <v>3</v>
      </c>
      <c r="I34" s="30">
        <v>3</v>
      </c>
      <c r="J34" s="30">
        <v>13</v>
      </c>
      <c r="K34" s="30">
        <v>5</v>
      </c>
      <c r="L34" s="30">
        <v>2</v>
      </c>
      <c r="M34" s="30">
        <v>3</v>
      </c>
      <c r="N34" s="30">
        <v>3</v>
      </c>
      <c r="O34" s="30"/>
      <c r="P34" s="30"/>
      <c r="Q34" s="30"/>
      <c r="R34" s="30"/>
      <c r="S34" s="31"/>
      <c r="T34" s="31"/>
      <c r="U34" s="31"/>
      <c r="V34" s="31"/>
      <c r="W34" s="31"/>
      <c r="X34" s="31"/>
      <c r="Y34" s="33"/>
      <c r="Z34" s="24">
        <v>70</v>
      </c>
      <c r="AA34" s="24">
        <f>Z34-INT(Z34/8)-3</f>
        <v>59</v>
      </c>
    </row>
    <row r="35" spans="1:27" ht="18" customHeight="1" x14ac:dyDescent="0.15">
      <c r="A35" s="27" t="s">
        <v>16</v>
      </c>
      <c r="B35" s="28" t="s">
        <v>42</v>
      </c>
      <c r="C35" s="32">
        <f>SUM(E35:X35)</f>
        <v>90</v>
      </c>
      <c r="D35" s="50" t="s">
        <v>43</v>
      </c>
      <c r="E35" s="30">
        <v>47</v>
      </c>
      <c r="F35" s="30">
        <v>5</v>
      </c>
      <c r="G35" s="30">
        <v>2</v>
      </c>
      <c r="H35" s="30">
        <v>3</v>
      </c>
      <c r="I35" s="30">
        <v>3</v>
      </c>
      <c r="J35" s="30">
        <v>17</v>
      </c>
      <c r="K35" s="30">
        <v>5</v>
      </c>
      <c r="L35" s="30">
        <v>2</v>
      </c>
      <c r="M35" s="30">
        <v>3</v>
      </c>
      <c r="N35" s="30">
        <v>3</v>
      </c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3"/>
      <c r="Z35" s="24">
        <v>140</v>
      </c>
      <c r="AA35" s="24">
        <f>Z35-INT(Z35/8)-3</f>
        <v>120</v>
      </c>
    </row>
    <row r="36" spans="1:27" ht="18" customHeight="1" x14ac:dyDescent="0.15">
      <c r="A36" s="92" t="s">
        <v>17</v>
      </c>
      <c r="B36" s="93"/>
      <c r="C36" s="93"/>
      <c r="D36" s="94"/>
      <c r="E36" s="30">
        <v>110</v>
      </c>
      <c r="F36" s="30">
        <v>110</v>
      </c>
      <c r="G36" s="30">
        <v>110</v>
      </c>
      <c r="H36" s="30">
        <v>10</v>
      </c>
      <c r="I36" s="30">
        <v>10</v>
      </c>
      <c r="J36" s="30">
        <v>110</v>
      </c>
      <c r="K36" s="30">
        <v>110</v>
      </c>
      <c r="L36" s="30">
        <v>110</v>
      </c>
      <c r="M36" s="30">
        <v>10</v>
      </c>
      <c r="N36" s="30">
        <v>10</v>
      </c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spans="1:27" ht="18" customHeight="1" x14ac:dyDescent="0.15">
      <c r="A37" s="92" t="s">
        <v>18</v>
      </c>
      <c r="B37" s="93"/>
      <c r="C37" s="93"/>
      <c r="D37" s="94"/>
      <c r="E37" s="30">
        <v>6</v>
      </c>
      <c r="F37" s="30">
        <v>0.95</v>
      </c>
      <c r="G37" s="30">
        <v>0.95</v>
      </c>
      <c r="H37" s="30">
        <v>0.95</v>
      </c>
      <c r="I37" s="30">
        <v>0.95</v>
      </c>
      <c r="J37" s="30">
        <v>6</v>
      </c>
      <c r="K37" s="30">
        <v>0.95</v>
      </c>
      <c r="L37" s="30">
        <v>0.95</v>
      </c>
      <c r="M37" s="30">
        <v>0.95</v>
      </c>
      <c r="N37" s="30">
        <v>0.95</v>
      </c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spans="1:27" ht="18" customHeight="1" x14ac:dyDescent="0.15">
      <c r="A38" s="92" t="s">
        <v>19</v>
      </c>
      <c r="B38" s="93"/>
      <c r="C38" s="93"/>
      <c r="D38" s="94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</sheetData>
  <mergeCells count="74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  <mergeCell ref="C25:D25"/>
    <mergeCell ref="A26:B26"/>
    <mergeCell ref="C26:D26"/>
    <mergeCell ref="A27:B27"/>
    <mergeCell ref="C27:D27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1:U1"/>
  </mergeCells>
  <phoneticPr fontId="1"/>
  <pageMargins left="0.78740157480314965" right="0" top="0.39370078740157483" bottom="0" header="0.19685039370078741" footer="0.19685039370078741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view="pageBreakPreview" zoomScaleNormal="100" zoomScaleSheetLayoutView="100" workbookViewId="0">
      <selection sqref="A1:E1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34" t="s">
        <v>0</v>
      </c>
      <c r="B1" s="134"/>
      <c r="C1" s="134"/>
      <c r="D1" s="134"/>
      <c r="E1" s="134"/>
      <c r="F1" s="137" t="s">
        <v>20</v>
      </c>
      <c r="G1" s="138"/>
      <c r="H1" s="139" t="s">
        <v>46</v>
      </c>
      <c r="I1" s="140"/>
      <c r="J1" s="140"/>
      <c r="K1" s="140"/>
      <c r="L1" s="140"/>
      <c r="M1" s="140"/>
      <c r="N1" s="141" t="s">
        <v>2</v>
      </c>
      <c r="O1" s="141"/>
      <c r="P1" s="134" t="s">
        <v>3</v>
      </c>
      <c r="Q1" s="134"/>
      <c r="R1" s="134"/>
      <c r="S1" s="134"/>
      <c r="T1" s="131" t="s">
        <v>4</v>
      </c>
      <c r="U1" s="131"/>
      <c r="V1" s="125" t="s">
        <v>21</v>
      </c>
      <c r="W1" s="125"/>
      <c r="X1" s="125"/>
    </row>
    <row r="2" spans="1:25" ht="20.100000000000001" customHeight="1" x14ac:dyDescent="0.15">
      <c r="A2" s="126" t="s">
        <v>5</v>
      </c>
      <c r="B2" s="126"/>
      <c r="C2" s="126"/>
      <c r="D2" s="126"/>
      <c r="E2" s="126"/>
      <c r="F2" s="127" t="s">
        <v>22</v>
      </c>
      <c r="G2" s="122"/>
      <c r="H2" s="133" t="s">
        <v>1</v>
      </c>
      <c r="I2" s="133"/>
      <c r="J2" s="133"/>
      <c r="K2" s="133"/>
      <c r="L2" s="142" t="s">
        <v>47</v>
      </c>
      <c r="M2" s="143"/>
      <c r="N2" s="126" t="s">
        <v>6</v>
      </c>
      <c r="O2" s="126"/>
      <c r="P2" s="128">
        <v>0.67569444444444438</v>
      </c>
      <c r="Q2" s="129"/>
      <c r="R2" s="130"/>
      <c r="S2" s="3" t="s">
        <v>7</v>
      </c>
      <c r="T2" s="131" t="s">
        <v>8</v>
      </c>
      <c r="U2" s="131"/>
      <c r="V2" s="132" t="s">
        <v>9</v>
      </c>
      <c r="W2" s="132"/>
      <c r="X2" s="132"/>
    </row>
    <row r="3" spans="1:25" ht="18" customHeight="1" x14ac:dyDescent="0.15">
      <c r="A3" s="135"/>
      <c r="B3" s="136"/>
      <c r="C3" s="136"/>
      <c r="D3" s="13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18"/>
      <c r="B4" s="119"/>
      <c r="C4" s="119"/>
      <c r="D4" s="119"/>
      <c r="X4" s="7"/>
    </row>
    <row r="5" spans="1:25" ht="18" customHeight="1" x14ac:dyDescent="0.15">
      <c r="A5" s="118"/>
      <c r="B5" s="119"/>
      <c r="C5" s="119"/>
      <c r="D5" s="119"/>
      <c r="X5" s="7"/>
    </row>
    <row r="6" spans="1:25" ht="18" customHeight="1" x14ac:dyDescent="0.15">
      <c r="A6" s="118"/>
      <c r="B6" s="119"/>
      <c r="C6" s="119"/>
      <c r="D6" s="119"/>
      <c r="X6" s="7"/>
    </row>
    <row r="7" spans="1:25" ht="18" customHeight="1" x14ac:dyDescent="0.15">
      <c r="A7" s="118"/>
      <c r="B7" s="119"/>
      <c r="C7" s="119"/>
      <c r="D7" s="119"/>
      <c r="X7" s="7"/>
    </row>
    <row r="8" spans="1:25" ht="147.75" customHeight="1" x14ac:dyDescent="0.15">
      <c r="A8" s="118"/>
      <c r="B8" s="119"/>
      <c r="C8" s="119"/>
      <c r="D8" s="119"/>
      <c r="X8" s="7"/>
    </row>
    <row r="9" spans="1:25" ht="18" customHeight="1" x14ac:dyDescent="0.15">
      <c r="A9" s="118"/>
      <c r="B9" s="119"/>
      <c r="C9" s="119"/>
      <c r="D9" s="119"/>
      <c r="X9" s="7"/>
    </row>
    <row r="10" spans="1:25" ht="18" customHeight="1" x14ac:dyDescent="0.15">
      <c r="A10" s="118"/>
      <c r="B10" s="119"/>
      <c r="C10" s="119"/>
      <c r="D10" s="119"/>
      <c r="X10" s="7"/>
    </row>
    <row r="11" spans="1:25" ht="18" customHeight="1" x14ac:dyDescent="0.15">
      <c r="A11" s="118"/>
      <c r="B11" s="119"/>
      <c r="C11" s="119"/>
      <c r="D11" s="119"/>
      <c r="X11" s="7"/>
    </row>
    <row r="12" spans="1:25" ht="18" customHeight="1" x14ac:dyDescent="0.15">
      <c r="A12" s="120"/>
      <c r="B12" s="121"/>
      <c r="C12" s="119"/>
      <c r="D12" s="119"/>
      <c r="X12" s="7"/>
    </row>
    <row r="13" spans="1:25" ht="18" customHeight="1" x14ac:dyDescent="0.15">
      <c r="A13" s="122"/>
      <c r="B13" s="123"/>
      <c r="C13" s="119"/>
      <c r="D13" s="11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3"/>
    </row>
    <row r="14" spans="1:25" s="10" customFormat="1" ht="18" customHeight="1" x14ac:dyDescent="0.15">
      <c r="A14" s="124" t="s">
        <v>10</v>
      </c>
      <c r="B14" s="124"/>
      <c r="C14" s="124"/>
      <c r="D14" s="124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3" customFormat="1" ht="18" customHeight="1" x14ac:dyDescent="0.15">
      <c r="A15" s="124" t="s">
        <v>11</v>
      </c>
      <c r="B15" s="124"/>
      <c r="C15" s="124"/>
      <c r="D15" s="124"/>
      <c r="E15" s="11" t="s">
        <v>23</v>
      </c>
      <c r="F15" s="11" t="s">
        <v>24</v>
      </c>
      <c r="G15" s="11" t="s">
        <v>25</v>
      </c>
      <c r="H15" s="11" t="s">
        <v>26</v>
      </c>
      <c r="I15" s="11" t="s">
        <v>27</v>
      </c>
      <c r="J15" s="11" t="s">
        <v>28</v>
      </c>
      <c r="K15" s="11" t="s">
        <v>29</v>
      </c>
      <c r="L15" s="11" t="s">
        <v>30</v>
      </c>
      <c r="M15" s="11" t="s">
        <v>31</v>
      </c>
      <c r="N15" s="12" t="s">
        <v>32</v>
      </c>
      <c r="O15" s="11"/>
      <c r="P15" s="11"/>
      <c r="Q15" s="11"/>
      <c r="R15" s="12"/>
      <c r="S15" s="11"/>
      <c r="T15" s="11"/>
      <c r="U15" s="11"/>
      <c r="V15" s="11"/>
      <c r="W15" s="11"/>
      <c r="X15" s="11"/>
    </row>
    <row r="16" spans="1:25" s="13" customFormat="1" ht="125.1" customHeight="1" x14ac:dyDescent="0.15">
      <c r="A16" s="115"/>
      <c r="B16" s="116"/>
      <c r="C16" s="116"/>
      <c r="D16" s="117"/>
      <c r="E16" s="14"/>
      <c r="F16" s="15"/>
      <c r="G16" s="15"/>
      <c r="H16" s="15"/>
      <c r="I16" s="15"/>
      <c r="J16" s="14"/>
      <c r="K16" s="15"/>
      <c r="L16" s="15"/>
      <c r="M16" s="15"/>
      <c r="N16" s="15"/>
      <c r="O16" s="14"/>
      <c r="P16" s="15"/>
      <c r="Q16" s="15"/>
      <c r="R16" s="15"/>
      <c r="S16" s="15"/>
      <c r="T16" s="15"/>
      <c r="U16" s="15"/>
      <c r="V16" s="15"/>
      <c r="W16" s="15"/>
      <c r="X16" s="12"/>
      <c r="Y16" s="16"/>
    </row>
    <row r="17" spans="1:24" ht="18" customHeight="1" x14ac:dyDescent="0.15">
      <c r="A17" s="115" t="s">
        <v>33</v>
      </c>
      <c r="B17" s="116"/>
      <c r="C17" s="116" t="s">
        <v>34</v>
      </c>
      <c r="D17" s="1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8" customHeight="1" x14ac:dyDescent="0.15">
      <c r="A18" s="115" t="s">
        <v>35</v>
      </c>
      <c r="B18" s="116"/>
      <c r="C18" s="116" t="s">
        <v>36</v>
      </c>
      <c r="D18" s="1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8" customHeight="1" x14ac:dyDescent="0.15">
      <c r="A19" s="115" t="s">
        <v>37</v>
      </c>
      <c r="B19" s="116"/>
      <c r="C19" s="116" t="s">
        <v>38</v>
      </c>
      <c r="D19" s="1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8" customHeight="1" x14ac:dyDescent="0.15">
      <c r="A20" s="115" t="s">
        <v>39</v>
      </c>
      <c r="B20" s="116"/>
      <c r="C20" s="116" t="s">
        <v>40</v>
      </c>
      <c r="D20" s="1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8" customHeight="1" x14ac:dyDescent="0.15">
      <c r="A21" s="115"/>
      <c r="B21" s="116"/>
      <c r="C21" s="116"/>
      <c r="D21" s="1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8" customHeight="1" x14ac:dyDescent="0.15">
      <c r="A22" s="115"/>
      <c r="B22" s="116"/>
      <c r="C22" s="116"/>
      <c r="D22" s="1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8" customHeight="1" x14ac:dyDescent="0.15">
      <c r="A23" s="109"/>
      <c r="B23" s="110"/>
      <c r="C23" s="110"/>
      <c r="D23" s="111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8" customHeight="1" x14ac:dyDescent="0.15">
      <c r="A24" s="109"/>
      <c r="B24" s="110"/>
      <c r="C24" s="110"/>
      <c r="D24" s="111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8" customHeight="1" x14ac:dyDescent="0.15">
      <c r="A25" s="109"/>
      <c r="B25" s="110"/>
      <c r="C25" s="110"/>
      <c r="D25" s="111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8" customHeight="1" x14ac:dyDescent="0.15">
      <c r="A26" s="109"/>
      <c r="B26" s="110"/>
      <c r="C26" s="110"/>
      <c r="D26" s="111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8" customHeight="1" x14ac:dyDescent="0.15">
      <c r="A27" s="109"/>
      <c r="B27" s="110"/>
      <c r="C27" s="110"/>
      <c r="D27" s="11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8" customHeight="1" x14ac:dyDescent="0.15">
      <c r="A28" s="109"/>
      <c r="B28" s="110"/>
      <c r="C28" s="110"/>
      <c r="D28" s="11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8" customHeight="1" x14ac:dyDescent="0.15">
      <c r="A29" s="109"/>
      <c r="B29" s="110"/>
      <c r="C29" s="110"/>
      <c r="D29" s="111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8" customHeight="1" x14ac:dyDescent="0.15">
      <c r="A30" s="109"/>
      <c r="B30" s="110"/>
      <c r="C30" s="110"/>
      <c r="D30" s="111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8" customHeight="1" x14ac:dyDescent="0.15">
      <c r="A31" s="112" t="s">
        <v>12</v>
      </c>
      <c r="B31" s="113"/>
      <c r="C31" s="113"/>
      <c r="D31" s="114"/>
      <c r="E31" s="17"/>
      <c r="F31" s="17"/>
      <c r="G31" s="17"/>
      <c r="H31" s="17"/>
      <c r="I31" s="1" t="s">
        <v>41</v>
      </c>
      <c r="J31" s="17"/>
      <c r="K31" s="17"/>
      <c r="L31" s="17"/>
      <c r="M31" s="17"/>
      <c r="N31" s="1" t="s">
        <v>41</v>
      </c>
      <c r="O31" s="144" t="s">
        <v>14</v>
      </c>
      <c r="P31" s="145"/>
      <c r="Q31" s="148">
        <v>2</v>
      </c>
      <c r="R31" s="17"/>
      <c r="S31" s="17"/>
      <c r="T31" s="17"/>
      <c r="U31" s="17"/>
      <c r="V31" s="17"/>
      <c r="W31" s="17"/>
      <c r="X31" s="17"/>
    </row>
    <row r="32" spans="1:24" ht="18" customHeight="1" x14ac:dyDescent="0.15">
      <c r="A32" s="112" t="s">
        <v>15</v>
      </c>
      <c r="B32" s="113"/>
      <c r="C32" s="113"/>
      <c r="D32" s="114"/>
      <c r="E32" s="1" t="s">
        <v>13</v>
      </c>
      <c r="F32" s="17"/>
      <c r="G32" s="17"/>
      <c r="H32" s="17"/>
      <c r="I32" s="17"/>
      <c r="J32" s="1" t="s">
        <v>13</v>
      </c>
      <c r="K32" s="17"/>
      <c r="L32" s="17"/>
      <c r="M32" s="17"/>
      <c r="N32" s="17"/>
      <c r="O32" s="146"/>
      <c r="P32" s="147"/>
      <c r="Q32" s="149"/>
      <c r="R32" s="17"/>
      <c r="S32" s="17"/>
      <c r="T32" s="17"/>
      <c r="U32" s="17"/>
      <c r="V32" s="17"/>
      <c r="W32" s="17"/>
      <c r="X32" s="17"/>
    </row>
    <row r="33" spans="1:24" ht="18" customHeight="1" x14ac:dyDescent="0.15">
      <c r="A33" s="19" t="s">
        <v>16</v>
      </c>
      <c r="B33" s="20" t="s">
        <v>42</v>
      </c>
      <c r="C33" s="21">
        <f>SUM(E33:X33)</f>
        <v>80</v>
      </c>
      <c r="D33" s="22" t="s">
        <v>43</v>
      </c>
      <c r="E33" s="1">
        <v>41</v>
      </c>
      <c r="F33" s="1">
        <v>5</v>
      </c>
      <c r="G33" s="1">
        <v>2</v>
      </c>
      <c r="H33" s="1">
        <v>3</v>
      </c>
      <c r="I33" s="1">
        <v>3</v>
      </c>
      <c r="J33" s="1">
        <v>13</v>
      </c>
      <c r="K33" s="1">
        <v>5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12" t="s">
        <v>17</v>
      </c>
      <c r="B34" s="113"/>
      <c r="C34" s="113"/>
      <c r="D34" s="114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12" t="s">
        <v>18</v>
      </c>
      <c r="B35" s="113"/>
      <c r="C35" s="113"/>
      <c r="D35" s="114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12" t="s">
        <v>19</v>
      </c>
      <c r="B36" s="113"/>
      <c r="C36" s="113"/>
      <c r="D36" s="114"/>
      <c r="E36" s="4" t="s">
        <v>44</v>
      </c>
      <c r="F36" s="4" t="s">
        <v>45</v>
      </c>
      <c r="G36" s="4" t="s">
        <v>45</v>
      </c>
      <c r="H36" s="4" t="s">
        <v>45</v>
      </c>
      <c r="I36" s="4" t="s">
        <v>45</v>
      </c>
      <c r="J36" s="4" t="s">
        <v>45</v>
      </c>
      <c r="K36" s="4" t="s">
        <v>44</v>
      </c>
      <c r="L36" s="4" t="s">
        <v>44</v>
      </c>
      <c r="M36" s="4" t="s">
        <v>44</v>
      </c>
      <c r="N36" s="4" t="s">
        <v>44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A4:B4"/>
    <mergeCell ref="C4:D4"/>
    <mergeCell ref="A5:B5"/>
    <mergeCell ref="C5:D5"/>
    <mergeCell ref="A6:B6"/>
    <mergeCell ref="C6:D6"/>
    <mergeCell ref="H1:M1"/>
    <mergeCell ref="N1:O1"/>
    <mergeCell ref="L2:M2"/>
    <mergeCell ref="O31:P32"/>
    <mergeCell ref="Q31:Q32"/>
    <mergeCell ref="A10:B10"/>
    <mergeCell ref="C10:D10"/>
    <mergeCell ref="V1:X1"/>
    <mergeCell ref="A2:E2"/>
    <mergeCell ref="F2:G2"/>
    <mergeCell ref="N2:O2"/>
    <mergeCell ref="P2:R2"/>
    <mergeCell ref="T2:U2"/>
    <mergeCell ref="V2:X2"/>
    <mergeCell ref="H2:K2"/>
    <mergeCell ref="P1:S1"/>
    <mergeCell ref="A3:B3"/>
    <mergeCell ref="C3:D3"/>
    <mergeCell ref="T1:U1"/>
    <mergeCell ref="A1:E1"/>
    <mergeCell ref="F1:G1"/>
    <mergeCell ref="C7:D7"/>
    <mergeCell ref="A8:B8"/>
    <mergeCell ref="C8:D8"/>
    <mergeCell ref="A9:B9"/>
    <mergeCell ref="C9:D9"/>
    <mergeCell ref="A7:B7"/>
    <mergeCell ref="A18:B18"/>
    <mergeCell ref="C18:D18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17:B17"/>
    <mergeCell ref="C17:D17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6:D36"/>
    <mergeCell ref="A31:D31"/>
    <mergeCell ref="A30:B30"/>
    <mergeCell ref="C30:D30"/>
    <mergeCell ref="A34:D34"/>
    <mergeCell ref="A35:D35"/>
    <mergeCell ref="A32:D32"/>
  </mergeCells>
  <phoneticPr fontId="1"/>
  <pageMargins left="0.78740157480314965" right="0.19685039370078741" top="0.39370078740157483" bottom="0.59055118110236227" header="0.19685039370078741" footer="0.19685039370078741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2026-02-14</vt:lpstr>
      <vt:lpstr>250164</vt:lpstr>
      <vt:lpstr>'2026-02-14'!Print_Area</vt:lpstr>
      <vt:lpstr>'250164'!Print_Area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2025-06-17T02:36:07Z</cp:lastPrinted>
  <dcterms:created xsi:type="dcterms:W3CDTF">2002-07-31T02:52:36Z</dcterms:created>
  <dcterms:modified xsi:type="dcterms:W3CDTF">2026-02-25T11:04:50Z</dcterms:modified>
</cp:coreProperties>
</file>