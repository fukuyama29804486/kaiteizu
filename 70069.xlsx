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AF4D3704-D4BF-4BDB-A044-DA3E6B9B65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1" sheetId="2" r:id="rId1"/>
    <sheet name="420069" sheetId="1" r:id="rId2"/>
  </sheets>
  <definedNames>
    <definedName name="_xlnm.Print_Area" localSheetId="0">'2026-02-11'!$A$1:$X$38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5" i="2" l="1"/>
  <c r="AA34" i="2"/>
  <c r="C34" i="2"/>
  <c r="AA15" i="2"/>
  <c r="AD15" i="2" s="1"/>
  <c r="AA14" i="2"/>
  <c r="AD14" i="2" s="1"/>
  <c r="C35" i="2"/>
  <c r="C33" i="1"/>
</calcChain>
</file>

<file path=xl/sharedStrings.xml><?xml version="1.0" encoding="utf-8"?>
<sst xmlns="http://schemas.openxmlformats.org/spreadsheetml/2006/main" count="96" uniqueCount="55">
  <si>
    <t>規制番号　名称</t>
    <rPh sb="0" eb="2">
      <t>キセイ</t>
    </rPh>
    <rPh sb="2" eb="4">
      <t>バンゴウ</t>
    </rPh>
    <rPh sb="5" eb="7">
      <t>メイショウ</t>
    </rPh>
    <phoneticPr fontId="2"/>
  </si>
  <si>
    <t>梶島山</t>
    <rPh sb="0" eb="1">
      <t>カジ</t>
    </rPh>
    <rPh sb="1" eb="2">
      <t>ジマ</t>
    </rPh>
    <rPh sb="2" eb="3">
      <t>ヤマ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</si>
  <si>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</si>
  <si>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</si>
  <si>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</si>
  <si>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</si>
  <si>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</si>
  <si>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</si>
  <si>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</si>
  <si>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</si>
  <si>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</si>
  <si>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</si>
  <si>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</si>
  <si>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</si>
  <si>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</si>
  <si>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</si>
  <si>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</si>
  <si>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</si>
  <si>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R</t>
    <phoneticPr fontId="2"/>
  </si>
  <si>
    <t xml:space="preserve">  （ １Ｐ ）</t>
    <phoneticPr fontId="2"/>
  </si>
  <si>
    <t>[ 1P ]</t>
    <phoneticPr fontId="2"/>
  </si>
  <si>
    <t>１</t>
    <phoneticPr fontId="2"/>
  </si>
  <si>
    <t>[ 1V ]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</si>
  <si>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</si>
  <si>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</si>
  <si>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</si>
  <si>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</si>
  <si>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</si>
  <si>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</si>
  <si>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</si>
  <si>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</si>
  <si>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</si>
  <si>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</si>
  <si>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</si>
  <si>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7-0069 </t>
    <phoneticPr fontId="2"/>
  </si>
  <si>
    <t>070069</t>
    <phoneticPr fontId="2"/>
  </si>
  <si>
    <t>２Ｐ</t>
    <phoneticPr fontId="2"/>
  </si>
  <si>
    <t>ＵＣ－ＵＤ（ＴＣＵ）</t>
    <phoneticPr fontId="2"/>
  </si>
  <si>
    <t>　</t>
    <phoneticPr fontId="2"/>
  </si>
  <si>
    <t>3N1848</t>
    <phoneticPr fontId="2"/>
  </si>
  <si>
    <t>10:23～</t>
    <phoneticPr fontId="2"/>
  </si>
  <si>
    <t>(S9-TCU)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</si>
  <si>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</si>
  <si>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</si>
  <si>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～</t>
    <phoneticPr fontId="2"/>
  </si>
  <si>
    <t>メーカー</t>
    <phoneticPr fontId="2"/>
  </si>
  <si>
    <t>Int№：</t>
    <phoneticPr fontId="2"/>
  </si>
  <si>
    <t>梶島山</t>
    <rPh sb="0" eb="1">
      <t>カジ</t>
    </rPh>
    <rPh sb="1" eb="3">
      <t>シマヤマ</t>
    </rPh>
    <phoneticPr fontId="2"/>
  </si>
  <si>
    <t>07-0069</t>
    <phoneticPr fontId="2"/>
  </si>
  <si>
    <t>70069</t>
    <phoneticPr fontId="2"/>
  </si>
  <si>
    <t>ＰＵ</t>
    <phoneticPr fontId="2"/>
  </si>
  <si>
    <t>ＰＬ</t>
    <phoneticPr fontId="2"/>
  </si>
  <si>
    <t>（ １Ｐ ）</t>
    <phoneticPr fontId="2"/>
  </si>
  <si>
    <t>日本信号</t>
    <rPh sb="0" eb="4">
      <t>ニホンシンゴウ</t>
    </rPh>
    <phoneticPr fontId="2"/>
  </si>
  <si>
    <t>K0000017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</si>
</sst>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right" vertical="center"/>
    </xf>
    <xf numFmtId="177" fontId="3" fillId="0" borderId="8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81" fontId="9" fillId="0" borderId="0" xfId="0" applyNumberFormat="1" applyFont="1" applyAlignment="1">
      <alignment vertical="center"/>
    </xf>
    <xf numFmtId="49" fontId="10" fillId="0" borderId="18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vertical="center" shrinkToFit="1"/>
    </xf>
    <xf numFmtId="49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right" vertical="center"/>
    </xf>
    <xf numFmtId="177" fontId="10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176" fontId="10" fillId="0" borderId="7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49" fontId="9" fillId="0" borderId="16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8" fontId="9" fillId="0" borderId="16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79" fontId="9" fillId="0" borderId="16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8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9" fillId="0" borderId="16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12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9" fillId="0" borderId="18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57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4</xdr:row>
      <xdr:rowOff>142875</xdr:rowOff>
    </xdr:from>
    <xdr:to>
      <xdr:col>21</xdr:col>
      <xdr:colOff>128587</xdr:colOff>
      <xdr:row>14</xdr:row>
      <xdr:rowOff>57150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DF758C2D-40FA-4C84-B8C0-153477252F98}"/>
            </a:ext>
          </a:extLst>
        </xdr:cNvPr>
        <xdr:cNvGrpSpPr>
          <a:grpSpLocks noChangeAspect="1"/>
        </xdr:cNvGrpSpPr>
      </xdr:nvGrpSpPr>
      <xdr:grpSpPr>
        <a:xfrm>
          <a:off x="695325" y="714375"/>
          <a:ext cx="6091237" cy="3848100"/>
          <a:chOff x="8286750" y="5191125"/>
          <a:chExt cx="12180952" cy="7695238"/>
        </a:xfrm>
      </xdr:grpSpPr>
      <xdr:pic>
        <xdr:nvPicPr>
          <xdr:cNvPr id="87" name="図 86">
            <a:extLst>
              <a:ext uri="{FF2B5EF4-FFF2-40B4-BE49-F238E27FC236}">
                <a16:creationId xmlns:a16="http://schemas.microsoft.com/office/drawing/2014/main" id="{AC907FA5-287D-4A05-9D75-9AD9D8D311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5191125"/>
            <a:ext cx="12180952" cy="7695238"/>
          </a:xfrm>
          <a:prstGeom prst="rect">
            <a:avLst/>
          </a:prstGeom>
        </xdr:spPr>
      </xdr:pic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D716BE2B-BEDC-4E6B-9AF9-DC61EC2BB328}"/>
              </a:ext>
            </a:extLst>
          </xdr:cNvPr>
          <xdr:cNvSpPr/>
        </xdr:nvSpPr>
        <xdr:spPr bwMode="auto">
          <a:xfrm>
            <a:off x="8439150" y="5191125"/>
            <a:ext cx="4229100" cy="14097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4D81293-FF81-4D40-B558-D379E2F753A1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19050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FD19A4E-12A6-47D1-92C1-9BA1F24B5D71}"/>
            </a:ext>
          </a:extLst>
        </xdr:cNvPr>
        <xdr:cNvSpPr>
          <a:spLocks noChangeShapeType="1"/>
        </xdr:cNvSpPr>
      </xdr:nvSpPr>
      <xdr:spPr bwMode="auto">
        <a:xfrm>
          <a:off x="895350" y="6810375"/>
          <a:ext cx="2952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A09CC57C-D956-40CE-A1C1-EDC10AACD4D6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260061F-A1FB-433F-B1A2-C7CC673CC00E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55D13681-FC0B-4E1E-A14E-02DC1FC5064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C4DC4D59-9F42-40F1-83DB-9639EC731F3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DB57768A-B836-48F6-8EAE-EF32B3F6990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8307625A-2D19-4BE7-8FA8-CBB8F26DA16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85262BAB-EA29-4803-88B6-20521518FD27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1EDC376E-CC05-47C3-ACC5-4DF48077F0C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D610BA22-F3EB-4019-8B9C-9134545F3B2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65831B6D-EFA8-433D-8991-01D1E69A336B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14</xdr:col>
      <xdr:colOff>0</xdr:colOff>
      <xdr:row>19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FDC97F9-E508-49B1-AE00-EC45C218880E}"/>
            </a:ext>
          </a:extLst>
        </xdr:cNvPr>
        <xdr:cNvGrpSpPr>
          <a:grpSpLocks/>
        </xdr:cNvGrpSpPr>
      </xdr:nvGrpSpPr>
      <xdr:grpSpPr bwMode="auto">
        <a:xfrm>
          <a:off x="2571750" y="7105650"/>
          <a:ext cx="1885950" cy="47625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02A13FF8-6945-4816-AF5A-5FA3A7274A5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8F743370-009F-460E-A716-54C2CD02349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5A99F510-B5EA-4C68-B987-6E2AB161FB4E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266700</xdr:colOff>
      <xdr:row>20</xdr:row>
      <xdr:rowOff>200025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6130DB9-42B3-4CC6-B591-52DF2D2C8BF6}"/>
            </a:ext>
          </a:extLst>
        </xdr:cNvPr>
        <xdr:cNvGrpSpPr>
          <a:grpSpLocks/>
        </xdr:cNvGrpSpPr>
      </xdr:nvGrpSpPr>
      <xdr:grpSpPr bwMode="auto">
        <a:xfrm>
          <a:off x="3248025" y="7277100"/>
          <a:ext cx="219075" cy="152400"/>
          <a:chOff x="132" y="708"/>
          <a:chExt cx="20" cy="14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F5DB23E4-BEED-4B20-BF05-1DF0EB3D48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F88243F4-C5F4-4CEA-A652-B401F31E4EE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E0685D80-4AEF-49E7-B119-A5B0A812AFF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86A44D88-F868-448A-8766-B54D0FA00D6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8EFFC17-F6A2-4667-93B8-A4A4C16E33E8}"/>
            </a:ext>
          </a:extLst>
        </xdr:cNvPr>
        <xdr:cNvGrpSpPr>
          <a:grpSpLocks/>
        </xdr:cNvGrpSpPr>
      </xdr:nvGrpSpPr>
      <xdr:grpSpPr bwMode="auto">
        <a:xfrm>
          <a:off x="3514725" y="7324725"/>
          <a:ext cx="942975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A68BF9C6-7C81-409A-B312-23A9D00D8A6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C4E54F6F-DC75-4D33-AD8A-AE023B4B408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8F8ABA04-E2E1-4905-8B65-40291EC0FBE8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314325" cy="47625"/>
          <a:chOff x="158" y="715"/>
          <a:chExt cx="33" cy="5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06C51A0A-8B20-4449-8C22-EA313932C1A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B2825B99-19A3-4155-A7E9-BA4C78F4F60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22428A25-679D-4EF7-A820-5C17ED70764D}"/>
            </a:ext>
          </a:extLst>
        </xdr:cNvPr>
        <xdr:cNvGrpSpPr>
          <a:grpSpLocks/>
        </xdr:cNvGrpSpPr>
      </xdr:nvGrpSpPr>
      <xdr:grpSpPr bwMode="auto">
        <a:xfrm>
          <a:off x="1314450" y="7324725"/>
          <a:ext cx="1571625" cy="47625"/>
          <a:chOff x="158" y="715"/>
          <a:chExt cx="33" cy="5"/>
        </a:xfrm>
      </xdr:grpSpPr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11C760AF-4FF4-47A4-AA68-E74E12CCDB5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46ADB23C-DDB6-4162-8387-FDF602FD43F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5D5DE311-894A-4778-B5BE-70BB7B24F327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E61B2D30-4C9A-4979-9B07-0F57B32C29CA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21</xdr:row>
      <xdr:rowOff>104775</xdr:rowOff>
    </xdr:from>
    <xdr:to>
      <xdr:col>9</xdr:col>
      <xdr:colOff>0</xdr:colOff>
      <xdr:row>21</xdr:row>
      <xdr:rowOff>152400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7A2468F8-E9A3-4470-8DBA-8A87BE9ADD26}"/>
            </a:ext>
          </a:extLst>
        </xdr:cNvPr>
        <xdr:cNvGrpSpPr>
          <a:grpSpLocks/>
        </xdr:cNvGrpSpPr>
      </xdr:nvGrpSpPr>
      <xdr:grpSpPr bwMode="auto">
        <a:xfrm>
          <a:off x="1323975" y="7562850"/>
          <a:ext cx="1562100" cy="47625"/>
          <a:chOff x="158" y="715"/>
          <a:chExt cx="33" cy="5"/>
        </a:xfrm>
      </xdr:grpSpPr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F4E8A7BA-87D4-4501-882F-B80816327B9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5C30106F-B910-4218-854F-5164435F4F6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161925</xdr:colOff>
      <xdr:row>17</xdr:row>
      <xdr:rowOff>495300</xdr:rowOff>
    </xdr:from>
    <xdr:to>
      <xdr:col>7</xdr:col>
      <xdr:colOff>219075</xdr:colOff>
      <xdr:row>17</xdr:row>
      <xdr:rowOff>800100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4BEA50C3-C466-48D7-9897-A8F1CAB394D4}"/>
            </a:ext>
          </a:extLst>
        </xdr:cNvPr>
        <xdr:cNvGrpSpPr>
          <a:grpSpLocks/>
        </xdr:cNvGrpSpPr>
      </xdr:nvGrpSpPr>
      <xdr:grpSpPr bwMode="auto">
        <a:xfrm>
          <a:off x="1476375" y="5686425"/>
          <a:ext cx="1000125" cy="304800"/>
          <a:chOff x="110" y="567"/>
          <a:chExt cx="105" cy="32"/>
        </a:xfrm>
      </xdr:grpSpPr>
      <xdr:sp macro="" textlink="">
        <xdr:nvSpPr>
          <xdr:cNvPr id="38" name="Line 37">
            <a:extLst>
              <a:ext uri="{FF2B5EF4-FFF2-40B4-BE49-F238E27FC236}">
                <a16:creationId xmlns:a16="http://schemas.microsoft.com/office/drawing/2014/main" id="{0259FD9A-907B-43DA-AAD9-FCA04538CD7D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DF957453-7C99-419B-8EFE-DFA427E59F77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7B7C3180-E054-4145-96AC-DB3F93E0B45D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1" name="Line 40">
            <a:extLst>
              <a:ext uri="{FF2B5EF4-FFF2-40B4-BE49-F238E27FC236}">
                <a16:creationId xmlns:a16="http://schemas.microsoft.com/office/drawing/2014/main" id="{CDFA0F87-A9B1-412E-BBFA-48DADA543AB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E30FDF4C-81F4-43BF-8929-0A119A7DA394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FC99761E-68D8-4FDE-A6D8-0247672F5DDA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4" name="Line 43">
            <a:extLst>
              <a:ext uri="{FF2B5EF4-FFF2-40B4-BE49-F238E27FC236}">
                <a16:creationId xmlns:a16="http://schemas.microsoft.com/office/drawing/2014/main" id="{E40FF2B0-DB78-48F4-9CA8-28D29B6C2C25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9E23677D-0693-4159-B1B0-C4CB39EA9DC2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17</xdr:row>
      <xdr:rowOff>857250</xdr:rowOff>
    </xdr:from>
    <xdr:to>
      <xdr:col>7</xdr:col>
      <xdr:colOff>219075</xdr:colOff>
      <xdr:row>17</xdr:row>
      <xdr:rowOff>1162050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B328E738-E91A-4EF5-9842-271639BBB432}"/>
            </a:ext>
          </a:extLst>
        </xdr:cNvPr>
        <xdr:cNvGrpSpPr>
          <a:grpSpLocks/>
        </xdr:cNvGrpSpPr>
      </xdr:nvGrpSpPr>
      <xdr:grpSpPr bwMode="auto">
        <a:xfrm>
          <a:off x="1466850" y="6048375"/>
          <a:ext cx="1009650" cy="304800"/>
          <a:chOff x="105" y="627"/>
          <a:chExt cx="106" cy="32"/>
        </a:xfrm>
      </xdr:grpSpPr>
      <xdr:sp macro="" textlink="">
        <xdr:nvSpPr>
          <xdr:cNvPr id="47" name="Line 46">
            <a:extLst>
              <a:ext uri="{FF2B5EF4-FFF2-40B4-BE49-F238E27FC236}">
                <a16:creationId xmlns:a16="http://schemas.microsoft.com/office/drawing/2014/main" id="{B6909390-A72C-4E3E-9E50-3795FD9766D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33462DD5-0BE5-4B2C-85D2-DE8B021A57CA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09D89F94-3511-41BB-AFCE-2E136D5B78C1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Line 49">
            <a:extLst>
              <a:ext uri="{FF2B5EF4-FFF2-40B4-BE49-F238E27FC236}">
                <a16:creationId xmlns:a16="http://schemas.microsoft.com/office/drawing/2014/main" id="{0B528CDA-D78C-40AD-8100-7CA8A880B237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5C1AD936-164B-4C99-B182-A36FB3414A07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8819A8B9-AAFC-460B-8CB2-089D7AC8340C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">
            <a:extLst>
              <a:ext uri="{FF2B5EF4-FFF2-40B4-BE49-F238E27FC236}">
                <a16:creationId xmlns:a16="http://schemas.microsoft.com/office/drawing/2014/main" id="{E6B8097C-C1A0-4F6F-88A9-87527EF7554A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6C6B8B7D-13C3-46E0-B48C-97B9545E81E3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17</xdr:row>
      <xdr:rowOff>266700</xdr:rowOff>
    </xdr:from>
    <xdr:to>
      <xdr:col>12</xdr:col>
      <xdr:colOff>190500</xdr:colOff>
      <xdr:row>17</xdr:row>
      <xdr:rowOff>1276350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A6893E78-07C7-4DDA-8BD3-A4FC37D76ACA}"/>
            </a:ext>
          </a:extLst>
        </xdr:cNvPr>
        <xdr:cNvGrpSpPr>
          <a:grpSpLocks/>
        </xdr:cNvGrpSpPr>
      </xdr:nvGrpSpPr>
      <xdr:grpSpPr bwMode="auto">
        <a:xfrm>
          <a:off x="3324225" y="5457825"/>
          <a:ext cx="695325" cy="1009650"/>
          <a:chOff x="336" y="565"/>
          <a:chExt cx="73" cy="106"/>
        </a:xfrm>
      </xdr:grpSpPr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B5B1514C-496E-4440-8277-0F67C054D923}"/>
              </a:ext>
            </a:extLst>
          </xdr:cNvPr>
          <xdr:cNvGrpSpPr>
            <a:grpSpLocks/>
          </xdr:cNvGrpSpPr>
        </xdr:nvGrpSpPr>
        <xdr:grpSpPr bwMode="auto">
          <a:xfrm>
            <a:off x="336" y="565"/>
            <a:ext cx="32" cy="106"/>
            <a:chOff x="369" y="565"/>
            <a:chExt cx="32" cy="106"/>
          </a:xfrm>
        </xdr:grpSpPr>
        <xdr:sp macro="" textlink="">
          <xdr:nvSpPr>
            <xdr:cNvPr id="66" name="Line 56">
              <a:extLst>
                <a:ext uri="{FF2B5EF4-FFF2-40B4-BE49-F238E27FC236}">
                  <a16:creationId xmlns:a16="http://schemas.microsoft.com/office/drawing/2014/main" id="{FD9C3B18-DBFC-4E34-B9AA-70F12AB5B05B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7" name="Freeform 57">
              <a:extLst>
                <a:ext uri="{FF2B5EF4-FFF2-40B4-BE49-F238E27FC236}">
                  <a16:creationId xmlns:a16="http://schemas.microsoft.com/office/drawing/2014/main" id="{68BB047B-24D3-49F0-9BA5-DF723B4B0747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1" y="56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8" name="Freeform 58">
              <a:extLst>
                <a:ext uri="{FF2B5EF4-FFF2-40B4-BE49-F238E27FC236}">
                  <a16:creationId xmlns:a16="http://schemas.microsoft.com/office/drawing/2014/main" id="{034DA4F4-E950-4CFF-BBAF-1851A371DC21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77" y="639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9" name="Line 59">
              <a:extLst>
                <a:ext uri="{FF2B5EF4-FFF2-40B4-BE49-F238E27FC236}">
                  <a16:creationId xmlns:a16="http://schemas.microsoft.com/office/drawing/2014/main" id="{E4F4728B-E605-443F-8826-39351E906AF0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73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0" name="Freeform 60">
              <a:extLst>
                <a:ext uri="{FF2B5EF4-FFF2-40B4-BE49-F238E27FC236}">
                  <a16:creationId xmlns:a16="http://schemas.microsoft.com/office/drawing/2014/main" id="{79551F9F-579E-401A-A6EE-E48C03D5A476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69" y="63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1" name="Freeform 61">
              <a:extLst>
                <a:ext uri="{FF2B5EF4-FFF2-40B4-BE49-F238E27FC236}">
                  <a16:creationId xmlns:a16="http://schemas.microsoft.com/office/drawing/2014/main" id="{FE5FEC2D-3E67-471C-851A-E2901566994B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5" y="62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2" name="Line 62">
              <a:extLst>
                <a:ext uri="{FF2B5EF4-FFF2-40B4-BE49-F238E27FC236}">
                  <a16:creationId xmlns:a16="http://schemas.microsoft.com/office/drawing/2014/main" id="{ED052700-AF98-47C9-989E-61648BD983F4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96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3" name="Freeform 63">
              <a:extLst>
                <a:ext uri="{FF2B5EF4-FFF2-40B4-BE49-F238E27FC236}">
                  <a16:creationId xmlns:a16="http://schemas.microsoft.com/office/drawing/2014/main" id="{E19B6CCF-EFF2-46C0-A0BF-8A243A36B8B3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94" y="624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7" name="Group 64">
            <a:extLst>
              <a:ext uri="{FF2B5EF4-FFF2-40B4-BE49-F238E27FC236}">
                <a16:creationId xmlns:a16="http://schemas.microsoft.com/office/drawing/2014/main" id="{78A0DD6A-AE17-49E3-BF41-17F167E78082}"/>
              </a:ext>
            </a:extLst>
          </xdr:cNvPr>
          <xdr:cNvGrpSpPr>
            <a:grpSpLocks/>
          </xdr:cNvGrpSpPr>
        </xdr:nvGrpSpPr>
        <xdr:grpSpPr bwMode="auto">
          <a:xfrm>
            <a:off x="377" y="566"/>
            <a:ext cx="32" cy="105"/>
            <a:chOff x="410" y="566"/>
            <a:chExt cx="32" cy="105"/>
          </a:xfrm>
        </xdr:grpSpPr>
        <xdr:sp macro="" textlink="">
          <xdr:nvSpPr>
            <xdr:cNvPr id="58" name="Line 65">
              <a:extLst>
                <a:ext uri="{FF2B5EF4-FFF2-40B4-BE49-F238E27FC236}">
                  <a16:creationId xmlns:a16="http://schemas.microsoft.com/office/drawing/2014/main" id="{293816D4-5A54-435A-9710-35CE799859E3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74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" name="Freeform 66">
              <a:extLst>
                <a:ext uri="{FF2B5EF4-FFF2-40B4-BE49-F238E27FC236}">
                  <a16:creationId xmlns:a16="http://schemas.microsoft.com/office/drawing/2014/main" id="{ECC2D7F5-CF1E-4C99-83B4-5BB287CA0EBB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2" y="665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" name="Freeform 67">
              <a:extLst>
                <a:ext uri="{FF2B5EF4-FFF2-40B4-BE49-F238E27FC236}">
                  <a16:creationId xmlns:a16="http://schemas.microsoft.com/office/drawing/2014/main" id="{41C3A9D6-E919-4870-B81F-27BFB5618894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6" y="590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" name="Line 68">
              <a:extLst>
                <a:ext uri="{FF2B5EF4-FFF2-40B4-BE49-F238E27FC236}">
                  <a16:creationId xmlns:a16="http://schemas.microsoft.com/office/drawing/2014/main" id="{7EC42A87-758C-4238-97D4-F7D4B0859859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8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2" name="Freeform 69">
              <a:extLst>
                <a:ext uri="{FF2B5EF4-FFF2-40B4-BE49-F238E27FC236}">
                  <a16:creationId xmlns:a16="http://schemas.microsoft.com/office/drawing/2014/main" id="{523DC5C4-0575-4AB3-895F-D1D56080CE90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35" y="59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3" name="Freeform 70">
              <a:extLst>
                <a:ext uri="{FF2B5EF4-FFF2-40B4-BE49-F238E27FC236}">
                  <a16:creationId xmlns:a16="http://schemas.microsoft.com/office/drawing/2014/main" id="{8E366A43-06E3-42AF-91DF-D309A852D8C0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9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4" name="Line 71">
              <a:extLst>
                <a:ext uri="{FF2B5EF4-FFF2-40B4-BE49-F238E27FC236}">
                  <a16:creationId xmlns:a16="http://schemas.microsoft.com/office/drawing/2014/main" id="{79FF529F-044E-4C4E-88F2-864E05D3C188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416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" name="Freeform 72">
              <a:extLst>
                <a:ext uri="{FF2B5EF4-FFF2-40B4-BE49-F238E27FC236}">
                  <a16:creationId xmlns:a16="http://schemas.microsoft.com/office/drawing/2014/main" id="{582AED44-4661-4643-9997-807D5FC163D9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0" y="605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oneCellAnchor>
    <xdr:from>
      <xdr:col>0</xdr:col>
      <xdr:colOff>47625</xdr:colOff>
      <xdr:row>13</xdr:row>
      <xdr:rowOff>95250</xdr:rowOff>
    </xdr:from>
    <xdr:ext cx="844265" cy="336434"/>
    <xdr:sp macro="" textlink="">
      <xdr:nvSpPr>
        <xdr:cNvPr id="77" name="Text Box 76">
          <a:extLst>
            <a:ext uri="{FF2B5EF4-FFF2-40B4-BE49-F238E27FC236}">
              <a16:creationId xmlns:a16="http://schemas.microsoft.com/office/drawing/2014/main" id="{35CCBA7D-D048-432E-AE3C-2780CDABDF42}"/>
            </a:ext>
          </a:extLst>
        </xdr:cNvPr>
        <xdr:cNvSpPr txBox="1">
          <a:spLocks noChangeArrowheads="1"/>
        </xdr:cNvSpPr>
      </xdr:nvSpPr>
      <xdr:spPr bwMode="auto">
        <a:xfrm>
          <a:off x="47625" y="4371975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　</a:t>
          </a:r>
        </a:p>
      </xdr:txBody>
    </xdr:sp>
    <xdr:clientData/>
  </xdr:oneCellAnchor>
  <xdr:twoCellAnchor>
    <xdr:from>
      <xdr:col>9</xdr:col>
      <xdr:colOff>295275</xdr:colOff>
      <xdr:row>17</xdr:row>
      <xdr:rowOff>466725</xdr:rowOff>
    </xdr:from>
    <xdr:to>
      <xdr:col>10</xdr:col>
      <xdr:colOff>38100</xdr:colOff>
      <xdr:row>17</xdr:row>
      <xdr:rowOff>1200150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06B14113-E6AF-4C3E-B799-40BF21E97C22}"/>
            </a:ext>
          </a:extLst>
        </xdr:cNvPr>
        <xdr:cNvGrpSpPr>
          <a:grpSpLocks/>
        </xdr:cNvGrpSpPr>
      </xdr:nvGrpSpPr>
      <xdr:grpSpPr bwMode="auto">
        <a:xfrm rot="5400000">
          <a:off x="2843212" y="5995988"/>
          <a:ext cx="733425" cy="57150"/>
          <a:chOff x="123" y="549"/>
          <a:chExt cx="77" cy="6"/>
        </a:xfrm>
      </xdr:grpSpPr>
      <xdr:sp macro="" textlink="">
        <xdr:nvSpPr>
          <xdr:cNvPr id="79" name="Line 78">
            <a:extLst>
              <a:ext uri="{FF2B5EF4-FFF2-40B4-BE49-F238E27FC236}">
                <a16:creationId xmlns:a16="http://schemas.microsoft.com/office/drawing/2014/main" id="{D84F2C18-97BB-4D2A-A728-C51A0A0B8FF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Freeform 79">
            <a:extLst>
              <a:ext uri="{FF2B5EF4-FFF2-40B4-BE49-F238E27FC236}">
                <a16:creationId xmlns:a16="http://schemas.microsoft.com/office/drawing/2014/main" id="{95CAB0EA-1CDE-4C74-8747-F6A304FCECB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1" name="Freeform 80">
            <a:extLst>
              <a:ext uri="{FF2B5EF4-FFF2-40B4-BE49-F238E27FC236}">
                <a16:creationId xmlns:a16="http://schemas.microsoft.com/office/drawing/2014/main" id="{90EAA5BA-A611-4527-8471-D60C4847597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466725</xdr:rowOff>
    </xdr:from>
    <xdr:to>
      <xdr:col>13</xdr:col>
      <xdr:colOff>38100</xdr:colOff>
      <xdr:row>17</xdr:row>
      <xdr:rowOff>1200150</xdr:rowOff>
    </xdr:to>
    <xdr:grpSp>
      <xdr:nvGrpSpPr>
        <xdr:cNvPr id="82" name="Group 82">
          <a:extLst>
            <a:ext uri="{FF2B5EF4-FFF2-40B4-BE49-F238E27FC236}">
              <a16:creationId xmlns:a16="http://schemas.microsoft.com/office/drawing/2014/main" id="{8B695E3C-B701-49E7-89B8-B06EB99B74DF}"/>
            </a:ext>
          </a:extLst>
        </xdr:cNvPr>
        <xdr:cNvGrpSpPr>
          <a:grpSpLocks/>
        </xdr:cNvGrpSpPr>
      </xdr:nvGrpSpPr>
      <xdr:grpSpPr bwMode="auto">
        <a:xfrm rot="5400000">
          <a:off x="3786187" y="5995988"/>
          <a:ext cx="733425" cy="57150"/>
          <a:chOff x="123" y="549"/>
          <a:chExt cx="77" cy="6"/>
        </a:xfrm>
      </xdr:grpSpPr>
      <xdr:sp macro="" textlink="">
        <xdr:nvSpPr>
          <xdr:cNvPr id="83" name="Line 83">
            <a:extLst>
              <a:ext uri="{FF2B5EF4-FFF2-40B4-BE49-F238E27FC236}">
                <a16:creationId xmlns:a16="http://schemas.microsoft.com/office/drawing/2014/main" id="{B10B21E4-EB72-4254-AF1C-7EFAF5FF49E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Freeform 84">
            <a:extLst>
              <a:ext uri="{FF2B5EF4-FFF2-40B4-BE49-F238E27FC236}">
                <a16:creationId xmlns:a16="http://schemas.microsoft.com/office/drawing/2014/main" id="{C8E2586F-BBB5-401A-8CAE-057448F27FE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Freeform 85">
            <a:extLst>
              <a:ext uri="{FF2B5EF4-FFF2-40B4-BE49-F238E27FC236}">
                <a16:creationId xmlns:a16="http://schemas.microsoft.com/office/drawing/2014/main" id="{A4EE23CA-2C9B-4519-8622-857A0025EDD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66675</xdr:colOff>
      <xdr:row>17</xdr:row>
      <xdr:rowOff>1209675</xdr:rowOff>
    </xdr:from>
    <xdr:to>
      <xdr:col>8</xdr:col>
      <xdr:colOff>19050</xdr:colOff>
      <xdr:row>17</xdr:row>
      <xdr:rowOff>1419225</xdr:rowOff>
    </xdr:to>
    <xdr:sp macro="" textlink="">
      <xdr:nvSpPr>
        <xdr:cNvPr id="88" name="Text Box 89">
          <a:extLst>
            <a:ext uri="{FF2B5EF4-FFF2-40B4-BE49-F238E27FC236}">
              <a16:creationId xmlns:a16="http://schemas.microsoft.com/office/drawing/2014/main" id="{FC20314B-DDF4-4E15-9F20-76A52E647E94}"/>
            </a:ext>
          </a:extLst>
        </xdr:cNvPr>
        <xdr:cNvSpPr txBox="1">
          <a:spLocks noChangeArrowheads="1"/>
        </xdr:cNvSpPr>
      </xdr:nvSpPr>
      <xdr:spPr bwMode="auto">
        <a:xfrm>
          <a:off x="1381125" y="6400800"/>
          <a:ext cx="1209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  ）</a:t>
          </a:r>
        </a:p>
      </xdr:txBody>
    </xdr:sp>
    <xdr:clientData/>
  </xdr:twoCellAnchor>
  <xdr:twoCellAnchor>
    <xdr:from>
      <xdr:col>4</xdr:col>
      <xdr:colOff>76200</xdr:colOff>
      <xdr:row>17</xdr:row>
      <xdr:rowOff>276225</xdr:rowOff>
    </xdr:from>
    <xdr:to>
      <xdr:col>8</xdr:col>
      <xdr:colOff>28575</xdr:colOff>
      <xdr:row>17</xdr:row>
      <xdr:rowOff>485775</xdr:rowOff>
    </xdr:to>
    <xdr:sp macro="" textlink="">
      <xdr:nvSpPr>
        <xdr:cNvPr id="89" name="Text Box 90">
          <a:extLst>
            <a:ext uri="{FF2B5EF4-FFF2-40B4-BE49-F238E27FC236}">
              <a16:creationId xmlns:a16="http://schemas.microsoft.com/office/drawing/2014/main" id="{9E7B6E9B-4C21-47E4-A91F-F5C706093B99}"/>
            </a:ext>
          </a:extLst>
        </xdr:cNvPr>
        <xdr:cNvSpPr txBox="1">
          <a:spLocks noChangeArrowheads="1"/>
        </xdr:cNvSpPr>
      </xdr:nvSpPr>
      <xdr:spPr bwMode="auto">
        <a:xfrm>
          <a:off x="952500" y="5391150"/>
          <a:ext cx="1209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  ）</a:t>
          </a:r>
        </a:p>
      </xdr:txBody>
    </xdr:sp>
    <xdr:clientData/>
  </xdr:twoCellAnchor>
  <xdr:twoCellAnchor>
    <xdr:from>
      <xdr:col>5</xdr:col>
      <xdr:colOff>66675</xdr:colOff>
      <xdr:row>17</xdr:row>
      <xdr:rowOff>1285875</xdr:rowOff>
    </xdr:from>
    <xdr:to>
      <xdr:col>6</xdr:col>
      <xdr:colOff>304800</xdr:colOff>
      <xdr:row>17</xdr:row>
      <xdr:rowOff>1323975</xdr:rowOff>
    </xdr:to>
    <xdr:grpSp>
      <xdr:nvGrpSpPr>
        <xdr:cNvPr id="90" name="Group 91">
          <a:extLst>
            <a:ext uri="{FF2B5EF4-FFF2-40B4-BE49-F238E27FC236}">
              <a16:creationId xmlns:a16="http://schemas.microsoft.com/office/drawing/2014/main" id="{C66D9B84-C228-4E0E-90F3-EFD7A7AEBEF2}"/>
            </a:ext>
          </a:extLst>
        </xdr:cNvPr>
        <xdr:cNvGrpSpPr>
          <a:grpSpLocks/>
        </xdr:cNvGrpSpPr>
      </xdr:nvGrpSpPr>
      <xdr:grpSpPr bwMode="auto">
        <a:xfrm>
          <a:off x="1695450" y="6477000"/>
          <a:ext cx="552450" cy="38100"/>
          <a:chOff x="123" y="549"/>
          <a:chExt cx="77" cy="6"/>
        </a:xfrm>
      </xdr:grpSpPr>
      <xdr:sp macro="" textlink="">
        <xdr:nvSpPr>
          <xdr:cNvPr id="91" name="Line 92">
            <a:extLst>
              <a:ext uri="{FF2B5EF4-FFF2-40B4-BE49-F238E27FC236}">
                <a16:creationId xmlns:a16="http://schemas.microsoft.com/office/drawing/2014/main" id="{39656106-6FF3-4558-AD68-EE968E4C82D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Freeform 93">
            <a:extLst>
              <a:ext uri="{FF2B5EF4-FFF2-40B4-BE49-F238E27FC236}">
                <a16:creationId xmlns:a16="http://schemas.microsoft.com/office/drawing/2014/main" id="{009E7BC9-91E4-4AA2-BE3F-FDC54A7E575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3" name="Freeform 94">
            <a:extLst>
              <a:ext uri="{FF2B5EF4-FFF2-40B4-BE49-F238E27FC236}">
                <a16:creationId xmlns:a16="http://schemas.microsoft.com/office/drawing/2014/main" id="{BC6E909B-2933-4118-9CC2-2199E6A7E2E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76200</xdr:colOff>
      <xdr:row>17</xdr:row>
      <xdr:rowOff>352425</xdr:rowOff>
    </xdr:from>
    <xdr:to>
      <xdr:col>6</xdr:col>
      <xdr:colOff>295275</xdr:colOff>
      <xdr:row>17</xdr:row>
      <xdr:rowOff>400050</xdr:rowOff>
    </xdr:to>
    <xdr:grpSp>
      <xdr:nvGrpSpPr>
        <xdr:cNvPr id="94" name="Group 95">
          <a:extLst>
            <a:ext uri="{FF2B5EF4-FFF2-40B4-BE49-F238E27FC236}">
              <a16:creationId xmlns:a16="http://schemas.microsoft.com/office/drawing/2014/main" id="{CD69ED00-C0E4-467D-8F3E-653CA2EE5081}"/>
            </a:ext>
          </a:extLst>
        </xdr:cNvPr>
        <xdr:cNvGrpSpPr>
          <a:grpSpLocks/>
        </xdr:cNvGrpSpPr>
      </xdr:nvGrpSpPr>
      <xdr:grpSpPr bwMode="auto">
        <a:xfrm>
          <a:off x="1704975" y="5543550"/>
          <a:ext cx="533400" cy="47625"/>
          <a:chOff x="123" y="549"/>
          <a:chExt cx="77" cy="6"/>
        </a:xfrm>
      </xdr:grpSpPr>
      <xdr:sp macro="" textlink="">
        <xdr:nvSpPr>
          <xdr:cNvPr id="95" name="Line 96">
            <a:extLst>
              <a:ext uri="{FF2B5EF4-FFF2-40B4-BE49-F238E27FC236}">
                <a16:creationId xmlns:a16="http://schemas.microsoft.com/office/drawing/2014/main" id="{FF8C1E25-562E-4393-A3C0-2FADCB1D796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Freeform 97">
            <a:extLst>
              <a:ext uri="{FF2B5EF4-FFF2-40B4-BE49-F238E27FC236}">
                <a16:creationId xmlns:a16="http://schemas.microsoft.com/office/drawing/2014/main" id="{EB150653-B5BE-4983-8FB5-2E0723C4F9D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Freeform 98">
            <a:extLst>
              <a:ext uri="{FF2B5EF4-FFF2-40B4-BE49-F238E27FC236}">
                <a16:creationId xmlns:a16="http://schemas.microsoft.com/office/drawing/2014/main" id="{70E851DB-688A-4B96-BF0D-E6B3F00D8686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9</xdr:col>
      <xdr:colOff>209550</xdr:colOff>
      <xdr:row>17</xdr:row>
      <xdr:rowOff>171450</xdr:rowOff>
    </xdr:from>
    <xdr:ext cx="288541" cy="150041"/>
    <xdr:sp macro="" textlink="">
      <xdr:nvSpPr>
        <xdr:cNvPr id="98" name="Text Box 99">
          <a:extLst>
            <a:ext uri="{FF2B5EF4-FFF2-40B4-BE49-F238E27FC236}">
              <a16:creationId xmlns:a16="http://schemas.microsoft.com/office/drawing/2014/main" id="{814076A9-92E1-4E12-9DBA-AF24E67702EE}"/>
            </a:ext>
          </a:extLst>
        </xdr:cNvPr>
        <xdr:cNvSpPr txBox="1">
          <a:spLocks noChangeArrowheads="1"/>
        </xdr:cNvSpPr>
      </xdr:nvSpPr>
      <xdr:spPr bwMode="auto">
        <a:xfrm>
          <a:off x="3095625" y="53625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152400</xdr:colOff>
      <xdr:row>17</xdr:row>
      <xdr:rowOff>1409700</xdr:rowOff>
    </xdr:from>
    <xdr:ext cx="461665" cy="150041"/>
    <xdr:sp macro="" textlink="">
      <xdr:nvSpPr>
        <xdr:cNvPr id="99" name="Text Box 100">
          <a:extLst>
            <a:ext uri="{FF2B5EF4-FFF2-40B4-BE49-F238E27FC236}">
              <a16:creationId xmlns:a16="http://schemas.microsoft.com/office/drawing/2014/main" id="{2B24FEF7-FB44-46AA-9BF9-AEBE55E413FC}"/>
            </a:ext>
          </a:extLst>
        </xdr:cNvPr>
        <xdr:cNvSpPr txBox="1">
          <a:spLocks noChangeArrowheads="1"/>
        </xdr:cNvSpPr>
      </xdr:nvSpPr>
      <xdr:spPr bwMode="auto">
        <a:xfrm>
          <a:off x="2409825" y="6600825"/>
          <a:ext cx="461665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12</xdr:col>
      <xdr:colOff>190500</xdr:colOff>
      <xdr:row>17</xdr:row>
      <xdr:rowOff>190500</xdr:rowOff>
    </xdr:from>
    <xdr:ext cx="288541" cy="150041"/>
    <xdr:sp macro="" textlink="">
      <xdr:nvSpPr>
        <xdr:cNvPr id="100" name="Text Box 101">
          <a:extLst>
            <a:ext uri="{FF2B5EF4-FFF2-40B4-BE49-F238E27FC236}">
              <a16:creationId xmlns:a16="http://schemas.microsoft.com/office/drawing/2014/main" id="{9431CEAB-444C-4C0B-B482-8A23AC855F49}"/>
            </a:ext>
          </a:extLst>
        </xdr:cNvPr>
        <xdr:cNvSpPr txBox="1">
          <a:spLocks noChangeArrowheads="1"/>
        </xdr:cNvSpPr>
      </xdr:nvSpPr>
      <xdr:spPr bwMode="auto">
        <a:xfrm>
          <a:off x="4019550" y="53816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152400</xdr:colOff>
      <xdr:row>17</xdr:row>
      <xdr:rowOff>38100</xdr:rowOff>
    </xdr:from>
    <xdr:ext cx="461665" cy="150041"/>
    <xdr:sp macro="" textlink="">
      <xdr:nvSpPr>
        <xdr:cNvPr id="101" name="Text Box 102">
          <a:extLst>
            <a:ext uri="{FF2B5EF4-FFF2-40B4-BE49-F238E27FC236}">
              <a16:creationId xmlns:a16="http://schemas.microsoft.com/office/drawing/2014/main" id="{3DE66C68-9F5D-4B41-823D-0EB68A07050F}"/>
            </a:ext>
          </a:extLst>
        </xdr:cNvPr>
        <xdr:cNvSpPr txBox="1">
          <a:spLocks noChangeArrowheads="1"/>
        </xdr:cNvSpPr>
      </xdr:nvSpPr>
      <xdr:spPr bwMode="auto">
        <a:xfrm>
          <a:off x="2409825" y="5229225"/>
          <a:ext cx="461665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5</xdr:col>
      <xdr:colOff>247650</xdr:colOff>
      <xdr:row>17</xdr:row>
      <xdr:rowOff>1362075</xdr:rowOff>
    </xdr:from>
    <xdr:ext cx="230832" cy="150041"/>
    <xdr:sp macro="" textlink="">
      <xdr:nvSpPr>
        <xdr:cNvPr id="102" name="Text Box 103">
          <a:extLst>
            <a:ext uri="{FF2B5EF4-FFF2-40B4-BE49-F238E27FC236}">
              <a16:creationId xmlns:a16="http://schemas.microsoft.com/office/drawing/2014/main" id="{BC147B89-F601-4CE8-B276-FDFEA4B42293}"/>
            </a:ext>
          </a:extLst>
        </xdr:cNvPr>
        <xdr:cNvSpPr txBox="1">
          <a:spLocks noChangeArrowheads="1"/>
        </xdr:cNvSpPr>
      </xdr:nvSpPr>
      <xdr:spPr bwMode="auto">
        <a:xfrm>
          <a:off x="1876425" y="6553200"/>
          <a:ext cx="230832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190500</xdr:colOff>
      <xdr:row>17</xdr:row>
      <xdr:rowOff>1276350</xdr:rowOff>
    </xdr:from>
    <xdr:ext cx="288541" cy="150041"/>
    <xdr:sp macro="" textlink="">
      <xdr:nvSpPr>
        <xdr:cNvPr id="103" name="Text Box 104">
          <a:extLst>
            <a:ext uri="{FF2B5EF4-FFF2-40B4-BE49-F238E27FC236}">
              <a16:creationId xmlns:a16="http://schemas.microsoft.com/office/drawing/2014/main" id="{6EA79C52-E782-49C9-9571-D931C4DD8B20}"/>
            </a:ext>
          </a:extLst>
        </xdr:cNvPr>
        <xdr:cNvSpPr txBox="1">
          <a:spLocks noChangeArrowheads="1"/>
        </xdr:cNvSpPr>
      </xdr:nvSpPr>
      <xdr:spPr bwMode="auto">
        <a:xfrm>
          <a:off x="3076575" y="64674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15</xdr:col>
      <xdr:colOff>66675</xdr:colOff>
      <xdr:row>7</xdr:row>
      <xdr:rowOff>57150</xdr:rowOff>
    </xdr:from>
    <xdr:to>
      <xdr:col>19</xdr:col>
      <xdr:colOff>152400</xdr:colOff>
      <xdr:row>9</xdr:row>
      <xdr:rowOff>219075</xdr:rowOff>
    </xdr:to>
    <xdr:sp macro="" textlink="">
      <xdr:nvSpPr>
        <xdr:cNvPr id="105" name="Rectangle 106">
          <a:extLst>
            <a:ext uri="{FF2B5EF4-FFF2-40B4-BE49-F238E27FC236}">
              <a16:creationId xmlns:a16="http://schemas.microsoft.com/office/drawing/2014/main" id="{DEB40F21-A27A-49C8-B498-06EA179F1351}"/>
            </a:ext>
          </a:extLst>
        </xdr:cNvPr>
        <xdr:cNvSpPr>
          <a:spLocks noChangeArrowheads="1"/>
        </xdr:cNvSpPr>
      </xdr:nvSpPr>
      <xdr:spPr bwMode="auto">
        <a:xfrm>
          <a:off x="4400550" y="1238250"/>
          <a:ext cx="1343025" cy="619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228600</xdr:colOff>
      <xdr:row>17</xdr:row>
      <xdr:rowOff>180975</xdr:rowOff>
    </xdr:from>
    <xdr:ext cx="230832" cy="150041"/>
    <xdr:sp macro="" textlink="">
      <xdr:nvSpPr>
        <xdr:cNvPr id="107" name="Text Box 103">
          <a:extLst>
            <a:ext uri="{FF2B5EF4-FFF2-40B4-BE49-F238E27FC236}">
              <a16:creationId xmlns:a16="http://schemas.microsoft.com/office/drawing/2014/main" id="{F7E84751-E126-4549-9808-B4B912ED67E7}"/>
            </a:ext>
          </a:extLst>
        </xdr:cNvPr>
        <xdr:cNvSpPr txBox="1">
          <a:spLocks noChangeArrowheads="1"/>
        </xdr:cNvSpPr>
      </xdr:nvSpPr>
      <xdr:spPr bwMode="auto">
        <a:xfrm>
          <a:off x="1857375" y="5372100"/>
          <a:ext cx="230832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171450</xdr:colOff>
      <xdr:row>17</xdr:row>
      <xdr:rowOff>1276350</xdr:rowOff>
    </xdr:from>
    <xdr:ext cx="288541" cy="150041"/>
    <xdr:sp macro="" textlink="">
      <xdr:nvSpPr>
        <xdr:cNvPr id="108" name="Text Box 104">
          <a:extLst>
            <a:ext uri="{FF2B5EF4-FFF2-40B4-BE49-F238E27FC236}">
              <a16:creationId xmlns:a16="http://schemas.microsoft.com/office/drawing/2014/main" id="{21118453-993A-40CB-8616-9774772B85AB}"/>
            </a:ext>
          </a:extLst>
        </xdr:cNvPr>
        <xdr:cNvSpPr txBox="1">
          <a:spLocks noChangeArrowheads="1"/>
        </xdr:cNvSpPr>
      </xdr:nvSpPr>
      <xdr:spPr bwMode="auto">
        <a:xfrm>
          <a:off x="4000500" y="64674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9</xdr:col>
      <xdr:colOff>0</xdr:colOff>
      <xdr:row>8</xdr:row>
      <xdr:rowOff>219077</xdr:rowOff>
    </xdr:from>
    <xdr:to>
      <xdr:col>10</xdr:col>
      <xdr:colOff>304800</xdr:colOff>
      <xdr:row>9</xdr:row>
      <xdr:rowOff>1790700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F104C633-07D4-4F77-BB2F-D451CC2C15F3}"/>
            </a:ext>
          </a:extLst>
        </xdr:cNvPr>
        <xdr:cNvCxnSpPr/>
      </xdr:nvCxnSpPr>
      <xdr:spPr>
        <a:xfrm flipV="1">
          <a:off x="2886075" y="1704977"/>
          <a:ext cx="619125" cy="1800223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266698</xdr:colOff>
      <xdr:row>9</xdr:row>
      <xdr:rowOff>1104898</xdr:rowOff>
    </xdr:from>
    <xdr:ext cx="436521" cy="250453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24A304F4-EFBA-4ACF-8536-4FB68B19A507}"/>
            </a:ext>
          </a:extLst>
        </xdr:cNvPr>
        <xdr:cNvSpPr txBox="1"/>
      </xdr:nvSpPr>
      <xdr:spPr>
        <a:xfrm>
          <a:off x="3152773" y="2819398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37.8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5</xdr:col>
      <xdr:colOff>295275</xdr:colOff>
      <xdr:row>9</xdr:row>
      <xdr:rowOff>781050</xdr:rowOff>
    </xdr:from>
    <xdr:to>
      <xdr:col>13</xdr:col>
      <xdr:colOff>28575</xdr:colOff>
      <xdr:row>9</xdr:row>
      <xdr:rowOff>790575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22EBB23C-7D4F-465E-954E-32BBF6C50FFF}"/>
            </a:ext>
          </a:extLst>
        </xdr:cNvPr>
        <xdr:cNvCxnSpPr/>
      </xdr:nvCxnSpPr>
      <xdr:spPr>
        <a:xfrm flipH="1">
          <a:off x="1924050" y="2495550"/>
          <a:ext cx="2247900" cy="95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85723</xdr:colOff>
      <xdr:row>9</xdr:row>
      <xdr:rowOff>828674</xdr:rowOff>
    </xdr:from>
    <xdr:ext cx="436521" cy="250453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29C0583A-B250-4D8D-BD95-44DC64392EAF}"/>
            </a:ext>
          </a:extLst>
        </xdr:cNvPr>
        <xdr:cNvSpPr txBox="1"/>
      </xdr:nvSpPr>
      <xdr:spPr>
        <a:xfrm>
          <a:off x="2343148" y="2543174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36.4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2</xdr:col>
      <xdr:colOff>390524</xdr:colOff>
      <xdr:row>9</xdr:row>
      <xdr:rowOff>590550</xdr:rowOff>
    </xdr:from>
    <xdr:ext cx="287252" cy="288000"/>
    <xdr:pic>
      <xdr:nvPicPr>
        <xdr:cNvPr id="121" name="図 120">
          <a:extLst>
            <a:ext uri="{FF2B5EF4-FFF2-40B4-BE49-F238E27FC236}">
              <a16:creationId xmlns:a16="http://schemas.microsoft.com/office/drawing/2014/main" id="{D9376AEF-D8BC-44EC-A044-241A4C437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74" y="2305050"/>
          <a:ext cx="287252" cy="288000"/>
        </a:xfrm>
        <a:prstGeom prst="rect">
          <a:avLst/>
        </a:prstGeom>
      </xdr:spPr>
    </xdr:pic>
    <xdr:clientData/>
  </xdr:oneCellAnchor>
  <xdr:oneCellAnchor>
    <xdr:from>
      <xdr:col>18</xdr:col>
      <xdr:colOff>38099</xdr:colOff>
      <xdr:row>9</xdr:row>
      <xdr:rowOff>1076325</xdr:rowOff>
    </xdr:from>
    <xdr:ext cx="287252" cy="288000"/>
    <xdr:pic>
      <xdr:nvPicPr>
        <xdr:cNvPr id="122" name="図 121">
          <a:extLst>
            <a:ext uri="{FF2B5EF4-FFF2-40B4-BE49-F238E27FC236}">
              <a16:creationId xmlns:a16="http://schemas.microsoft.com/office/drawing/2014/main" id="{1175A53D-A586-47AC-8B98-CBD93F552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099" y="2790825"/>
          <a:ext cx="287252" cy="288000"/>
        </a:xfrm>
        <a:prstGeom prst="rect">
          <a:avLst/>
        </a:prstGeom>
      </xdr:spPr>
    </xdr:pic>
    <xdr:clientData/>
  </xdr:oneCellAnchor>
  <xdr:twoCellAnchor>
    <xdr:from>
      <xdr:col>7</xdr:col>
      <xdr:colOff>228599</xdr:colOff>
      <xdr:row>12</xdr:row>
      <xdr:rowOff>28575</xdr:rowOff>
    </xdr:from>
    <xdr:to>
      <xdr:col>8</xdr:col>
      <xdr:colOff>174858</xdr:colOff>
      <xdr:row>13</xdr:row>
      <xdr:rowOff>208468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E06E2821-7C7C-4556-955C-BF73A4F862A9}"/>
            </a:ext>
          </a:extLst>
        </xdr:cNvPr>
        <xdr:cNvGrpSpPr/>
      </xdr:nvGrpSpPr>
      <xdr:grpSpPr>
        <a:xfrm>
          <a:off x="2486024" y="4076700"/>
          <a:ext cx="260584" cy="408493"/>
          <a:chOff x="4867327" y="302986"/>
          <a:chExt cx="260584" cy="408493"/>
        </a:xfrm>
      </xdr:grpSpPr>
      <xdr:sp macro="" textlink="">
        <xdr:nvSpPr>
          <xdr:cNvPr id="124" name="Text Box 216">
            <a:extLst>
              <a:ext uri="{FF2B5EF4-FFF2-40B4-BE49-F238E27FC236}">
                <a16:creationId xmlns:a16="http://schemas.microsoft.com/office/drawing/2014/main" id="{848987A9-232E-41D8-A666-433A8B06DB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25" name="図 124">
            <a:extLst>
              <a:ext uri="{FF2B5EF4-FFF2-40B4-BE49-F238E27FC236}">
                <a16:creationId xmlns:a16="http://schemas.microsoft.com/office/drawing/2014/main" id="{4246DE4C-E291-473B-9649-2D24141133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209549</xdr:colOff>
      <xdr:row>5</xdr:row>
      <xdr:rowOff>76200</xdr:rowOff>
    </xdr:from>
    <xdr:to>
      <xdr:col>11</xdr:col>
      <xdr:colOff>155808</xdr:colOff>
      <xdr:row>7</xdr:row>
      <xdr:rowOff>27493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1ED6EE9B-C0FB-4634-A4DA-3135300030E2}"/>
            </a:ext>
          </a:extLst>
        </xdr:cNvPr>
        <xdr:cNvGrpSpPr/>
      </xdr:nvGrpSpPr>
      <xdr:grpSpPr>
        <a:xfrm>
          <a:off x="3409949" y="876300"/>
          <a:ext cx="260584" cy="408493"/>
          <a:chOff x="4867327" y="302986"/>
          <a:chExt cx="260584" cy="408493"/>
        </a:xfrm>
      </xdr:grpSpPr>
      <xdr:sp macro="" textlink="">
        <xdr:nvSpPr>
          <xdr:cNvPr id="127" name="Text Box 216">
            <a:extLst>
              <a:ext uri="{FF2B5EF4-FFF2-40B4-BE49-F238E27FC236}">
                <a16:creationId xmlns:a16="http://schemas.microsoft.com/office/drawing/2014/main" id="{EFF696CE-5779-4255-A0BD-D8BB219D93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28" name="図 127">
            <a:extLst>
              <a:ext uri="{FF2B5EF4-FFF2-40B4-BE49-F238E27FC236}">
                <a16:creationId xmlns:a16="http://schemas.microsoft.com/office/drawing/2014/main" id="{E81ED58F-8FC0-489C-9033-5A2E8D3DFE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oneCellAnchor>
    <xdr:from>
      <xdr:col>20</xdr:col>
      <xdr:colOff>190500</xdr:colOff>
      <xdr:row>17</xdr:row>
      <xdr:rowOff>1057275</xdr:rowOff>
    </xdr:from>
    <xdr:ext cx="1015715" cy="666750"/>
    <xdr:sp macro="" textlink="">
      <xdr:nvSpPr>
        <xdr:cNvPr id="74" name="Text Box 91">
          <a:extLst>
            <a:ext uri="{FF2B5EF4-FFF2-40B4-BE49-F238E27FC236}">
              <a16:creationId xmlns:a16="http://schemas.microsoft.com/office/drawing/2014/main" id="{46FBA4B3-9A98-44A5-AE58-277A35BADABF}"/>
            </a:ext>
          </a:extLst>
        </xdr:cNvPr>
        <xdr:cNvSpPr txBox="1">
          <a:spLocks noChangeArrowheads="1"/>
        </xdr:cNvSpPr>
      </xdr:nvSpPr>
      <xdr:spPr bwMode="auto">
        <a:xfrm>
          <a:off x="6534150" y="624840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E6D6A520-F774-4483-A2C2-1E4BF5F1F3AE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19050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BDD6EF39-0894-4D1E-9AA0-604F5C50F67B}"/>
            </a:ext>
          </a:extLst>
        </xdr:cNvPr>
        <xdr:cNvSpPr>
          <a:spLocks noChangeShapeType="1"/>
        </xdr:cNvSpPr>
      </xdr:nvSpPr>
      <xdr:spPr bwMode="auto">
        <a:xfrm>
          <a:off x="895350" y="6810375"/>
          <a:ext cx="2952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7" name="Freeform 3">
          <a:extLst>
            <a:ext uri="{FF2B5EF4-FFF2-40B4-BE49-F238E27FC236}">
              <a16:creationId xmlns:a16="http://schemas.microsoft.com/office/drawing/2014/main" id="{0E6AA59C-BB9D-4CCA-9D2E-2C7C61CF32AC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055AE94B-149B-4927-88CE-9ADA5DF665FA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FE46CDFC-29B0-47B8-ACD9-12096266FC0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B1E2B1C5-9488-4236-97BA-C3740B3924C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6A4A1145-EE90-4511-B1DD-B8FB7C59E66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473405F8-4E01-4EB6-AE2D-A703E99CB51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53C31F99-C44A-4231-AEC7-7773D3AED783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A75D5CA4-6912-4A80-8D81-851914F3E52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2FFEAB5F-E708-4BA6-BCCD-7B7AA847DE9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1970B926-D8E2-4948-B8C3-032C35170FD0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1DCAB53B-5FB4-41FC-B43B-1D82157C4FA3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E8D68F23-D9B3-4806-B8CA-9CB0E3428E8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EEF6EBCD-4D7C-4AA9-96D5-B9106151987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40" name="Freeform 16">
          <a:extLst>
            <a:ext uri="{FF2B5EF4-FFF2-40B4-BE49-F238E27FC236}">
              <a16:creationId xmlns:a16="http://schemas.microsoft.com/office/drawing/2014/main" id="{0679DAD4-97C3-4686-B61E-05A371056C77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28D172CA-408C-448B-9183-87CADE51451F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DC027B44-062D-4B88-A748-C7A4E13A227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D8DB7817-51FA-45E8-9A14-9C8678C4970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ADDB4EE9-AD15-4B9A-BF69-152210C05A0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01673FA9-D1C8-4F5E-B992-03A544E284C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E873A6B7-4918-459E-81FE-4CE166CC787C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77E5F503-00D3-4CEA-A8E7-026914EF09D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83AD6377-A8E3-4975-BDEF-BC1B0A0080D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2DDF9F0A-4872-4EC9-B3B2-386CDD7F56C8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EFD327CC-B98D-4869-9091-590D78CE1CB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0EA5B736-B40D-44A6-B059-D14521D5F8E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052" name="Group 28">
          <a:extLst>
            <a:ext uri="{FF2B5EF4-FFF2-40B4-BE49-F238E27FC236}">
              <a16:creationId xmlns:a16="http://schemas.microsoft.com/office/drawing/2014/main" id="{A811CC91-2266-4F28-BFEA-847E42163601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053" name="Line 29">
            <a:extLst>
              <a:ext uri="{FF2B5EF4-FFF2-40B4-BE49-F238E27FC236}">
                <a16:creationId xmlns:a16="http://schemas.microsoft.com/office/drawing/2014/main" id="{1AED5C3E-83D0-4E35-ABFF-4C14D5B5B30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A26A48C5-E2D0-4A16-BCCA-125B2C7851B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D64A43F5-28C3-4F51-A804-3EA8C13501E8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A1E1CBA7-DF04-4263-B225-3FC825E01A74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19</xdr:row>
      <xdr:rowOff>104775</xdr:rowOff>
    </xdr:from>
    <xdr:to>
      <xdr:col>9</xdr:col>
      <xdr:colOff>0</xdr:colOff>
      <xdr:row>19</xdr:row>
      <xdr:rowOff>152400</xdr:rowOff>
    </xdr:to>
    <xdr:grpSp>
      <xdr:nvGrpSpPr>
        <xdr:cNvPr id="1057" name="Group 33">
          <a:extLst>
            <a:ext uri="{FF2B5EF4-FFF2-40B4-BE49-F238E27FC236}">
              <a16:creationId xmlns:a16="http://schemas.microsoft.com/office/drawing/2014/main" id="{361E04E4-7561-4BA9-A291-1CB420BFD61D}"/>
            </a:ext>
          </a:extLst>
        </xdr:cNvPr>
        <xdr:cNvGrpSpPr>
          <a:grpSpLocks/>
        </xdr:cNvGrpSpPr>
      </xdr:nvGrpSpPr>
      <xdr:grpSpPr bwMode="auto">
        <a:xfrm>
          <a:off x="885825" y="7486650"/>
          <a:ext cx="1562100" cy="47625"/>
          <a:chOff x="158" y="715"/>
          <a:chExt cx="33" cy="5"/>
        </a:xfrm>
      </xdr:grpSpPr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id="{8190E28F-2C37-41EC-B693-2DD20D38867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Line 35">
            <a:extLst>
              <a:ext uri="{FF2B5EF4-FFF2-40B4-BE49-F238E27FC236}">
                <a16:creationId xmlns:a16="http://schemas.microsoft.com/office/drawing/2014/main" id="{5750AB1B-D1A4-405D-9486-20DAAE890A1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161925</xdr:colOff>
      <xdr:row>15</xdr:row>
      <xdr:rowOff>495300</xdr:rowOff>
    </xdr:from>
    <xdr:to>
      <xdr:col>7</xdr:col>
      <xdr:colOff>219075</xdr:colOff>
      <xdr:row>15</xdr:row>
      <xdr:rowOff>800100</xdr:rowOff>
    </xdr:to>
    <xdr:grpSp>
      <xdr:nvGrpSpPr>
        <xdr:cNvPr id="1060" name="Group 36">
          <a:extLst>
            <a:ext uri="{FF2B5EF4-FFF2-40B4-BE49-F238E27FC236}">
              <a16:creationId xmlns:a16="http://schemas.microsoft.com/office/drawing/2014/main" id="{7B79203E-C8E3-4C37-AF06-A4570FC39329}"/>
            </a:ext>
          </a:extLst>
        </xdr:cNvPr>
        <xdr:cNvGrpSpPr>
          <a:grpSpLocks/>
        </xdr:cNvGrpSpPr>
      </xdr:nvGrpSpPr>
      <xdr:grpSpPr bwMode="auto">
        <a:xfrm>
          <a:off x="1038225" y="5610225"/>
          <a:ext cx="1000125" cy="304800"/>
          <a:chOff x="110" y="567"/>
          <a:chExt cx="105" cy="32"/>
        </a:xfrm>
      </xdr:grpSpPr>
      <xdr:sp macro="" textlink="">
        <xdr:nvSpPr>
          <xdr:cNvPr id="1061" name="Line 37">
            <a:extLst>
              <a:ext uri="{FF2B5EF4-FFF2-40B4-BE49-F238E27FC236}">
                <a16:creationId xmlns:a16="http://schemas.microsoft.com/office/drawing/2014/main" id="{1DCFB951-5D86-42E9-BAB0-19D148309468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2" name="Freeform 38">
            <a:extLst>
              <a:ext uri="{FF2B5EF4-FFF2-40B4-BE49-F238E27FC236}">
                <a16:creationId xmlns:a16="http://schemas.microsoft.com/office/drawing/2014/main" id="{A37FBBF5-F071-450B-9790-FA60DCC3EF60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3" name="Freeform 39">
            <a:extLst>
              <a:ext uri="{FF2B5EF4-FFF2-40B4-BE49-F238E27FC236}">
                <a16:creationId xmlns:a16="http://schemas.microsoft.com/office/drawing/2014/main" id="{8573E8B0-299D-4053-83C5-844CF43B8667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4" name="Line 40">
            <a:extLst>
              <a:ext uri="{FF2B5EF4-FFF2-40B4-BE49-F238E27FC236}">
                <a16:creationId xmlns:a16="http://schemas.microsoft.com/office/drawing/2014/main" id="{A2D66BB0-8779-4F12-8473-6605D7C48B46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A01B7B0C-BAD7-4AA2-9726-971E3F1E0AF8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6" name="Freeform 42">
            <a:extLst>
              <a:ext uri="{FF2B5EF4-FFF2-40B4-BE49-F238E27FC236}">
                <a16:creationId xmlns:a16="http://schemas.microsoft.com/office/drawing/2014/main" id="{41930029-E1D3-46F6-82A0-641BF5686F29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672BF35F-9296-42EF-9733-57982DE62841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Freeform 44">
            <a:extLst>
              <a:ext uri="{FF2B5EF4-FFF2-40B4-BE49-F238E27FC236}">
                <a16:creationId xmlns:a16="http://schemas.microsoft.com/office/drawing/2014/main" id="{63A1FE87-7458-455C-97BF-56DBED9FE188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857250</xdr:rowOff>
    </xdr:from>
    <xdr:to>
      <xdr:col>7</xdr:col>
      <xdr:colOff>219075</xdr:colOff>
      <xdr:row>15</xdr:row>
      <xdr:rowOff>1162050</xdr:rowOff>
    </xdr:to>
    <xdr:grpSp>
      <xdr:nvGrpSpPr>
        <xdr:cNvPr id="1069" name="Group 45">
          <a:extLst>
            <a:ext uri="{FF2B5EF4-FFF2-40B4-BE49-F238E27FC236}">
              <a16:creationId xmlns:a16="http://schemas.microsoft.com/office/drawing/2014/main" id="{003DE9FA-E24B-4095-8779-B69407358B68}"/>
            </a:ext>
          </a:extLst>
        </xdr:cNvPr>
        <xdr:cNvGrpSpPr>
          <a:grpSpLocks/>
        </xdr:cNvGrpSpPr>
      </xdr:nvGrpSpPr>
      <xdr:grpSpPr bwMode="auto">
        <a:xfrm>
          <a:off x="1028700" y="5972175"/>
          <a:ext cx="1009650" cy="304800"/>
          <a:chOff x="105" y="627"/>
          <a:chExt cx="106" cy="32"/>
        </a:xfrm>
      </xdr:grpSpPr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4E83C54C-6B98-410F-A8DA-C27430C109AF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1" name="Freeform 47">
            <a:extLst>
              <a:ext uri="{FF2B5EF4-FFF2-40B4-BE49-F238E27FC236}">
                <a16:creationId xmlns:a16="http://schemas.microsoft.com/office/drawing/2014/main" id="{757C9244-5313-4E21-9875-3E09FB5CE127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" name="Freeform 48">
            <a:extLst>
              <a:ext uri="{FF2B5EF4-FFF2-40B4-BE49-F238E27FC236}">
                <a16:creationId xmlns:a16="http://schemas.microsoft.com/office/drawing/2014/main" id="{D6C8A8CC-9D01-40E6-923A-8C2770043820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" name="Line 49">
            <a:extLst>
              <a:ext uri="{FF2B5EF4-FFF2-40B4-BE49-F238E27FC236}">
                <a16:creationId xmlns:a16="http://schemas.microsoft.com/office/drawing/2014/main" id="{415C7321-F192-436B-A493-F0D480C1982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4" name="Freeform 50">
            <a:extLst>
              <a:ext uri="{FF2B5EF4-FFF2-40B4-BE49-F238E27FC236}">
                <a16:creationId xmlns:a16="http://schemas.microsoft.com/office/drawing/2014/main" id="{C02CF847-A7B3-47DC-8747-9CCC11D7157D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5" name="Freeform 51">
            <a:extLst>
              <a:ext uri="{FF2B5EF4-FFF2-40B4-BE49-F238E27FC236}">
                <a16:creationId xmlns:a16="http://schemas.microsoft.com/office/drawing/2014/main" id="{9B83A0BC-06EC-4DCF-8102-D49C3A6684F6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31F0847D-8E54-459E-A86B-B7D1E95953F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Freeform 53">
            <a:extLst>
              <a:ext uri="{FF2B5EF4-FFF2-40B4-BE49-F238E27FC236}">
                <a16:creationId xmlns:a16="http://schemas.microsoft.com/office/drawing/2014/main" id="{23780600-D438-41FC-BF67-D7794E11A9CE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266700</xdr:rowOff>
    </xdr:from>
    <xdr:to>
      <xdr:col>12</xdr:col>
      <xdr:colOff>190500</xdr:colOff>
      <xdr:row>15</xdr:row>
      <xdr:rowOff>1276350</xdr:rowOff>
    </xdr:to>
    <xdr:grpSp>
      <xdr:nvGrpSpPr>
        <xdr:cNvPr id="1078" name="Group 54">
          <a:extLst>
            <a:ext uri="{FF2B5EF4-FFF2-40B4-BE49-F238E27FC236}">
              <a16:creationId xmlns:a16="http://schemas.microsoft.com/office/drawing/2014/main" id="{1115C5A2-82A0-4F97-8CBC-DEE5A726BAAB}"/>
            </a:ext>
          </a:extLst>
        </xdr:cNvPr>
        <xdr:cNvGrpSpPr>
          <a:grpSpLocks/>
        </xdr:cNvGrpSpPr>
      </xdr:nvGrpSpPr>
      <xdr:grpSpPr bwMode="auto">
        <a:xfrm>
          <a:off x="2886075" y="5381625"/>
          <a:ext cx="695325" cy="1009650"/>
          <a:chOff x="336" y="565"/>
          <a:chExt cx="73" cy="106"/>
        </a:xfrm>
      </xdr:grpSpPr>
      <xdr:grpSp>
        <xdr:nvGrpSpPr>
          <xdr:cNvPr id="1079" name="Group 55">
            <a:extLst>
              <a:ext uri="{FF2B5EF4-FFF2-40B4-BE49-F238E27FC236}">
                <a16:creationId xmlns:a16="http://schemas.microsoft.com/office/drawing/2014/main" id="{013995FD-D795-4094-9047-2CE5D9B8833D}"/>
              </a:ext>
            </a:extLst>
          </xdr:cNvPr>
          <xdr:cNvGrpSpPr>
            <a:grpSpLocks/>
          </xdr:cNvGrpSpPr>
        </xdr:nvGrpSpPr>
        <xdr:grpSpPr bwMode="auto">
          <a:xfrm>
            <a:off x="336" y="565"/>
            <a:ext cx="32" cy="106"/>
            <a:chOff x="369" y="565"/>
            <a:chExt cx="32" cy="106"/>
          </a:xfrm>
        </xdr:grpSpPr>
        <xdr:sp macro="" textlink="">
          <xdr:nvSpPr>
            <xdr:cNvPr id="1080" name="Line 56">
              <a:extLst>
                <a:ext uri="{FF2B5EF4-FFF2-40B4-BE49-F238E27FC236}">
                  <a16:creationId xmlns:a16="http://schemas.microsoft.com/office/drawing/2014/main" id="{3EFC0CAD-1EF5-40F8-8208-597B3968D563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1" name="Freeform 57">
              <a:extLst>
                <a:ext uri="{FF2B5EF4-FFF2-40B4-BE49-F238E27FC236}">
                  <a16:creationId xmlns:a16="http://schemas.microsoft.com/office/drawing/2014/main" id="{B47A9145-E1D9-41E3-8172-CCBB54DB43FA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1" y="56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2" name="Freeform 58">
              <a:extLst>
                <a:ext uri="{FF2B5EF4-FFF2-40B4-BE49-F238E27FC236}">
                  <a16:creationId xmlns:a16="http://schemas.microsoft.com/office/drawing/2014/main" id="{CF477CDE-7F69-4C6E-895C-5024210CA955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77" y="639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3" name="Line 59">
              <a:extLst>
                <a:ext uri="{FF2B5EF4-FFF2-40B4-BE49-F238E27FC236}">
                  <a16:creationId xmlns:a16="http://schemas.microsoft.com/office/drawing/2014/main" id="{8A63612A-04BE-4838-B297-2D4BCC9F429F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73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4" name="Freeform 60">
              <a:extLst>
                <a:ext uri="{FF2B5EF4-FFF2-40B4-BE49-F238E27FC236}">
                  <a16:creationId xmlns:a16="http://schemas.microsoft.com/office/drawing/2014/main" id="{7E26054A-DFE4-4DC4-AF2D-F171D8E41B32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69" y="63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5" name="Freeform 61">
              <a:extLst>
                <a:ext uri="{FF2B5EF4-FFF2-40B4-BE49-F238E27FC236}">
                  <a16:creationId xmlns:a16="http://schemas.microsoft.com/office/drawing/2014/main" id="{3CABCF01-4C48-4C26-BA78-2C92978F0EF3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5" y="62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6" name="Line 62">
              <a:extLst>
                <a:ext uri="{FF2B5EF4-FFF2-40B4-BE49-F238E27FC236}">
                  <a16:creationId xmlns:a16="http://schemas.microsoft.com/office/drawing/2014/main" id="{1A053D33-B05A-4FA0-B2CC-CF51701C30E1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96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7" name="Freeform 63">
              <a:extLst>
                <a:ext uri="{FF2B5EF4-FFF2-40B4-BE49-F238E27FC236}">
                  <a16:creationId xmlns:a16="http://schemas.microsoft.com/office/drawing/2014/main" id="{52D0F3FE-BEA9-40ED-B918-330965C1C4B2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94" y="624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88" name="Group 64">
            <a:extLst>
              <a:ext uri="{FF2B5EF4-FFF2-40B4-BE49-F238E27FC236}">
                <a16:creationId xmlns:a16="http://schemas.microsoft.com/office/drawing/2014/main" id="{036B2942-14F9-4BDC-B904-62B824F13C7F}"/>
              </a:ext>
            </a:extLst>
          </xdr:cNvPr>
          <xdr:cNvGrpSpPr>
            <a:grpSpLocks/>
          </xdr:cNvGrpSpPr>
        </xdr:nvGrpSpPr>
        <xdr:grpSpPr bwMode="auto">
          <a:xfrm>
            <a:off x="377" y="566"/>
            <a:ext cx="32" cy="105"/>
            <a:chOff x="410" y="566"/>
            <a:chExt cx="32" cy="105"/>
          </a:xfrm>
        </xdr:grpSpPr>
        <xdr:sp macro="" textlink="">
          <xdr:nvSpPr>
            <xdr:cNvPr id="1089" name="Line 65">
              <a:extLst>
                <a:ext uri="{FF2B5EF4-FFF2-40B4-BE49-F238E27FC236}">
                  <a16:creationId xmlns:a16="http://schemas.microsoft.com/office/drawing/2014/main" id="{C3A911DE-5CA3-435E-AAF6-D5DE2DD371AA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74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0" name="Freeform 66">
              <a:extLst>
                <a:ext uri="{FF2B5EF4-FFF2-40B4-BE49-F238E27FC236}">
                  <a16:creationId xmlns:a16="http://schemas.microsoft.com/office/drawing/2014/main" id="{F8027E46-F867-4E54-8789-A179B9BFA471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2" y="665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1" name="Freeform 67">
              <a:extLst>
                <a:ext uri="{FF2B5EF4-FFF2-40B4-BE49-F238E27FC236}">
                  <a16:creationId xmlns:a16="http://schemas.microsoft.com/office/drawing/2014/main" id="{3C908557-8BC3-4873-A473-56B380D79F99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6" y="590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2" name="Line 68">
              <a:extLst>
                <a:ext uri="{FF2B5EF4-FFF2-40B4-BE49-F238E27FC236}">
                  <a16:creationId xmlns:a16="http://schemas.microsoft.com/office/drawing/2014/main" id="{968FE1FC-AE12-48D7-A1E0-44E640031BCC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8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3" name="Freeform 69">
              <a:extLst>
                <a:ext uri="{FF2B5EF4-FFF2-40B4-BE49-F238E27FC236}">
                  <a16:creationId xmlns:a16="http://schemas.microsoft.com/office/drawing/2014/main" id="{4AD176AC-C016-46F5-B68B-F0FF724DC5BA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35" y="59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4" name="Freeform 70">
              <a:extLst>
                <a:ext uri="{FF2B5EF4-FFF2-40B4-BE49-F238E27FC236}">
                  <a16:creationId xmlns:a16="http://schemas.microsoft.com/office/drawing/2014/main" id="{3149D606-19B8-4ED8-B7B0-AB3F6B6AFDBB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9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5" name="Line 71">
              <a:extLst>
                <a:ext uri="{FF2B5EF4-FFF2-40B4-BE49-F238E27FC236}">
                  <a16:creationId xmlns:a16="http://schemas.microsoft.com/office/drawing/2014/main" id="{5D686E94-DF20-4886-87A6-CA120BBC294D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416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6" name="Freeform 72">
              <a:extLst>
                <a:ext uri="{FF2B5EF4-FFF2-40B4-BE49-F238E27FC236}">
                  <a16:creationId xmlns:a16="http://schemas.microsoft.com/office/drawing/2014/main" id="{73764B5A-4552-4DBC-BDBE-3B3DA81A3485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0" y="605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5</xdr:col>
      <xdr:colOff>47625</xdr:colOff>
      <xdr:row>7</xdr:row>
      <xdr:rowOff>457200</xdr:rowOff>
    </xdr:from>
    <xdr:to>
      <xdr:col>5</xdr:col>
      <xdr:colOff>295275</xdr:colOff>
      <xdr:row>7</xdr:row>
      <xdr:rowOff>1628775</xdr:rowOff>
    </xdr:to>
    <xdr:sp macro="" textlink="">
      <xdr:nvSpPr>
        <xdr:cNvPr id="1097" name="Text Box 73">
          <a:extLst>
            <a:ext uri="{FF2B5EF4-FFF2-40B4-BE49-F238E27FC236}">
              <a16:creationId xmlns:a16="http://schemas.microsoft.com/office/drawing/2014/main" id="{15D00F07-F22E-4D36-8275-D6036772DE86}"/>
            </a:ext>
          </a:extLst>
        </xdr:cNvPr>
        <xdr:cNvSpPr txBox="1">
          <a:spLocks noChangeArrowheads="1"/>
        </xdr:cNvSpPr>
      </xdr:nvSpPr>
      <xdr:spPr bwMode="auto">
        <a:xfrm>
          <a:off x="1238250" y="209550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明神町</a:t>
          </a:r>
        </a:p>
      </xdr:txBody>
    </xdr:sp>
    <xdr:clientData/>
  </xdr:twoCellAnchor>
  <xdr:twoCellAnchor>
    <xdr:from>
      <xdr:col>19</xdr:col>
      <xdr:colOff>66675</xdr:colOff>
      <xdr:row>7</xdr:row>
      <xdr:rowOff>238125</xdr:rowOff>
    </xdr:from>
    <xdr:to>
      <xdr:col>20</xdr:col>
      <xdr:colOff>0</xdr:colOff>
      <xdr:row>7</xdr:row>
      <xdr:rowOff>1828800</xdr:rowOff>
    </xdr:to>
    <xdr:sp macro="" textlink="">
      <xdr:nvSpPr>
        <xdr:cNvPr id="1098" name="Text Box 74">
          <a:extLst>
            <a:ext uri="{FF2B5EF4-FFF2-40B4-BE49-F238E27FC236}">
              <a16:creationId xmlns:a16="http://schemas.microsoft.com/office/drawing/2014/main" id="{B9CC2AC2-B574-46FA-8681-0A3B74BB2447}"/>
            </a:ext>
          </a:extLst>
        </xdr:cNvPr>
        <xdr:cNvSpPr txBox="1">
          <a:spLocks noChangeArrowheads="1"/>
        </xdr:cNvSpPr>
      </xdr:nvSpPr>
      <xdr:spPr bwMode="auto">
        <a:xfrm>
          <a:off x="5657850" y="18764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岡山</a:t>
          </a:r>
        </a:p>
      </xdr:txBody>
    </xdr:sp>
    <xdr:clientData/>
  </xdr:twoCellAnchor>
  <xdr:twoCellAnchor editAs="oneCell">
    <xdr:from>
      <xdr:col>6</xdr:col>
      <xdr:colOff>28575</xdr:colOff>
      <xdr:row>5</xdr:row>
      <xdr:rowOff>85725</xdr:rowOff>
    </xdr:from>
    <xdr:to>
      <xdr:col>19</xdr:col>
      <xdr:colOff>28575</xdr:colOff>
      <xdr:row>9</xdr:row>
      <xdr:rowOff>38100</xdr:rowOff>
    </xdr:to>
    <xdr:pic>
      <xdr:nvPicPr>
        <xdr:cNvPr id="1099" name="Picture 75">
          <a:extLst>
            <a:ext uri="{FF2B5EF4-FFF2-40B4-BE49-F238E27FC236}">
              <a16:creationId xmlns:a16="http://schemas.microsoft.com/office/drawing/2014/main" id="{9959E0C0-9F17-40E0-9DEF-719711E29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1266825"/>
          <a:ext cx="4086225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10</xdr:row>
      <xdr:rowOff>104775</xdr:rowOff>
    </xdr:from>
    <xdr:to>
      <xdr:col>6</xdr:col>
      <xdr:colOff>200025</xdr:colOff>
      <xdr:row>13</xdr:row>
      <xdr:rowOff>0</xdr:rowOff>
    </xdr:to>
    <xdr:sp macro="" textlink="">
      <xdr:nvSpPr>
        <xdr:cNvPr id="1100" name="Text Box 76">
          <a:extLst>
            <a:ext uri="{FF2B5EF4-FFF2-40B4-BE49-F238E27FC236}">
              <a16:creationId xmlns:a16="http://schemas.microsoft.com/office/drawing/2014/main" id="{5BCBF821-9383-4BCD-9E93-AF1D7E2C741D}"/>
            </a:ext>
          </a:extLst>
        </xdr:cNvPr>
        <xdr:cNvSpPr txBox="1">
          <a:spLocks noChangeArrowheads="1"/>
        </xdr:cNvSpPr>
      </xdr:nvSpPr>
      <xdr:spPr bwMode="auto">
        <a:xfrm>
          <a:off x="76200" y="4076700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>
    <xdr:from>
      <xdr:col>9</xdr:col>
      <xdr:colOff>295275</xdr:colOff>
      <xdr:row>15</xdr:row>
      <xdr:rowOff>466725</xdr:rowOff>
    </xdr:from>
    <xdr:to>
      <xdr:col>10</xdr:col>
      <xdr:colOff>38100</xdr:colOff>
      <xdr:row>15</xdr:row>
      <xdr:rowOff>1200150</xdr:rowOff>
    </xdr:to>
    <xdr:grpSp>
      <xdr:nvGrpSpPr>
        <xdr:cNvPr id="1101" name="Group 77">
          <a:extLst>
            <a:ext uri="{FF2B5EF4-FFF2-40B4-BE49-F238E27FC236}">
              <a16:creationId xmlns:a16="http://schemas.microsoft.com/office/drawing/2014/main" id="{3D64B995-A02E-403C-B45E-85AEF1189E01}"/>
            </a:ext>
          </a:extLst>
        </xdr:cNvPr>
        <xdr:cNvGrpSpPr>
          <a:grpSpLocks/>
        </xdr:cNvGrpSpPr>
      </xdr:nvGrpSpPr>
      <xdr:grpSpPr bwMode="auto">
        <a:xfrm rot="5400000">
          <a:off x="2405062" y="5919788"/>
          <a:ext cx="733425" cy="57150"/>
          <a:chOff x="123" y="549"/>
          <a:chExt cx="77" cy="6"/>
        </a:xfrm>
      </xdr:grpSpPr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8A6D13BA-D3E7-44EF-86FB-085126B387B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" name="Freeform 79">
            <a:extLst>
              <a:ext uri="{FF2B5EF4-FFF2-40B4-BE49-F238E27FC236}">
                <a16:creationId xmlns:a16="http://schemas.microsoft.com/office/drawing/2014/main" id="{2766ACB0-6E78-47C0-B511-30511B6F681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4" name="Freeform 80">
            <a:extLst>
              <a:ext uri="{FF2B5EF4-FFF2-40B4-BE49-F238E27FC236}">
                <a16:creationId xmlns:a16="http://schemas.microsoft.com/office/drawing/2014/main" id="{1C0E687C-2B81-4D4D-89C6-BF0459F58B51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466725</xdr:rowOff>
    </xdr:from>
    <xdr:to>
      <xdr:col>13</xdr:col>
      <xdr:colOff>38100</xdr:colOff>
      <xdr:row>15</xdr:row>
      <xdr:rowOff>1200150</xdr:rowOff>
    </xdr:to>
    <xdr:grpSp>
      <xdr:nvGrpSpPr>
        <xdr:cNvPr id="1106" name="Group 82">
          <a:extLst>
            <a:ext uri="{FF2B5EF4-FFF2-40B4-BE49-F238E27FC236}">
              <a16:creationId xmlns:a16="http://schemas.microsoft.com/office/drawing/2014/main" id="{BDC1EB60-1F59-459B-BF35-7823D4EB3BBB}"/>
            </a:ext>
          </a:extLst>
        </xdr:cNvPr>
        <xdr:cNvGrpSpPr>
          <a:grpSpLocks/>
        </xdr:cNvGrpSpPr>
      </xdr:nvGrpSpPr>
      <xdr:grpSpPr bwMode="auto">
        <a:xfrm rot="5400000">
          <a:off x="3348037" y="5919788"/>
          <a:ext cx="733425" cy="57150"/>
          <a:chOff x="123" y="549"/>
          <a:chExt cx="77" cy="6"/>
        </a:xfrm>
      </xdr:grpSpPr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7ADCF3FC-CB45-46AA-ADA7-65F90B30CF9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" name="Freeform 84">
            <a:extLst>
              <a:ext uri="{FF2B5EF4-FFF2-40B4-BE49-F238E27FC236}">
                <a16:creationId xmlns:a16="http://schemas.microsoft.com/office/drawing/2014/main" id="{B71D2E48-98EB-4018-9131-CB6F24DA949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9" name="Freeform 85">
            <a:extLst>
              <a:ext uri="{FF2B5EF4-FFF2-40B4-BE49-F238E27FC236}">
                <a16:creationId xmlns:a16="http://schemas.microsoft.com/office/drawing/2014/main" id="{B3084FD0-C574-4B76-BC59-848B6F770571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111" name="Picture 87">
          <a:extLst>
            <a:ext uri="{FF2B5EF4-FFF2-40B4-BE49-F238E27FC236}">
              <a16:creationId xmlns:a16="http://schemas.microsoft.com/office/drawing/2014/main" id="{23D4B868-A2B4-47D8-8BDF-43B0BD17F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15</xdr:row>
      <xdr:rowOff>314325</xdr:rowOff>
    </xdr:from>
    <xdr:to>
      <xdr:col>23</xdr:col>
      <xdr:colOff>142875</xdr:colOff>
      <xdr:row>15</xdr:row>
      <xdr:rowOff>1009650</xdr:rowOff>
    </xdr:to>
    <xdr:pic>
      <xdr:nvPicPr>
        <xdr:cNvPr id="1112" name="Picture 88">
          <a:extLst>
            <a:ext uri="{FF2B5EF4-FFF2-40B4-BE49-F238E27FC236}">
              <a16:creationId xmlns:a16="http://schemas.microsoft.com/office/drawing/2014/main" id="{386814BC-BABE-40F9-A3FF-0E745361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542925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85725</xdr:colOff>
      <xdr:row>15</xdr:row>
      <xdr:rowOff>1209675</xdr:rowOff>
    </xdr:from>
    <xdr:to>
      <xdr:col>8</xdr:col>
      <xdr:colOff>38100</xdr:colOff>
      <xdr:row>15</xdr:row>
      <xdr:rowOff>1419225</xdr:rowOff>
    </xdr:to>
    <xdr:sp macro="" textlink="">
      <xdr:nvSpPr>
        <xdr:cNvPr id="1113" name="Text Box 89">
          <a:extLst>
            <a:ext uri="{FF2B5EF4-FFF2-40B4-BE49-F238E27FC236}">
              <a16:creationId xmlns:a16="http://schemas.microsoft.com/office/drawing/2014/main" id="{7D3D2B36-EB27-4AE7-AEEA-D87E6807D4B3}"/>
            </a:ext>
          </a:extLst>
        </xdr:cNvPr>
        <xdr:cNvSpPr txBox="1">
          <a:spLocks noChangeArrowheads="1"/>
        </xdr:cNvSpPr>
      </xdr:nvSpPr>
      <xdr:spPr bwMode="auto">
        <a:xfrm>
          <a:off x="962025" y="6324600"/>
          <a:ext cx="1209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）</a:t>
          </a:r>
        </a:p>
      </xdr:txBody>
    </xdr:sp>
    <xdr:clientData/>
  </xdr:twoCellAnchor>
  <xdr:twoCellAnchor>
    <xdr:from>
      <xdr:col>4</xdr:col>
      <xdr:colOff>76200</xdr:colOff>
      <xdr:row>15</xdr:row>
      <xdr:rowOff>276225</xdr:rowOff>
    </xdr:from>
    <xdr:to>
      <xdr:col>8</xdr:col>
      <xdr:colOff>28575</xdr:colOff>
      <xdr:row>15</xdr:row>
      <xdr:rowOff>485775</xdr:rowOff>
    </xdr:to>
    <xdr:sp macro="" textlink="">
      <xdr:nvSpPr>
        <xdr:cNvPr id="1114" name="Text Box 90">
          <a:extLst>
            <a:ext uri="{FF2B5EF4-FFF2-40B4-BE49-F238E27FC236}">
              <a16:creationId xmlns:a16="http://schemas.microsoft.com/office/drawing/2014/main" id="{B9545115-0B27-4E23-9932-DAFB2B6453FB}"/>
            </a:ext>
          </a:extLst>
        </xdr:cNvPr>
        <xdr:cNvSpPr txBox="1">
          <a:spLocks noChangeArrowheads="1"/>
        </xdr:cNvSpPr>
      </xdr:nvSpPr>
      <xdr:spPr bwMode="auto">
        <a:xfrm>
          <a:off x="952500" y="5391150"/>
          <a:ext cx="1209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）</a:t>
          </a:r>
        </a:p>
      </xdr:txBody>
    </xdr:sp>
    <xdr:clientData/>
  </xdr:twoCellAnchor>
  <xdr:twoCellAnchor>
    <xdr:from>
      <xdr:col>5</xdr:col>
      <xdr:colOff>66675</xdr:colOff>
      <xdr:row>15</xdr:row>
      <xdr:rowOff>1285875</xdr:rowOff>
    </xdr:from>
    <xdr:to>
      <xdr:col>6</xdr:col>
      <xdr:colOff>304800</xdr:colOff>
      <xdr:row>15</xdr:row>
      <xdr:rowOff>1323975</xdr:rowOff>
    </xdr:to>
    <xdr:grpSp>
      <xdr:nvGrpSpPr>
        <xdr:cNvPr id="1115" name="Group 91">
          <a:extLst>
            <a:ext uri="{FF2B5EF4-FFF2-40B4-BE49-F238E27FC236}">
              <a16:creationId xmlns:a16="http://schemas.microsoft.com/office/drawing/2014/main" id="{90C7EFDE-899F-4151-8151-2F1C23FF7C0E}"/>
            </a:ext>
          </a:extLst>
        </xdr:cNvPr>
        <xdr:cNvGrpSpPr>
          <a:grpSpLocks/>
        </xdr:cNvGrpSpPr>
      </xdr:nvGrpSpPr>
      <xdr:grpSpPr bwMode="auto">
        <a:xfrm>
          <a:off x="1257300" y="6400800"/>
          <a:ext cx="552450" cy="38100"/>
          <a:chOff x="123" y="549"/>
          <a:chExt cx="77" cy="6"/>
        </a:xfrm>
      </xdr:grpSpPr>
      <xdr:sp macro="" textlink="">
        <xdr:nvSpPr>
          <xdr:cNvPr id="1116" name="Line 92">
            <a:extLst>
              <a:ext uri="{FF2B5EF4-FFF2-40B4-BE49-F238E27FC236}">
                <a16:creationId xmlns:a16="http://schemas.microsoft.com/office/drawing/2014/main" id="{3D3D23F0-99D3-4F0E-97AE-0B6B44AEFB8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7" name="Freeform 93">
            <a:extLst>
              <a:ext uri="{FF2B5EF4-FFF2-40B4-BE49-F238E27FC236}">
                <a16:creationId xmlns:a16="http://schemas.microsoft.com/office/drawing/2014/main" id="{F2260DA1-CA63-492B-BE0E-0DE014B6A08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8" name="Freeform 94">
            <a:extLst>
              <a:ext uri="{FF2B5EF4-FFF2-40B4-BE49-F238E27FC236}">
                <a16:creationId xmlns:a16="http://schemas.microsoft.com/office/drawing/2014/main" id="{A4FA7E83-CB77-4428-A38A-E8086C0F80A1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76200</xdr:colOff>
      <xdr:row>15</xdr:row>
      <xdr:rowOff>352425</xdr:rowOff>
    </xdr:from>
    <xdr:to>
      <xdr:col>6</xdr:col>
      <xdr:colOff>295275</xdr:colOff>
      <xdr:row>15</xdr:row>
      <xdr:rowOff>400050</xdr:rowOff>
    </xdr:to>
    <xdr:grpSp>
      <xdr:nvGrpSpPr>
        <xdr:cNvPr id="1119" name="Group 95">
          <a:extLst>
            <a:ext uri="{FF2B5EF4-FFF2-40B4-BE49-F238E27FC236}">
              <a16:creationId xmlns:a16="http://schemas.microsoft.com/office/drawing/2014/main" id="{66A994DC-4BB9-40B2-B9E0-E80BA5C4616F}"/>
            </a:ext>
          </a:extLst>
        </xdr:cNvPr>
        <xdr:cNvGrpSpPr>
          <a:grpSpLocks/>
        </xdr:cNvGrpSpPr>
      </xdr:nvGrpSpPr>
      <xdr:grpSpPr bwMode="auto">
        <a:xfrm>
          <a:off x="1266825" y="5467350"/>
          <a:ext cx="533400" cy="47625"/>
          <a:chOff x="123" y="549"/>
          <a:chExt cx="77" cy="6"/>
        </a:xfrm>
      </xdr:grpSpPr>
      <xdr:sp macro="" textlink="">
        <xdr:nvSpPr>
          <xdr:cNvPr id="1120" name="Line 96">
            <a:extLst>
              <a:ext uri="{FF2B5EF4-FFF2-40B4-BE49-F238E27FC236}">
                <a16:creationId xmlns:a16="http://schemas.microsoft.com/office/drawing/2014/main" id="{C9308470-AC59-4F34-9D63-60ACE46506D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1" name="Freeform 97">
            <a:extLst>
              <a:ext uri="{FF2B5EF4-FFF2-40B4-BE49-F238E27FC236}">
                <a16:creationId xmlns:a16="http://schemas.microsoft.com/office/drawing/2014/main" id="{90EEEE77-23E0-4EBF-9F9E-11F7EF2D90B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2" name="Freeform 98">
            <a:extLst>
              <a:ext uri="{FF2B5EF4-FFF2-40B4-BE49-F238E27FC236}">
                <a16:creationId xmlns:a16="http://schemas.microsoft.com/office/drawing/2014/main" id="{761ED673-BF62-49BD-95C7-146549271A4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209550</xdr:colOff>
      <xdr:row>15</xdr:row>
      <xdr:rowOff>171450</xdr:rowOff>
    </xdr:from>
    <xdr:to>
      <xdr:col>10</xdr:col>
      <xdr:colOff>247650</xdr:colOff>
      <xdr:row>15</xdr:row>
      <xdr:rowOff>333375</xdr:rowOff>
    </xdr:to>
    <xdr:sp macro="" textlink="">
      <xdr:nvSpPr>
        <xdr:cNvPr id="1123" name="Text Box 99">
          <a:extLst>
            <a:ext uri="{FF2B5EF4-FFF2-40B4-BE49-F238E27FC236}">
              <a16:creationId xmlns:a16="http://schemas.microsoft.com/office/drawing/2014/main" id="{DD206C76-B31E-4C3B-AFAA-9AA539160AA0}"/>
            </a:ext>
          </a:extLst>
        </xdr:cNvPr>
        <xdr:cNvSpPr txBox="1">
          <a:spLocks noChangeArrowheads="1"/>
        </xdr:cNvSpPr>
      </xdr:nvSpPr>
      <xdr:spPr bwMode="auto">
        <a:xfrm>
          <a:off x="2657475" y="52863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161925</xdr:colOff>
      <xdr:row>15</xdr:row>
      <xdr:rowOff>1247775</xdr:rowOff>
    </xdr:from>
    <xdr:to>
      <xdr:col>8</xdr:col>
      <xdr:colOff>200025</xdr:colOff>
      <xdr:row>15</xdr:row>
      <xdr:rowOff>1409700</xdr:rowOff>
    </xdr:to>
    <xdr:sp macro="" textlink="">
      <xdr:nvSpPr>
        <xdr:cNvPr id="1124" name="Text Box 100">
          <a:extLst>
            <a:ext uri="{FF2B5EF4-FFF2-40B4-BE49-F238E27FC236}">
              <a16:creationId xmlns:a16="http://schemas.microsoft.com/office/drawing/2014/main" id="{B0C9F17F-2571-4430-99EC-A9FC2A5F2613}"/>
            </a:ext>
          </a:extLst>
        </xdr:cNvPr>
        <xdr:cNvSpPr txBox="1">
          <a:spLocks noChangeArrowheads="1"/>
        </xdr:cNvSpPr>
      </xdr:nvSpPr>
      <xdr:spPr bwMode="auto">
        <a:xfrm>
          <a:off x="1981200" y="63627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12</xdr:col>
      <xdr:colOff>190500</xdr:colOff>
      <xdr:row>15</xdr:row>
      <xdr:rowOff>190500</xdr:rowOff>
    </xdr:from>
    <xdr:to>
      <xdr:col>13</xdr:col>
      <xdr:colOff>228600</xdr:colOff>
      <xdr:row>15</xdr:row>
      <xdr:rowOff>352425</xdr:rowOff>
    </xdr:to>
    <xdr:sp macro="" textlink="">
      <xdr:nvSpPr>
        <xdr:cNvPr id="1125" name="Text Box 101">
          <a:extLst>
            <a:ext uri="{FF2B5EF4-FFF2-40B4-BE49-F238E27FC236}">
              <a16:creationId xmlns:a16="http://schemas.microsoft.com/office/drawing/2014/main" id="{802906CC-B725-40CE-85C9-9E3328F95A5D}"/>
            </a:ext>
          </a:extLst>
        </xdr:cNvPr>
        <xdr:cNvSpPr txBox="1">
          <a:spLocks noChangeArrowheads="1"/>
        </xdr:cNvSpPr>
      </xdr:nvSpPr>
      <xdr:spPr bwMode="auto">
        <a:xfrm>
          <a:off x="3581400" y="53054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171450</xdr:colOff>
      <xdr:row>15</xdr:row>
      <xdr:rowOff>314325</xdr:rowOff>
    </xdr:from>
    <xdr:to>
      <xdr:col>8</xdr:col>
      <xdr:colOff>209550</xdr:colOff>
      <xdr:row>15</xdr:row>
      <xdr:rowOff>476250</xdr:rowOff>
    </xdr:to>
    <xdr:sp macro="" textlink="">
      <xdr:nvSpPr>
        <xdr:cNvPr id="1126" name="Text Box 102">
          <a:extLst>
            <a:ext uri="{FF2B5EF4-FFF2-40B4-BE49-F238E27FC236}">
              <a16:creationId xmlns:a16="http://schemas.microsoft.com/office/drawing/2014/main" id="{DE266A7A-7397-4DD4-B841-13A1AE11080A}"/>
            </a:ext>
          </a:extLst>
        </xdr:cNvPr>
        <xdr:cNvSpPr txBox="1">
          <a:spLocks noChangeArrowheads="1"/>
        </xdr:cNvSpPr>
      </xdr:nvSpPr>
      <xdr:spPr bwMode="auto">
        <a:xfrm>
          <a:off x="1990725" y="54292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5</xdr:col>
      <xdr:colOff>247650</xdr:colOff>
      <xdr:row>15</xdr:row>
      <xdr:rowOff>1362075</xdr:rowOff>
    </xdr:from>
    <xdr:to>
      <xdr:col>6</xdr:col>
      <xdr:colOff>285750</xdr:colOff>
      <xdr:row>15</xdr:row>
      <xdr:rowOff>1524000</xdr:rowOff>
    </xdr:to>
    <xdr:sp macro="" textlink="">
      <xdr:nvSpPr>
        <xdr:cNvPr id="1127" name="Text Box 103">
          <a:extLst>
            <a:ext uri="{FF2B5EF4-FFF2-40B4-BE49-F238E27FC236}">
              <a16:creationId xmlns:a16="http://schemas.microsoft.com/office/drawing/2014/main" id="{CF166DCD-E467-488C-A231-A5EC6658F1E9}"/>
            </a:ext>
          </a:extLst>
        </xdr:cNvPr>
        <xdr:cNvSpPr txBox="1">
          <a:spLocks noChangeArrowheads="1"/>
        </xdr:cNvSpPr>
      </xdr:nvSpPr>
      <xdr:spPr bwMode="auto">
        <a:xfrm>
          <a:off x="1438275" y="64770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6.3m</a:t>
          </a:r>
        </a:p>
      </xdr:txBody>
    </xdr:sp>
    <xdr:clientData/>
  </xdr:twoCellAnchor>
  <xdr:twoCellAnchor>
    <xdr:from>
      <xdr:col>9</xdr:col>
      <xdr:colOff>190500</xdr:colOff>
      <xdr:row>15</xdr:row>
      <xdr:rowOff>1276350</xdr:rowOff>
    </xdr:from>
    <xdr:to>
      <xdr:col>10</xdr:col>
      <xdr:colOff>228600</xdr:colOff>
      <xdr:row>15</xdr:row>
      <xdr:rowOff>1438275</xdr:rowOff>
    </xdr:to>
    <xdr:sp macro="" textlink="">
      <xdr:nvSpPr>
        <xdr:cNvPr id="1128" name="Text Box 104">
          <a:extLst>
            <a:ext uri="{FF2B5EF4-FFF2-40B4-BE49-F238E27FC236}">
              <a16:creationId xmlns:a16="http://schemas.microsoft.com/office/drawing/2014/main" id="{BBC9CF1F-0E9C-4FCD-B7F2-1316B923A108}"/>
            </a:ext>
          </a:extLst>
        </xdr:cNvPr>
        <xdr:cNvSpPr txBox="1">
          <a:spLocks noChangeArrowheads="1"/>
        </xdr:cNvSpPr>
      </xdr:nvSpPr>
      <xdr:spPr bwMode="auto">
        <a:xfrm>
          <a:off x="2638425" y="6391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16.1m</a:t>
          </a:r>
        </a:p>
      </xdr:txBody>
    </xdr:sp>
    <xdr:clientData/>
  </xdr:twoCellAnchor>
  <xdr:twoCellAnchor>
    <xdr:from>
      <xdr:col>5</xdr:col>
      <xdr:colOff>19050</xdr:colOff>
      <xdr:row>5</xdr:row>
      <xdr:rowOff>0</xdr:rowOff>
    </xdr:from>
    <xdr:to>
      <xdr:col>11</xdr:col>
      <xdr:colOff>276225</xdr:colOff>
      <xdr:row>7</xdr:row>
      <xdr:rowOff>161925</xdr:rowOff>
    </xdr:to>
    <xdr:sp macro="" textlink="">
      <xdr:nvSpPr>
        <xdr:cNvPr id="1129" name="Rectangle 105">
          <a:extLst>
            <a:ext uri="{FF2B5EF4-FFF2-40B4-BE49-F238E27FC236}">
              <a16:creationId xmlns:a16="http://schemas.microsoft.com/office/drawing/2014/main" id="{8756FA74-E83F-414B-85E4-FAADF17BC230}"/>
            </a:ext>
          </a:extLst>
        </xdr:cNvPr>
        <xdr:cNvSpPr>
          <a:spLocks noChangeArrowheads="1"/>
        </xdr:cNvSpPr>
      </xdr:nvSpPr>
      <xdr:spPr bwMode="auto">
        <a:xfrm>
          <a:off x="1209675" y="1181100"/>
          <a:ext cx="2143125" cy="619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66675</xdr:colOff>
      <xdr:row>5</xdr:row>
      <xdr:rowOff>57150</xdr:rowOff>
    </xdr:from>
    <xdr:to>
      <xdr:col>19</xdr:col>
      <xdr:colOff>152400</xdr:colOff>
      <xdr:row>7</xdr:row>
      <xdr:rowOff>219075</xdr:rowOff>
    </xdr:to>
    <xdr:sp macro="" textlink="">
      <xdr:nvSpPr>
        <xdr:cNvPr id="1130" name="Rectangle 106">
          <a:extLst>
            <a:ext uri="{FF2B5EF4-FFF2-40B4-BE49-F238E27FC236}">
              <a16:creationId xmlns:a16="http://schemas.microsoft.com/office/drawing/2014/main" id="{B94A0470-836F-4DCF-A73B-43E244561CB9}"/>
            </a:ext>
          </a:extLst>
        </xdr:cNvPr>
        <xdr:cNvSpPr>
          <a:spLocks noChangeArrowheads="1"/>
        </xdr:cNvSpPr>
      </xdr:nvSpPr>
      <xdr:spPr bwMode="auto">
        <a:xfrm>
          <a:off x="4400550" y="1238250"/>
          <a:ext cx="1343025" cy="619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K37" sqref="K37"/>
    </sheetView>
  </sheetViews>
  <sheetFormatPr defaultRowHeight="12" x14ac:dyDescent="0.15"/>
  <cols>
    <col min="1" max="1" width="7.5" style="56" bestFit="1" customWidth="1"/>
    <col min="2" max="2" width="2.25" style="47" bestFit="1" customWidth="1"/>
    <col min="3" max="3" width="5.25" style="47" bestFit="1" customWidth="1"/>
    <col min="4" max="4" width="2.25" style="63" bestFit="1" customWidth="1"/>
    <col min="5" max="24" width="4.125" style="30" customWidth="1"/>
    <col min="25" max="16384" width="9" style="30"/>
  </cols>
  <sheetData>
    <row r="1" spans="1:30" ht="15" customHeight="1" x14ac:dyDescent="0.15">
      <c r="A1" s="84" t="s">
        <v>0</v>
      </c>
      <c r="B1" s="66"/>
      <c r="C1" s="66"/>
      <c r="D1" s="66"/>
      <c r="E1" s="71"/>
      <c r="F1" s="65" t="s">
        <v>48</v>
      </c>
      <c r="G1" s="66"/>
      <c r="H1" s="69" t="s">
        <v>47</v>
      </c>
      <c r="I1" s="69"/>
      <c r="J1" s="69"/>
      <c r="K1" s="69"/>
      <c r="L1" s="66" t="s">
        <v>41</v>
      </c>
      <c r="M1" s="71"/>
      <c r="N1" s="73" t="s">
        <v>42</v>
      </c>
      <c r="O1" s="71"/>
      <c r="P1" s="78">
        <v>46064</v>
      </c>
      <c r="Q1" s="79"/>
      <c r="R1" s="79"/>
      <c r="S1" s="80"/>
      <c r="T1" s="64" t="s">
        <v>3</v>
      </c>
      <c r="U1" s="64"/>
      <c r="V1" s="64" t="s">
        <v>54</v>
      </c>
      <c r="W1" s="64"/>
      <c r="X1" s="64"/>
    </row>
    <row r="2" spans="1:30" ht="7.5" customHeight="1" x14ac:dyDescent="0.15">
      <c r="A2" s="67"/>
      <c r="B2" s="68"/>
      <c r="C2" s="68"/>
      <c r="D2" s="68"/>
      <c r="E2" s="72"/>
      <c r="F2" s="67"/>
      <c r="G2" s="68"/>
      <c r="H2" s="70"/>
      <c r="I2" s="70"/>
      <c r="J2" s="70"/>
      <c r="K2" s="70"/>
      <c r="L2" s="68"/>
      <c r="M2" s="72"/>
      <c r="N2" s="74"/>
      <c r="O2" s="75"/>
      <c r="P2" s="81"/>
      <c r="Q2" s="82"/>
      <c r="R2" s="82"/>
      <c r="S2" s="83"/>
      <c r="T2" s="84" t="s">
        <v>6</v>
      </c>
      <c r="U2" s="71"/>
      <c r="V2" s="85">
        <v>46023</v>
      </c>
      <c r="W2" s="86"/>
      <c r="X2" s="87"/>
    </row>
    <row r="3" spans="1:30" ht="7.5" customHeight="1" x14ac:dyDescent="0.15">
      <c r="A3" s="74" t="s">
        <v>4</v>
      </c>
      <c r="B3" s="108"/>
      <c r="C3" s="108"/>
      <c r="D3" s="108"/>
      <c r="E3" s="75"/>
      <c r="F3" s="110" t="s">
        <v>49</v>
      </c>
      <c r="G3" s="111"/>
      <c r="H3" s="112" t="s">
        <v>47</v>
      </c>
      <c r="I3" s="112"/>
      <c r="J3" s="112"/>
      <c r="K3" s="112"/>
      <c r="L3" s="114" t="s">
        <v>43</v>
      </c>
      <c r="M3" s="115"/>
      <c r="N3" s="74"/>
      <c r="O3" s="75"/>
      <c r="P3" s="118">
        <v>0.99791666666666667</v>
      </c>
      <c r="Q3" s="119"/>
      <c r="R3" s="119"/>
      <c r="S3" s="91" t="s">
        <v>44</v>
      </c>
      <c r="T3" s="76"/>
      <c r="U3" s="77"/>
      <c r="V3" s="88"/>
      <c r="W3" s="89"/>
      <c r="X3" s="90"/>
    </row>
    <row r="4" spans="1:30" ht="15" customHeight="1" x14ac:dyDescent="0.15">
      <c r="A4" s="76"/>
      <c r="B4" s="109"/>
      <c r="C4" s="109"/>
      <c r="D4" s="109"/>
      <c r="E4" s="77"/>
      <c r="F4" s="76"/>
      <c r="G4" s="109"/>
      <c r="H4" s="113"/>
      <c r="I4" s="113"/>
      <c r="J4" s="113"/>
      <c r="K4" s="113"/>
      <c r="L4" s="116"/>
      <c r="M4" s="117"/>
      <c r="N4" s="76"/>
      <c r="O4" s="77"/>
      <c r="P4" s="120"/>
      <c r="Q4" s="121"/>
      <c r="R4" s="121"/>
      <c r="S4" s="77"/>
      <c r="T4" s="64" t="s">
        <v>45</v>
      </c>
      <c r="U4" s="64"/>
      <c r="V4" s="64" t="s">
        <v>53</v>
      </c>
      <c r="W4" s="64"/>
      <c r="X4" s="64"/>
      <c r="Z4" s="31" t="s">
        <v>46</v>
      </c>
      <c r="AA4" s="32">
        <v>1684</v>
      </c>
    </row>
    <row r="5" spans="1:30" ht="18" customHeight="1" x14ac:dyDescent="0.15">
      <c r="A5" s="92"/>
      <c r="B5" s="93"/>
      <c r="C5" s="93"/>
      <c r="D5" s="93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5"/>
    </row>
    <row r="6" spans="1:30" ht="18" customHeight="1" x14ac:dyDescent="0.15">
      <c r="A6" s="94"/>
      <c r="B6" s="95"/>
      <c r="C6" s="95"/>
      <c r="D6" s="95"/>
      <c r="X6" s="46"/>
    </row>
    <row r="7" spans="1:30" ht="18" customHeight="1" x14ac:dyDescent="0.15">
      <c r="A7" s="94"/>
      <c r="B7" s="95"/>
      <c r="C7" s="95"/>
      <c r="D7" s="95"/>
      <c r="X7" s="46"/>
    </row>
    <row r="8" spans="1:30" ht="18" customHeight="1" x14ac:dyDescent="0.15">
      <c r="A8" s="94"/>
      <c r="B8" s="95"/>
      <c r="C8" s="95"/>
      <c r="D8" s="95"/>
      <c r="X8" s="46"/>
    </row>
    <row r="9" spans="1:30" ht="18" customHeight="1" x14ac:dyDescent="0.15">
      <c r="A9" s="94"/>
      <c r="B9" s="95"/>
      <c r="C9" s="95"/>
      <c r="D9" s="95"/>
      <c r="X9" s="46"/>
    </row>
    <row r="10" spans="1:30" ht="147.75" customHeight="1" x14ac:dyDescent="0.15">
      <c r="A10" s="94"/>
      <c r="B10" s="95"/>
      <c r="C10" s="95"/>
      <c r="D10" s="95"/>
      <c r="X10" s="46"/>
    </row>
    <row r="11" spans="1:30" ht="18" customHeight="1" x14ac:dyDescent="0.15">
      <c r="A11" s="94"/>
      <c r="B11" s="95"/>
      <c r="C11" s="95"/>
      <c r="D11" s="95"/>
      <c r="X11" s="46"/>
    </row>
    <row r="12" spans="1:30" ht="18" customHeight="1" x14ac:dyDescent="0.15">
      <c r="A12" s="94"/>
      <c r="B12" s="95"/>
      <c r="C12" s="95"/>
      <c r="D12" s="95"/>
      <c r="X12" s="46"/>
    </row>
    <row r="13" spans="1:30" ht="18" customHeight="1" x14ac:dyDescent="0.15">
      <c r="A13" s="96"/>
      <c r="B13" s="97"/>
      <c r="C13" s="95"/>
      <c r="D13" s="95"/>
      <c r="E13" s="47"/>
      <c r="F13" s="47"/>
      <c r="G13" s="47"/>
      <c r="H13" s="47"/>
      <c r="I13" s="47"/>
      <c r="X13" s="46"/>
    </row>
    <row r="14" spans="1:30" ht="18" customHeight="1" x14ac:dyDescent="0.15">
      <c r="A14" s="96"/>
      <c r="B14" s="97"/>
      <c r="C14" s="101"/>
      <c r="D14" s="101"/>
      <c r="X14" s="46"/>
      <c r="Z14" s="30">
        <v>50</v>
      </c>
      <c r="AA14" s="30">
        <f>Z14/3.6</f>
        <v>13.888888888888889</v>
      </c>
      <c r="AC14" s="33">
        <v>36.4</v>
      </c>
      <c r="AD14" s="33">
        <f>AC14/AA14</f>
        <v>2.6208</v>
      </c>
    </row>
    <row r="15" spans="1:30" ht="18" customHeight="1" x14ac:dyDescent="0.15">
      <c r="A15" s="102"/>
      <c r="B15" s="103"/>
      <c r="C15" s="103"/>
      <c r="D15" s="103"/>
      <c r="E15" s="48"/>
      <c r="F15" s="48"/>
      <c r="G15" s="48"/>
      <c r="H15" s="48"/>
      <c r="I15" s="49"/>
      <c r="J15" s="49"/>
      <c r="K15" s="49"/>
      <c r="L15" s="49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Z15" s="30">
        <v>30</v>
      </c>
      <c r="AA15" s="30">
        <f>Z15/3.6</f>
        <v>8.3333333333333339</v>
      </c>
      <c r="AC15" s="33">
        <v>37.799999999999997</v>
      </c>
      <c r="AD15" s="33">
        <f>AC15/AA15</f>
        <v>4.5359999999999996</v>
      </c>
    </row>
    <row r="16" spans="1:30" s="43" customFormat="1" ht="18" customHeight="1" x14ac:dyDescent="0.15">
      <c r="A16" s="104" t="s">
        <v>7</v>
      </c>
      <c r="B16" s="104"/>
      <c r="C16" s="104"/>
      <c r="D16" s="104"/>
      <c r="E16" s="52">
        <v>1</v>
      </c>
      <c r="F16" s="52">
        <v>2</v>
      </c>
      <c r="G16" s="52">
        <v>3</v>
      </c>
      <c r="H16" s="52">
        <v>4</v>
      </c>
      <c r="I16" s="52">
        <v>5</v>
      </c>
      <c r="J16" s="52">
        <v>6</v>
      </c>
      <c r="K16" s="52">
        <v>7</v>
      </c>
      <c r="L16" s="52">
        <v>8</v>
      </c>
      <c r="M16" s="52">
        <v>9</v>
      </c>
      <c r="N16" s="52">
        <v>10</v>
      </c>
      <c r="O16" s="52">
        <v>11</v>
      </c>
      <c r="P16" s="52">
        <v>12</v>
      </c>
      <c r="Q16" s="52">
        <v>13</v>
      </c>
      <c r="R16" s="53">
        <v>14</v>
      </c>
      <c r="S16" s="52">
        <v>15</v>
      </c>
      <c r="T16" s="52">
        <v>16</v>
      </c>
      <c r="U16" s="52">
        <v>17</v>
      </c>
      <c r="V16" s="52">
        <v>18</v>
      </c>
      <c r="W16" s="52">
        <v>19</v>
      </c>
      <c r="X16" s="52">
        <v>20</v>
      </c>
    </row>
    <row r="17" spans="1:25" s="56" customFormat="1" ht="18" customHeight="1" x14ac:dyDescent="0.15">
      <c r="A17" s="104" t="s">
        <v>8</v>
      </c>
      <c r="B17" s="104"/>
      <c r="C17" s="104"/>
      <c r="D17" s="104"/>
      <c r="E17" s="54" t="s">
        <v>9</v>
      </c>
      <c r="F17" s="54" t="s">
        <v>10</v>
      </c>
      <c r="G17" s="54" t="s">
        <v>11</v>
      </c>
      <c r="H17" s="54" t="s">
        <v>12</v>
      </c>
      <c r="I17" s="54" t="s">
        <v>13</v>
      </c>
      <c r="J17" s="54" t="s">
        <v>14</v>
      </c>
      <c r="K17" s="54" t="s">
        <v>15</v>
      </c>
      <c r="L17" s="54" t="s">
        <v>16</v>
      </c>
      <c r="M17" s="54" t="s">
        <v>17</v>
      </c>
      <c r="N17" s="55" t="s">
        <v>18</v>
      </c>
      <c r="O17" s="54"/>
      <c r="P17" s="54"/>
      <c r="Q17" s="54"/>
      <c r="R17" s="54"/>
      <c r="S17" s="54"/>
      <c r="T17" s="54"/>
      <c r="U17" s="54"/>
      <c r="V17" s="54"/>
      <c r="W17" s="54"/>
      <c r="X17" s="54"/>
    </row>
    <row r="18" spans="1:25" s="56" customFormat="1" ht="125.1" customHeight="1" x14ac:dyDescent="0.15">
      <c r="A18" s="98"/>
      <c r="B18" s="99"/>
      <c r="C18" s="99"/>
      <c r="D18" s="100"/>
      <c r="E18" s="57"/>
      <c r="F18" s="57"/>
      <c r="G18" s="57"/>
      <c r="H18" s="57"/>
      <c r="I18" s="55"/>
      <c r="J18" s="57"/>
      <c r="K18" s="57"/>
      <c r="L18" s="57"/>
      <c r="M18" s="57"/>
      <c r="N18" s="55"/>
      <c r="O18" s="57"/>
      <c r="P18" s="57"/>
      <c r="R18" s="57"/>
      <c r="S18" s="57"/>
      <c r="T18" s="57"/>
      <c r="U18" s="57"/>
      <c r="V18" s="57"/>
      <c r="W18" s="57"/>
      <c r="X18" s="55"/>
      <c r="Y18" s="58"/>
    </row>
    <row r="19" spans="1:25" ht="18" customHeight="1" x14ac:dyDescent="0.15">
      <c r="A19" s="98" t="s">
        <v>52</v>
      </c>
      <c r="B19" s="99"/>
      <c r="C19" s="99" t="s">
        <v>20</v>
      </c>
      <c r="D19" s="100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spans="1:25" ht="18" customHeight="1" x14ac:dyDescent="0.15">
      <c r="A20" s="98" t="s">
        <v>21</v>
      </c>
      <c r="B20" s="99"/>
      <c r="C20" s="99" t="s">
        <v>22</v>
      </c>
      <c r="D20" s="100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spans="1:25" ht="18" customHeight="1" x14ac:dyDescent="0.15">
      <c r="A21" s="98" t="s">
        <v>36</v>
      </c>
      <c r="B21" s="99"/>
      <c r="C21" s="99" t="s">
        <v>23</v>
      </c>
      <c r="D21" s="100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spans="1:25" ht="18" customHeight="1" x14ac:dyDescent="0.15">
      <c r="A22" s="98" t="s">
        <v>24</v>
      </c>
      <c r="B22" s="99"/>
      <c r="C22" s="99" t="s">
        <v>25</v>
      </c>
      <c r="D22" s="100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spans="1:25" ht="18" customHeight="1" x14ac:dyDescent="0.15">
      <c r="A23" s="98"/>
      <c r="B23" s="99"/>
      <c r="C23" s="99"/>
      <c r="D23" s="100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spans="1:25" ht="18" customHeight="1" x14ac:dyDescent="0.15">
      <c r="A24" s="98"/>
      <c r="B24" s="99"/>
      <c r="C24" s="99"/>
      <c r="D24" s="100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spans="1:25" ht="18" customHeight="1" x14ac:dyDescent="0.15">
      <c r="A25" s="105"/>
      <c r="B25" s="106"/>
      <c r="C25" s="106"/>
      <c r="D25" s="107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spans="1:25" ht="18" customHeight="1" x14ac:dyDescent="0.15">
      <c r="A26" s="105"/>
      <c r="B26" s="106"/>
      <c r="C26" s="106"/>
      <c r="D26" s="107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spans="1:25" ht="18" customHeight="1" x14ac:dyDescent="0.15">
      <c r="A27" s="105"/>
      <c r="B27" s="106"/>
      <c r="C27" s="106"/>
      <c r="D27" s="107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spans="1:25" ht="18" customHeight="1" x14ac:dyDescent="0.15">
      <c r="A28" s="105"/>
      <c r="B28" s="106"/>
      <c r="C28" s="106"/>
      <c r="D28" s="107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spans="1:25" ht="18" customHeight="1" x14ac:dyDescent="0.15">
      <c r="A29" s="105"/>
      <c r="B29" s="106"/>
      <c r="C29" s="106"/>
      <c r="D29" s="107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spans="1:25" ht="18" customHeight="1" x14ac:dyDescent="0.15">
      <c r="A30" s="105"/>
      <c r="B30" s="106"/>
      <c r="C30" s="106"/>
      <c r="D30" s="107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5" ht="18" customHeight="1" x14ac:dyDescent="0.15">
      <c r="A31" s="105"/>
      <c r="B31" s="106"/>
      <c r="C31" s="106"/>
      <c r="D31" s="107"/>
      <c r="E31" s="59"/>
      <c r="F31" s="59"/>
      <c r="G31" s="59"/>
      <c r="H31" s="60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spans="1:25" ht="18" customHeight="1" x14ac:dyDescent="0.15">
      <c r="A32" s="105"/>
      <c r="B32" s="106"/>
      <c r="C32" s="106"/>
      <c r="D32" s="107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spans="1:27" ht="18" customHeight="1" x14ac:dyDescent="0.15">
      <c r="A33" s="34" t="s">
        <v>50</v>
      </c>
      <c r="B33" s="35"/>
      <c r="C33" s="36"/>
      <c r="D33" s="61"/>
      <c r="E33" s="37">
        <v>109</v>
      </c>
      <c r="F33" s="37"/>
      <c r="G33" s="37"/>
      <c r="H33" s="37"/>
      <c r="I33" s="37"/>
      <c r="J33" s="37">
        <v>109</v>
      </c>
      <c r="K33" s="37"/>
      <c r="L33" s="38"/>
      <c r="M33" s="37"/>
      <c r="N33" s="37"/>
      <c r="O33" s="37"/>
      <c r="P33" s="37"/>
      <c r="Q33" s="37"/>
      <c r="R33" s="37"/>
      <c r="S33" s="37"/>
      <c r="T33" s="37"/>
      <c r="U33" s="39"/>
      <c r="V33" s="39"/>
      <c r="W33" s="39"/>
      <c r="X33" s="59"/>
    </row>
    <row r="34" spans="1:27" ht="18" customHeight="1" x14ac:dyDescent="0.15">
      <c r="A34" s="40" t="s">
        <v>51</v>
      </c>
      <c r="B34" s="41" t="s">
        <v>27</v>
      </c>
      <c r="C34" s="42">
        <f>SUM(E34:X34)</f>
        <v>55</v>
      </c>
      <c r="D34" s="62" t="s">
        <v>28</v>
      </c>
      <c r="E34" s="37">
        <v>10</v>
      </c>
      <c r="F34" s="37">
        <v>5</v>
      </c>
      <c r="G34" s="37">
        <v>2</v>
      </c>
      <c r="H34" s="37">
        <v>3</v>
      </c>
      <c r="I34" s="37">
        <v>3</v>
      </c>
      <c r="J34" s="37">
        <v>17</v>
      </c>
      <c r="K34" s="37">
        <v>6</v>
      </c>
      <c r="L34" s="37">
        <v>2</v>
      </c>
      <c r="M34" s="37">
        <v>3</v>
      </c>
      <c r="N34" s="37">
        <v>4</v>
      </c>
      <c r="O34" s="37"/>
      <c r="P34" s="37"/>
      <c r="Q34" s="37"/>
      <c r="R34" s="37"/>
      <c r="S34" s="37"/>
      <c r="T34" s="37"/>
      <c r="U34" s="39"/>
      <c r="V34" s="39"/>
      <c r="W34" s="39"/>
      <c r="X34" s="59"/>
      <c r="Z34" s="43">
        <v>110</v>
      </c>
      <c r="AA34" s="43">
        <f>Z34-INT(Z34/8)-3</f>
        <v>94</v>
      </c>
    </row>
    <row r="35" spans="1:27" ht="18" customHeight="1" x14ac:dyDescent="0.15">
      <c r="A35" s="40" t="s">
        <v>26</v>
      </c>
      <c r="B35" s="41" t="s">
        <v>27</v>
      </c>
      <c r="C35" s="42">
        <f>SUM(E35:X35)</f>
        <v>150</v>
      </c>
      <c r="D35" s="62" t="s">
        <v>28</v>
      </c>
      <c r="E35" s="52">
        <v>95</v>
      </c>
      <c r="F35" s="52">
        <v>5</v>
      </c>
      <c r="G35" s="52">
        <v>2</v>
      </c>
      <c r="H35" s="52">
        <v>3</v>
      </c>
      <c r="I35" s="52">
        <v>3</v>
      </c>
      <c r="J35" s="52">
        <v>27</v>
      </c>
      <c r="K35" s="52">
        <v>6</v>
      </c>
      <c r="L35" s="52">
        <v>2</v>
      </c>
      <c r="M35" s="52">
        <v>3</v>
      </c>
      <c r="N35" s="52">
        <v>4</v>
      </c>
      <c r="O35" s="52"/>
      <c r="P35" s="52"/>
      <c r="Q35" s="52"/>
      <c r="R35" s="52"/>
      <c r="S35" s="52"/>
      <c r="T35" s="52"/>
      <c r="U35" s="52"/>
      <c r="V35" s="52"/>
      <c r="W35" s="52"/>
      <c r="X35" s="52"/>
      <c r="Z35" s="43">
        <v>150</v>
      </c>
      <c r="AA35" s="43">
        <f>Z35-INT(Z35/8)-3</f>
        <v>129</v>
      </c>
    </row>
    <row r="36" spans="1:27" ht="18" customHeight="1" x14ac:dyDescent="0.15">
      <c r="A36" s="98" t="s">
        <v>29</v>
      </c>
      <c r="B36" s="99"/>
      <c r="C36" s="99"/>
      <c r="D36" s="100"/>
      <c r="E36" s="52">
        <v>110</v>
      </c>
      <c r="F36" s="52">
        <v>110</v>
      </c>
      <c r="G36" s="52">
        <v>110</v>
      </c>
      <c r="H36" s="52">
        <v>10</v>
      </c>
      <c r="I36" s="52">
        <v>10</v>
      </c>
      <c r="J36" s="52">
        <v>110</v>
      </c>
      <c r="K36" s="52">
        <v>110</v>
      </c>
      <c r="L36" s="52">
        <v>110</v>
      </c>
      <c r="M36" s="52">
        <v>10</v>
      </c>
      <c r="N36" s="52">
        <v>10</v>
      </c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spans="1:27" ht="18" customHeight="1" x14ac:dyDescent="0.15">
      <c r="A37" s="98" t="s">
        <v>30</v>
      </c>
      <c r="B37" s="99"/>
      <c r="C37" s="99"/>
      <c r="D37" s="100"/>
      <c r="E37" s="37">
        <v>6</v>
      </c>
      <c r="F37" s="37">
        <v>0.95</v>
      </c>
      <c r="G37" s="37">
        <v>0.95</v>
      </c>
      <c r="H37" s="37">
        <v>0.95</v>
      </c>
      <c r="I37" s="37">
        <v>0.95</v>
      </c>
      <c r="J37" s="37">
        <v>6</v>
      </c>
      <c r="K37" s="37">
        <v>0.95</v>
      </c>
      <c r="L37" s="37">
        <v>0.95</v>
      </c>
      <c r="M37" s="37">
        <v>0.95</v>
      </c>
      <c r="N37" s="37">
        <v>0.95</v>
      </c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spans="1:27" ht="18" customHeight="1" x14ac:dyDescent="0.15">
      <c r="A38" s="98" t="s">
        <v>31</v>
      </c>
      <c r="B38" s="99"/>
      <c r="C38" s="99"/>
      <c r="D38" s="100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</sheetData>
  <mergeCells count="74">
    <mergeCell ref="A3:E4"/>
    <mergeCell ref="F3:G4"/>
    <mergeCell ref="H3:K4"/>
    <mergeCell ref="L3:M4"/>
    <mergeCell ref="P3:R4"/>
    <mergeCell ref="A36:D36"/>
    <mergeCell ref="A37:D37"/>
    <mergeCell ref="A38:D38"/>
    <mergeCell ref="A1:E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  <mergeCell ref="V1:X1"/>
    <mergeCell ref="T4:U4"/>
    <mergeCell ref="V4:X4"/>
    <mergeCell ref="F1:G2"/>
    <mergeCell ref="H1:K2"/>
    <mergeCell ref="L1:M2"/>
    <mergeCell ref="T1:U1"/>
    <mergeCell ref="N1:O4"/>
    <mergeCell ref="P1:S2"/>
    <mergeCell ref="T2:U3"/>
    <mergeCell ref="V2:X3"/>
    <mergeCell ref="S3:S4"/>
  </mergeCells>
  <phoneticPr fontId="2"/>
  <pageMargins left="0.78740157480314965" right="0" top="0.39370078740157483" bottom="0.19685039370078741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9"/>
  <dimension ref="A1:Y36"/>
  <sheetViews>
    <sheetView topLeftCell="A2" zoomScaleNormal="100" workbookViewId="0">
      <selection activeCell="H2" sqref="H2"/>
    </sheetView>
  </sheetViews>
  <sheetFormatPr defaultRowHeight="11.25" x14ac:dyDescent="0.15"/>
  <cols>
    <col min="1" max="1" width="5.125" style="8" customWidth="1"/>
    <col min="2" max="2" width="0.875" style="8" customWidth="1"/>
    <col min="3" max="3" width="4.625" style="8" customWidth="1"/>
    <col min="4" max="4" width="0.875" style="8" customWidth="1"/>
    <col min="5" max="24" width="4.125" style="3" customWidth="1"/>
    <col min="25" max="16384" width="9" style="3"/>
  </cols>
  <sheetData>
    <row r="1" spans="1:25" ht="20.100000000000001" customHeight="1" x14ac:dyDescent="0.15">
      <c r="A1" s="150" t="s">
        <v>0</v>
      </c>
      <c r="B1" s="150"/>
      <c r="C1" s="150"/>
      <c r="D1" s="150"/>
      <c r="E1" s="150"/>
      <c r="F1" s="151" t="s">
        <v>34</v>
      </c>
      <c r="G1" s="152"/>
      <c r="H1" s="145" t="s">
        <v>1</v>
      </c>
      <c r="I1" s="146"/>
      <c r="J1" s="146"/>
      <c r="K1" s="146"/>
      <c r="L1" s="146"/>
      <c r="M1" s="146"/>
      <c r="N1" s="147" t="s">
        <v>2</v>
      </c>
      <c r="O1" s="147"/>
      <c r="P1" s="148">
        <v>38057</v>
      </c>
      <c r="Q1" s="149"/>
      <c r="R1" s="149"/>
      <c r="S1" s="149"/>
      <c r="T1" s="144" t="s">
        <v>3</v>
      </c>
      <c r="U1" s="144"/>
      <c r="V1" s="139" t="s">
        <v>39</v>
      </c>
      <c r="W1" s="139"/>
      <c r="X1" s="139"/>
    </row>
    <row r="2" spans="1:25" ht="20.100000000000001" customHeight="1" x14ac:dyDescent="0.15">
      <c r="A2" s="140" t="s">
        <v>4</v>
      </c>
      <c r="B2" s="140"/>
      <c r="C2" s="140"/>
      <c r="D2" s="140"/>
      <c r="E2" s="140"/>
      <c r="F2" s="141" t="s">
        <v>35</v>
      </c>
      <c r="G2" s="137"/>
      <c r="H2" s="26" t="s">
        <v>1</v>
      </c>
      <c r="I2" s="26"/>
      <c r="J2" s="26"/>
      <c r="K2" s="26" t="s">
        <v>37</v>
      </c>
      <c r="L2" s="27"/>
      <c r="M2" s="28"/>
      <c r="N2" s="140" t="s">
        <v>5</v>
      </c>
      <c r="O2" s="140"/>
      <c r="P2" s="142" t="s">
        <v>40</v>
      </c>
      <c r="Q2" s="142"/>
      <c r="R2" s="143"/>
      <c r="S2" s="29" t="s">
        <v>38</v>
      </c>
      <c r="T2" s="144" t="s">
        <v>6</v>
      </c>
      <c r="U2" s="144"/>
      <c r="V2" s="139">
        <v>2004.1</v>
      </c>
      <c r="W2" s="139"/>
      <c r="X2" s="139"/>
    </row>
    <row r="3" spans="1:25" ht="18" customHeight="1" x14ac:dyDescent="0.15">
      <c r="A3" s="153"/>
      <c r="B3" s="154"/>
      <c r="C3" s="154"/>
      <c r="D3" s="15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31"/>
      <c r="B4" s="132"/>
      <c r="C4" s="132"/>
      <c r="D4" s="132"/>
      <c r="X4" s="9"/>
    </row>
    <row r="5" spans="1:25" ht="18" customHeight="1" x14ac:dyDescent="0.15">
      <c r="A5" s="131"/>
      <c r="B5" s="132"/>
      <c r="C5" s="132"/>
      <c r="D5" s="132"/>
      <c r="X5" s="9"/>
    </row>
    <row r="6" spans="1:25" ht="18" customHeight="1" x14ac:dyDescent="0.15">
      <c r="A6" s="131"/>
      <c r="B6" s="132"/>
      <c r="C6" s="132"/>
      <c r="D6" s="132"/>
      <c r="X6" s="9"/>
    </row>
    <row r="7" spans="1:25" ht="18" customHeight="1" x14ac:dyDescent="0.15">
      <c r="A7" s="131"/>
      <c r="B7" s="132"/>
      <c r="C7" s="132"/>
      <c r="D7" s="132"/>
      <c r="X7" s="9"/>
    </row>
    <row r="8" spans="1:25" ht="147.75" customHeight="1" x14ac:dyDescent="0.15">
      <c r="A8" s="131"/>
      <c r="B8" s="132"/>
      <c r="C8" s="132"/>
      <c r="D8" s="132"/>
      <c r="X8" s="9"/>
    </row>
    <row r="9" spans="1:25" ht="18" customHeight="1" x14ac:dyDescent="0.15">
      <c r="A9" s="131"/>
      <c r="B9" s="132"/>
      <c r="C9" s="132"/>
      <c r="D9" s="132"/>
      <c r="X9" s="9"/>
    </row>
    <row r="10" spans="1:25" ht="18" customHeight="1" x14ac:dyDescent="0.15">
      <c r="A10" s="131"/>
      <c r="B10" s="132"/>
      <c r="C10" s="132"/>
      <c r="D10" s="132"/>
      <c r="X10" s="9"/>
    </row>
    <row r="11" spans="1:25" ht="18" customHeight="1" x14ac:dyDescent="0.15">
      <c r="A11" s="134"/>
      <c r="B11" s="135"/>
      <c r="C11" s="132"/>
      <c r="D11" s="132"/>
      <c r="E11" s="8"/>
      <c r="F11" s="8"/>
      <c r="G11" s="8"/>
      <c r="H11" s="8"/>
      <c r="I11" s="8"/>
      <c r="X11" s="9"/>
    </row>
    <row r="12" spans="1:25" ht="18" customHeight="1" x14ac:dyDescent="0.15">
      <c r="A12" s="134"/>
      <c r="B12" s="135"/>
      <c r="C12" s="136"/>
      <c r="D12" s="136"/>
      <c r="X12" s="9"/>
    </row>
    <row r="13" spans="1:25" ht="18" customHeight="1" x14ac:dyDescent="0.15">
      <c r="A13" s="137"/>
      <c r="B13" s="138"/>
      <c r="C13" s="138"/>
      <c r="D13" s="138"/>
      <c r="E13" s="10"/>
      <c r="F13" s="10"/>
      <c r="G13" s="10"/>
      <c r="H13" s="10"/>
      <c r="I13" s="11"/>
      <c r="J13" s="11"/>
      <c r="K13" s="11"/>
      <c r="L13" s="1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4"/>
    </row>
    <row r="14" spans="1:25" s="14" customFormat="1" ht="18" customHeight="1" x14ac:dyDescent="0.15">
      <c r="A14" s="133" t="s">
        <v>7</v>
      </c>
      <c r="B14" s="133"/>
      <c r="C14" s="133"/>
      <c r="D14" s="133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7" customFormat="1" ht="18" customHeight="1" x14ac:dyDescent="0.15">
      <c r="A15" s="133" t="s">
        <v>8</v>
      </c>
      <c r="B15" s="133"/>
      <c r="C15" s="133"/>
      <c r="D15" s="133"/>
      <c r="E15" s="15" t="s">
        <v>9</v>
      </c>
      <c r="F15" s="15" t="s">
        <v>10</v>
      </c>
      <c r="G15" s="15" t="s">
        <v>11</v>
      </c>
      <c r="H15" s="15" t="s">
        <v>12</v>
      </c>
      <c r="I15" s="15" t="s">
        <v>13</v>
      </c>
      <c r="J15" s="15" t="s">
        <v>14</v>
      </c>
      <c r="K15" s="15" t="s">
        <v>15</v>
      </c>
      <c r="L15" s="15" t="s">
        <v>16</v>
      </c>
      <c r="M15" s="15" t="s">
        <v>17</v>
      </c>
      <c r="N15" s="16" t="s">
        <v>18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5" s="17" customFormat="1" ht="125.1" customHeight="1" x14ac:dyDescent="0.15">
      <c r="A16" s="128"/>
      <c r="B16" s="129"/>
      <c r="C16" s="129"/>
      <c r="D16" s="130"/>
      <c r="E16" s="18"/>
      <c r="F16" s="18"/>
      <c r="G16" s="18"/>
      <c r="H16" s="18"/>
      <c r="I16" s="16"/>
      <c r="J16" s="18"/>
      <c r="K16" s="18"/>
      <c r="L16" s="18"/>
      <c r="M16" s="18"/>
      <c r="N16" s="16"/>
      <c r="O16" s="18"/>
      <c r="P16" s="18"/>
      <c r="R16" s="18"/>
      <c r="S16" s="18"/>
      <c r="T16" s="18"/>
      <c r="U16" s="18"/>
      <c r="V16" s="18"/>
      <c r="W16" s="18"/>
      <c r="X16" s="16"/>
      <c r="Y16" s="19"/>
    </row>
    <row r="17" spans="1:24" ht="18" customHeight="1" x14ac:dyDescent="0.15">
      <c r="A17" s="128" t="s">
        <v>19</v>
      </c>
      <c r="B17" s="129"/>
      <c r="C17" s="129" t="s">
        <v>20</v>
      </c>
      <c r="D17" s="13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28" t="s">
        <v>21</v>
      </c>
      <c r="B18" s="129"/>
      <c r="C18" s="129" t="s">
        <v>22</v>
      </c>
      <c r="D18" s="13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28" t="s">
        <v>36</v>
      </c>
      <c r="B19" s="129"/>
      <c r="C19" s="129" t="s">
        <v>23</v>
      </c>
      <c r="D19" s="13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28" t="s">
        <v>24</v>
      </c>
      <c r="B20" s="129"/>
      <c r="C20" s="129" t="s">
        <v>25</v>
      </c>
      <c r="D20" s="13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28"/>
      <c r="B21" s="129"/>
      <c r="C21" s="129"/>
      <c r="D21" s="13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28"/>
      <c r="B22" s="129"/>
      <c r="C22" s="129"/>
      <c r="D22" s="13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27"/>
      <c r="B23" s="125"/>
      <c r="C23" s="125"/>
      <c r="D23" s="126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27"/>
      <c r="B24" s="125"/>
      <c r="C24" s="125"/>
      <c r="D24" s="126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27"/>
      <c r="B25" s="125"/>
      <c r="C25" s="125"/>
      <c r="D25" s="126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27"/>
      <c r="B26" s="125"/>
      <c r="C26" s="125"/>
      <c r="D26" s="126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27"/>
      <c r="B27" s="125"/>
      <c r="C27" s="125"/>
      <c r="D27" s="126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27"/>
      <c r="B28" s="125"/>
      <c r="C28" s="125"/>
      <c r="D28" s="126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27"/>
      <c r="B29" s="125"/>
      <c r="C29" s="125"/>
      <c r="D29" s="126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27"/>
      <c r="B30" s="125"/>
      <c r="C30" s="125"/>
      <c r="D30" s="126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27"/>
      <c r="B31" s="125"/>
      <c r="C31" s="125"/>
      <c r="D31" s="126"/>
      <c r="E31" s="20"/>
      <c r="F31" s="20"/>
      <c r="G31" s="20"/>
      <c r="H31" s="20"/>
      <c r="I31" s="1"/>
      <c r="J31" s="1"/>
      <c r="K31" s="20"/>
      <c r="L31" s="20"/>
      <c r="M31" s="20"/>
      <c r="N31" s="1"/>
      <c r="O31" s="1"/>
      <c r="P31" s="2"/>
      <c r="Q31" s="2"/>
      <c r="R31" s="2"/>
      <c r="S31" s="20"/>
      <c r="T31" s="20"/>
      <c r="U31" s="20"/>
      <c r="V31" s="20"/>
      <c r="W31" s="20"/>
      <c r="X31" s="20"/>
    </row>
    <row r="32" spans="1:24" ht="18" customHeight="1" x14ac:dyDescent="0.15">
      <c r="A32" s="127"/>
      <c r="B32" s="125"/>
      <c r="C32" s="125"/>
      <c r="D32" s="126"/>
      <c r="E32" s="1"/>
      <c r="F32" s="1"/>
      <c r="G32" s="1"/>
      <c r="H32" s="1"/>
      <c r="I32" s="1"/>
      <c r="J32" s="1"/>
      <c r="K32" s="1"/>
      <c r="L32" s="1"/>
      <c r="M32" s="1"/>
      <c r="N32" s="1"/>
      <c r="O32" s="20"/>
      <c r="P32" s="2"/>
      <c r="Q32" s="2"/>
      <c r="R32" s="2"/>
      <c r="S32" s="20"/>
      <c r="T32" s="20"/>
      <c r="U32" s="20"/>
      <c r="V32" s="20"/>
      <c r="W32" s="20"/>
      <c r="X32" s="20"/>
    </row>
    <row r="33" spans="1:24" ht="18" customHeight="1" x14ac:dyDescent="0.15">
      <c r="A33" s="22" t="s">
        <v>26</v>
      </c>
      <c r="B33" s="23" t="s">
        <v>27</v>
      </c>
      <c r="C33" s="24">
        <f>SUM(E33:X33)</f>
        <v>150</v>
      </c>
      <c r="D33" s="25" t="s">
        <v>28</v>
      </c>
      <c r="E33" s="1">
        <v>99</v>
      </c>
      <c r="F33" s="1">
        <v>5</v>
      </c>
      <c r="G33" s="1">
        <v>2</v>
      </c>
      <c r="H33" s="1">
        <v>3</v>
      </c>
      <c r="I33" s="1">
        <v>3</v>
      </c>
      <c r="J33" s="1">
        <v>23</v>
      </c>
      <c r="K33" s="1">
        <v>6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2" t="s">
        <v>29</v>
      </c>
      <c r="B34" s="123"/>
      <c r="C34" s="123"/>
      <c r="D34" s="124"/>
      <c r="E34" s="5">
        <v>110</v>
      </c>
      <c r="F34" s="5">
        <v>10</v>
      </c>
      <c r="G34" s="5">
        <v>110</v>
      </c>
      <c r="H34" s="5">
        <v>10</v>
      </c>
      <c r="I34" s="5">
        <v>10</v>
      </c>
      <c r="J34" s="5">
        <v>110</v>
      </c>
      <c r="K34" s="5">
        <v>10</v>
      </c>
      <c r="L34" s="5">
        <v>110</v>
      </c>
      <c r="M34" s="5">
        <v>10</v>
      </c>
      <c r="N34" s="5">
        <v>10</v>
      </c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22" t="s">
        <v>30</v>
      </c>
      <c r="B35" s="123"/>
      <c r="C35" s="123"/>
      <c r="D35" s="124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6</v>
      </c>
      <c r="K35" s="5">
        <v>0.95</v>
      </c>
      <c r="L35" s="5">
        <v>0.95</v>
      </c>
      <c r="M35" s="5">
        <v>0.95</v>
      </c>
      <c r="N35" s="5">
        <v>0.95</v>
      </c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22" t="s">
        <v>31</v>
      </c>
      <c r="B36" s="123"/>
      <c r="C36" s="123"/>
      <c r="D36" s="124"/>
      <c r="E36" s="5" t="s">
        <v>32</v>
      </c>
      <c r="F36" s="5" t="s">
        <v>33</v>
      </c>
      <c r="G36" s="5" t="s">
        <v>33</v>
      </c>
      <c r="H36" s="5" t="s">
        <v>33</v>
      </c>
      <c r="I36" s="5" t="s">
        <v>33</v>
      </c>
      <c r="J36" s="5" t="s">
        <v>33</v>
      </c>
      <c r="K36" s="5" t="s">
        <v>32</v>
      </c>
      <c r="L36" s="5" t="s">
        <v>32</v>
      </c>
      <c r="M36" s="5" t="s">
        <v>32</v>
      </c>
      <c r="N36" s="5" t="s">
        <v>32</v>
      </c>
      <c r="O36" s="5"/>
      <c r="P36" s="5"/>
      <c r="Q36" s="5"/>
      <c r="R36" s="5"/>
      <c r="S36" s="5"/>
      <c r="T36" s="5"/>
      <c r="U36" s="5"/>
      <c r="V36" s="5"/>
      <c r="W36" s="5"/>
      <c r="X36" s="5"/>
    </row>
  </sheetData>
  <mergeCells count="73">
    <mergeCell ref="A9:B9"/>
    <mergeCell ref="A7:B7"/>
    <mergeCell ref="C7:D7"/>
    <mergeCell ref="A8:B8"/>
    <mergeCell ref="C8:D8"/>
    <mergeCell ref="C9:D9"/>
    <mergeCell ref="A6:B6"/>
    <mergeCell ref="C6:D6"/>
    <mergeCell ref="A1:E1"/>
    <mergeCell ref="F1:G1"/>
    <mergeCell ref="A3:B3"/>
    <mergeCell ref="C3:D3"/>
    <mergeCell ref="A4:B4"/>
    <mergeCell ref="C4:D4"/>
    <mergeCell ref="A5:B5"/>
    <mergeCell ref="C5:D5"/>
    <mergeCell ref="V1:X1"/>
    <mergeCell ref="A2:E2"/>
    <mergeCell ref="F2:G2"/>
    <mergeCell ref="N2:O2"/>
    <mergeCell ref="P2:R2"/>
    <mergeCell ref="T2:U2"/>
    <mergeCell ref="V2:X2"/>
    <mergeCell ref="H1:M1"/>
    <mergeCell ref="N1:O1"/>
    <mergeCell ref="P1:S1"/>
    <mergeCell ref="T1:U1"/>
    <mergeCell ref="A10:B10"/>
    <mergeCell ref="C10:D10"/>
    <mergeCell ref="A14:D14"/>
    <mergeCell ref="A15:D15"/>
    <mergeCell ref="A11:B11"/>
    <mergeCell ref="A12:B12"/>
    <mergeCell ref="C12:D12"/>
    <mergeCell ref="C11:D11"/>
    <mergeCell ref="A13:B13"/>
    <mergeCell ref="C13:D13"/>
    <mergeCell ref="A20:B20"/>
    <mergeCell ref="C20:D20"/>
    <mergeCell ref="A19:B19"/>
    <mergeCell ref="C19:D19"/>
    <mergeCell ref="A16:D16"/>
    <mergeCell ref="A17:B17"/>
    <mergeCell ref="C17:D17"/>
    <mergeCell ref="A18:B18"/>
    <mergeCell ref="C18:D18"/>
    <mergeCell ref="A29:B29"/>
    <mergeCell ref="A21:B21"/>
    <mergeCell ref="C21:D21"/>
    <mergeCell ref="A22:B22"/>
    <mergeCell ref="C22:D22"/>
    <mergeCell ref="A25:B25"/>
    <mergeCell ref="C23:D23"/>
    <mergeCell ref="A24:B24"/>
    <mergeCell ref="C24:D24"/>
    <mergeCell ref="A23:B23"/>
    <mergeCell ref="C27:D27"/>
    <mergeCell ref="A36:D36"/>
    <mergeCell ref="C25:D25"/>
    <mergeCell ref="A26:B26"/>
    <mergeCell ref="C26:D26"/>
    <mergeCell ref="A27:B27"/>
    <mergeCell ref="C29:D29"/>
    <mergeCell ref="A34:D34"/>
    <mergeCell ref="A35:D35"/>
    <mergeCell ref="A30:B30"/>
    <mergeCell ref="C30:D30"/>
    <mergeCell ref="A31:B31"/>
    <mergeCell ref="C31:D31"/>
    <mergeCell ref="A32:B32"/>
    <mergeCell ref="C32:D32"/>
    <mergeCell ref="A28:B28"/>
    <mergeCell ref="C28:D28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2026-02-11</vt:lpstr>
      <vt:lpstr>420069</vt:lpstr>
      <vt:lpstr>'2026-02-11'!Print_Area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2025-07-02T06:59:14Z</cp:lastPrinted>
  <dcterms:created xsi:type="dcterms:W3CDTF">2003-04-03T01:49:57Z</dcterms:created>
  <dcterms:modified xsi:type="dcterms:W3CDTF">2026-02-21T12:49:02Z</dcterms:modified>
</cp:coreProperties>
</file>