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本社\保守\定期点検・設定関係\01設定値\R7新設・改良・受取分\受取\2-28関連\2-28現示階梯図（最終）\"/>
    </mc:Choice>
  </mc:AlternateContent>
  <xr:revisionPtr revIDLastSave="0" documentId="13_ncr:1_{642B57F9-5C98-4AE3-B993-D5ADF8F57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8" sheetId="4" r:id="rId1"/>
    <sheet name="2022-07-21" sheetId="3" r:id="rId2"/>
    <sheet name="250018" sheetId="1" r:id="rId3"/>
    <sheet name="ピヨ" sheetId="2" r:id="rId4"/>
  </sheets>
  <definedNames>
    <definedName name="_xlnm.Print_Area" localSheetId="1">'2022-07-21'!$A$1:$X$36</definedName>
    <definedName name="_xlnm.Print_Area" localSheetId="0">'2026-02-18'!$A$1:$X$38</definedName>
    <definedName name="_xlnm.Print_Area" localSheetId="3">ピヨ!$A$1:$X$29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4" l="1"/>
  <c r="AD15" i="4" s="1"/>
  <c r="AA14" i="4"/>
  <c r="AD14" i="4" s="1"/>
  <c r="C35" i="4" l="1"/>
  <c r="C34" i="4"/>
  <c r="AA33" i="4"/>
  <c r="C33" i="4"/>
  <c r="AA32" i="4"/>
  <c r="C32" i="4"/>
  <c r="C32" i="3"/>
  <c r="AA31" i="3"/>
  <c r="C31" i="3"/>
  <c r="AA30" i="3"/>
  <c r="C30" i="3"/>
  <c r="C33" i="3"/>
  <c r="C33" i="1"/>
</calcChain>
</file>

<file path=xl/sharedStrings.xml><?xml version="1.0" encoding="utf-8"?>
<sst xmlns="http://schemas.openxmlformats.org/spreadsheetml/2006/main" count="325" uniqueCount="153">
  <si>
    <t>規制番号　名称</t>
    <rPh sb="0" eb="2">
      <t>キセイ</t>
    </rPh>
    <rPh sb="2" eb="4">
      <t>バンゴウ</t>
    </rPh>
    <rPh sb="5" eb="7">
      <t>メイショウ</t>
    </rPh>
    <phoneticPr fontId="2"/>
  </si>
  <si>
    <t xml:space="preserve">2-0018 </t>
    <phoneticPr fontId="2"/>
  </si>
  <si>
    <t>裁判所前</t>
    <rPh sb="0" eb="3">
      <t>サイバンショ</t>
    </rPh>
    <rPh sb="3" eb="4">
      <t>マエ</t>
    </rPh>
    <phoneticPr fontId="2"/>
  </si>
  <si>
    <t>運　用</t>
    <rPh sb="0" eb="1">
      <t>ウン</t>
    </rPh>
    <rPh sb="2" eb="3">
      <t>ヨウ</t>
    </rPh>
    <phoneticPr fontId="2"/>
  </si>
  <si>
    <t>H.13年10月31日</t>
    <rPh sb="4" eb="5">
      <t>ネン</t>
    </rPh>
    <rPh sb="7" eb="8">
      <t>ガツ</t>
    </rPh>
    <rPh sb="10" eb="11">
      <t>ニチ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</si>
  <si>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</si>
  <si>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</si>
  <si>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 xml:space="preserve">250018 </t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</si>
  <si>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</si>
  <si>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</si>
  <si>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平成13年10月</t>
    <rPh sb="0" eb="2">
      <t>ヘイセイ</t>
    </rPh>
    <rPh sb="4" eb="5">
      <t>ネン</t>
    </rPh>
    <rPh sb="7" eb="8">
      <t>ガツ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</si>
  <si>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</si>
  <si>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</si>
  <si>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</si>
  <si>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</si>
  <si>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</si>
  <si>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</si>
  <si>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A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</si>
  <si>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</si>
  <si>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</si>
  <si>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</si>
  <si>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</si>
  <si>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</si>
  <si>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A</t>
    <phoneticPr fontId="2"/>
  </si>
  <si>
    <t>2 R</t>
    <phoneticPr fontId="2"/>
  </si>
  <si>
    <t>[ 1P ]</t>
    <phoneticPr fontId="2"/>
  </si>
  <si>
    <t>１</t>
    <phoneticPr fontId="2"/>
  </si>
  <si>
    <t>[ 1V ]</t>
    <phoneticPr fontId="2"/>
  </si>
  <si>
    <t>１右矢</t>
    <rPh sb="1" eb="3">
      <t>ミギヤ</t>
    </rPh>
    <phoneticPr fontId="2"/>
  </si>
  <si>
    <t>[ 1A ]</t>
    <phoneticPr fontId="2"/>
  </si>
  <si>
    <t>[ 2P ]</t>
    <phoneticPr fontId="2"/>
  </si>
  <si>
    <t>２</t>
    <phoneticPr fontId="2"/>
  </si>
  <si>
    <t>[ 2V ]</t>
    <phoneticPr fontId="2"/>
  </si>
  <si>
    <t>２右矢</t>
    <rPh sb="1" eb="3">
      <t>ミギヤ</t>
    </rPh>
    <phoneticPr fontId="2"/>
  </si>
  <si>
    <t>[ 2A ]</t>
    <phoneticPr fontId="2"/>
  </si>
  <si>
    <t>最終指定</t>
    <rPh sb="0" eb="1">
      <t>サイ</t>
    </rPh>
    <rPh sb="1" eb="2">
      <t>オワリ</t>
    </rPh>
    <rPh sb="2" eb="4">
      <t>シテイ</t>
    </rPh>
    <phoneticPr fontId="2"/>
  </si>
  <si>
    <t>○</t>
    <phoneticPr fontId="2"/>
  </si>
  <si>
    <t>スプリット数：</t>
    <rPh sb="5" eb="6">
      <t>スウ</t>
    </rPh>
    <phoneticPr fontId="2"/>
  </si>
  <si>
    <t>可変指定</t>
    <rPh sb="0" eb="2">
      <t>カヘン</t>
    </rPh>
    <rPh sb="2" eb="4">
      <t>シテイ</t>
    </rPh>
    <phoneticPr fontId="2"/>
  </si>
  <si>
    <t>○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</si>
  <si>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</si>
  <si>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</si>
  <si>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</si>
  <si>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</si>
  <si>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</si>
  <si>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</si>
  <si>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</si>
  <si>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</si>
  <si>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>1A0547</t>
    <phoneticPr fontId="2"/>
  </si>
  <si>
    <t>～</t>
    <phoneticPr fontId="2"/>
  </si>
  <si>
    <t>　１Ｐ</t>
    <phoneticPr fontId="2"/>
  </si>
  <si>
    <t>　２Ｐ</t>
    <phoneticPr fontId="2"/>
  </si>
  <si>
    <t>（Ｕ形）</t>
    <rPh sb="2" eb="3">
      <t>ガタ</t>
    </rPh>
    <phoneticPr fontId="2"/>
  </si>
  <si>
    <t>規制番号　名称</t>
  </si>
  <si>
    <t>運　用</t>
  </si>
  <si>
    <t>製造番号</t>
  </si>
  <si>
    <t>制御機機種</t>
  </si>
  <si>
    <t>開始日時</t>
  </si>
  <si>
    <t>～</t>
  </si>
  <si>
    <t>製造年月</t>
  </si>
  <si>
    <t>製作所</t>
  </si>
  <si>
    <t>日本信号株式会社</t>
  </si>
  <si>
    <t>施工会社</t>
  </si>
  <si>
    <t>署別</t>
  </si>
  <si>
    <t>付加機能</t>
  </si>
  <si>
    <t>02-0018</t>
    <phoneticPr fontId="2"/>
  </si>
  <si>
    <t>K113052</t>
    <phoneticPr fontId="2"/>
  </si>
  <si>
    <t>広島中央</t>
    <rPh sb="0" eb="2">
      <t>ヒロシマ</t>
    </rPh>
    <rPh sb="2" eb="4">
      <t>チュウオウ</t>
    </rPh>
    <phoneticPr fontId="2"/>
  </si>
  <si>
    <t>日本信号株式会社</t>
    <rPh sb="0" eb="2">
      <t>ニホン</t>
    </rPh>
    <rPh sb="2" eb="4">
      <t>シンゴウ</t>
    </rPh>
    <rPh sb="4" eb="8">
      <t>カブシキガイシャ</t>
    </rPh>
    <phoneticPr fontId="2"/>
  </si>
  <si>
    <t>音響式視覚障害者用交通信号付加装置</t>
    <rPh sb="0" eb="2">
      <t>オンキョウ</t>
    </rPh>
    <rPh sb="2" eb="3">
      <t>シキ</t>
    </rPh>
    <rPh sb="3" eb="5">
      <t>シカク</t>
    </rPh>
    <rPh sb="5" eb="7">
      <t>ショウガイ</t>
    </rPh>
    <rPh sb="7" eb="8">
      <t>シャ</t>
    </rPh>
    <rPh sb="8" eb="9">
      <t>ヨウ</t>
    </rPh>
    <rPh sb="9" eb="11">
      <t>コウツウ</t>
    </rPh>
    <rPh sb="11" eb="13">
      <t>シンゴウ</t>
    </rPh>
    <rPh sb="13" eb="15">
      <t>フカ</t>
    </rPh>
    <rPh sb="15" eb="17">
      <t>ソウチ</t>
    </rPh>
    <phoneticPr fontId="2"/>
  </si>
  <si>
    <t>EA3683A</t>
    <phoneticPr fontId="2"/>
  </si>
  <si>
    <t>広島東</t>
    <rPh sb="0" eb="2">
      <t>ヒロシマ</t>
    </rPh>
    <rPh sb="2" eb="3">
      <t>ヒガシ</t>
    </rPh>
    <phoneticPr fontId="2"/>
  </si>
  <si>
    <t>警交仕規１０１５号版１</t>
    <phoneticPr fontId="2"/>
  </si>
  <si>
    <t>作動時間</t>
    <phoneticPr fontId="2"/>
  </si>
  <si>
    <t>8:00～19:00</t>
    <phoneticPr fontId="2"/>
  </si>
  <si>
    <t>（株）サンテック</t>
    <rPh sb="1" eb="2">
      <t>カブ</t>
    </rPh>
    <phoneticPr fontId="2"/>
  </si>
  <si>
    <t>広島西</t>
    <rPh sb="0" eb="2">
      <t>ヒロシマ</t>
    </rPh>
    <rPh sb="2" eb="3">
      <t>ニシ</t>
    </rPh>
    <phoneticPr fontId="2"/>
  </si>
  <si>
    <t>呉</t>
    <rPh sb="0" eb="1">
      <t>クレ</t>
    </rPh>
    <phoneticPr fontId="2"/>
  </si>
  <si>
    <t>新型錠</t>
    <rPh sb="2" eb="3">
      <t>ジョウ</t>
    </rPh>
    <phoneticPr fontId="2"/>
  </si>
  <si>
    <t>広島南</t>
    <rPh sb="0" eb="2">
      <t>ヒロシマ</t>
    </rPh>
    <rPh sb="2" eb="3">
      <t>ミナミ</t>
    </rPh>
    <phoneticPr fontId="2"/>
  </si>
  <si>
    <t>予定</t>
    <rPh sb="0" eb="2">
      <t>ヨテイ</t>
    </rPh>
    <phoneticPr fontId="2"/>
  </si>
  <si>
    <t>確認</t>
    <rPh sb="0" eb="2">
      <t>カクニン</t>
    </rPh>
    <phoneticPr fontId="2"/>
  </si>
  <si>
    <t>広島北</t>
    <rPh sb="0" eb="2">
      <t>ヒロシマ</t>
    </rPh>
    <rPh sb="2" eb="3">
      <t>キタ</t>
    </rPh>
    <phoneticPr fontId="2"/>
  </si>
  <si>
    <t>1PG</t>
    <phoneticPr fontId="2"/>
  </si>
  <si>
    <t>1PW</t>
    <phoneticPr fontId="2"/>
  </si>
  <si>
    <t>　　　</t>
    <phoneticPr fontId="2"/>
  </si>
  <si>
    <t>音戸</t>
    <rPh sb="0" eb="2">
      <t>オンド</t>
    </rPh>
    <phoneticPr fontId="2"/>
  </si>
  <si>
    <t>1G</t>
    <phoneticPr fontId="2"/>
  </si>
  <si>
    <t>江田島</t>
    <rPh sb="0" eb="3">
      <t>エタジマ</t>
    </rPh>
    <phoneticPr fontId="2"/>
  </si>
  <si>
    <t>1Y</t>
    <phoneticPr fontId="2"/>
  </si>
  <si>
    <t>海田</t>
    <rPh sb="0" eb="2">
      <t>カイタ</t>
    </rPh>
    <phoneticPr fontId="2"/>
  </si>
  <si>
    <t>1R</t>
    <phoneticPr fontId="2"/>
  </si>
  <si>
    <t>廿日市</t>
    <rPh sb="0" eb="3">
      <t>ハツカイチ</t>
    </rPh>
    <phoneticPr fontId="2"/>
  </si>
  <si>
    <t>2PG</t>
    <phoneticPr fontId="2"/>
  </si>
  <si>
    <t>大竹</t>
    <rPh sb="0" eb="2">
      <t>オオタケ</t>
    </rPh>
    <phoneticPr fontId="2"/>
  </si>
  <si>
    <t>2PW</t>
    <phoneticPr fontId="2"/>
  </si>
  <si>
    <t>竹原</t>
    <rPh sb="0" eb="2">
      <t>タケハラ</t>
    </rPh>
    <phoneticPr fontId="2"/>
  </si>
  <si>
    <t>2G</t>
    <phoneticPr fontId="2"/>
  </si>
  <si>
    <t>広</t>
    <rPh sb="0" eb="1">
      <t>ヒロ</t>
    </rPh>
    <phoneticPr fontId="2"/>
  </si>
  <si>
    <t>2Y</t>
    <phoneticPr fontId="2"/>
  </si>
  <si>
    <t>作動時間</t>
    <rPh sb="0" eb="2">
      <t>サドウ</t>
    </rPh>
    <rPh sb="2" eb="4">
      <t>ジカン</t>
    </rPh>
    <phoneticPr fontId="2"/>
  </si>
  <si>
    <t>平日</t>
    <rPh sb="0" eb="2">
      <t>ヘイジツ</t>
    </rPh>
    <phoneticPr fontId="2"/>
  </si>
  <si>
    <t>（昼間）</t>
    <rPh sb="1" eb="3">
      <t>ヒルマ</t>
    </rPh>
    <phoneticPr fontId="2"/>
  </si>
  <si>
    <t>時</t>
    <rPh sb="0" eb="1">
      <t>ジ</t>
    </rPh>
    <phoneticPr fontId="2"/>
  </si>
  <si>
    <t>分</t>
    <rPh sb="0" eb="1">
      <t>フン</t>
    </rPh>
    <phoneticPr fontId="2"/>
  </si>
  <si>
    <t>～</t>
    <phoneticPr fontId="2"/>
  </si>
  <si>
    <t>（夜間）</t>
    <rPh sb="1" eb="3">
      <t>ヤカン</t>
    </rPh>
    <phoneticPr fontId="2"/>
  </si>
  <si>
    <t>土曜日</t>
    <rPh sb="0" eb="3">
      <t>ドヨウビ</t>
    </rPh>
    <phoneticPr fontId="2"/>
  </si>
  <si>
    <t>休日</t>
    <rPh sb="0" eb="2">
      <t>キュウジツ</t>
    </rPh>
    <phoneticPr fontId="2"/>
  </si>
  <si>
    <t>環境</t>
    <rPh sb="0" eb="2">
      <t>カンキョウ</t>
    </rPh>
    <phoneticPr fontId="2"/>
  </si>
  <si>
    <t>（１～６）</t>
    <phoneticPr fontId="2"/>
  </si>
  <si>
    <t>誘導音1</t>
    <rPh sb="0" eb="2">
      <t>ユウドウ</t>
    </rPh>
    <rPh sb="2" eb="3">
      <t>オン</t>
    </rPh>
    <phoneticPr fontId="2"/>
  </si>
  <si>
    <t>車線</t>
    <rPh sb="0" eb="2">
      <t>シャセン</t>
    </rPh>
    <phoneticPr fontId="2"/>
  </si>
  <si>
    <t>（車線数）</t>
    <rPh sb="1" eb="3">
      <t>シャセン</t>
    </rPh>
    <rPh sb="3" eb="4">
      <t>スウ</t>
    </rPh>
    <phoneticPr fontId="2"/>
  </si>
  <si>
    <t>微調</t>
    <rPh sb="0" eb="1">
      <t>ビ</t>
    </rPh>
    <rPh sb="1" eb="2">
      <t>チョウ</t>
    </rPh>
    <phoneticPr fontId="2"/>
  </si>
  <si>
    <t>昼間　０～９</t>
    <rPh sb="0" eb="2">
      <t>ヒルマ</t>
    </rPh>
    <phoneticPr fontId="2"/>
  </si>
  <si>
    <t>夜間　０～９</t>
    <rPh sb="0" eb="2">
      <t>ヤカン</t>
    </rPh>
    <phoneticPr fontId="2"/>
  </si>
  <si>
    <t>誘導音2</t>
    <rPh sb="0" eb="2">
      <t>ユウドウ</t>
    </rPh>
    <rPh sb="2" eb="3">
      <t>オン</t>
    </rPh>
    <phoneticPr fontId="2"/>
  </si>
  <si>
    <t>音声方向</t>
    <rPh sb="0" eb="2">
      <t>オンセイ</t>
    </rPh>
    <rPh sb="2" eb="4">
      <t>ホウコウ</t>
    </rPh>
    <phoneticPr fontId="2"/>
  </si>
  <si>
    <t>擬音方式</t>
    <rPh sb="0" eb="2">
      <t>ギオン</t>
    </rPh>
    <rPh sb="2" eb="4">
      <t>ホウシキ</t>
    </rPh>
    <phoneticPr fontId="2"/>
  </si>
  <si>
    <t>誘導音[</t>
    <rPh sb="0" eb="2">
      <t>ユウドウ</t>
    </rPh>
    <rPh sb="2" eb="3">
      <t>オン</t>
    </rPh>
    <phoneticPr fontId="2"/>
  </si>
  <si>
    <t>]ピヨピヨ（南北）　／　 誘導音[</t>
    <rPh sb="6" eb="8">
      <t>ナンボク</t>
    </rPh>
    <rPh sb="13" eb="15">
      <t>ユウドウ</t>
    </rPh>
    <rPh sb="15" eb="16">
      <t>オン</t>
    </rPh>
    <phoneticPr fontId="2"/>
  </si>
  <si>
    <t>]カッコー（東西）</t>
    <rPh sb="6" eb="8">
      <t>トウザイ</t>
    </rPh>
    <phoneticPr fontId="2"/>
  </si>
  <si>
    <t>設定変更履歴</t>
    <rPh sb="0" eb="2">
      <t>セッテイ</t>
    </rPh>
    <rPh sb="2" eb="4">
      <t>ヘンコウ</t>
    </rPh>
    <rPh sb="4" eb="6">
      <t>リレキ</t>
    </rPh>
    <phoneticPr fontId="2"/>
  </si>
  <si>
    <t>年月日</t>
    <rPh sb="0" eb="1">
      <t>ネン</t>
    </rPh>
    <rPh sb="1" eb="3">
      <t>ツキヒ</t>
    </rPh>
    <phoneticPr fontId="2"/>
  </si>
  <si>
    <t>変更内容</t>
    <rPh sb="0" eb="2">
      <t>ヘンコウ</t>
    </rPh>
    <rPh sb="2" eb="4">
      <t>ナイヨウ</t>
    </rPh>
    <phoneticPr fontId="2"/>
  </si>
  <si>
    <t>制御機新設</t>
    <rPh sb="0" eb="2">
      <t>セイギョ</t>
    </rPh>
    <rPh sb="2" eb="3">
      <t>キ</t>
    </rPh>
    <rPh sb="3" eb="5">
      <t>シンセツ</t>
    </rPh>
    <phoneticPr fontId="2"/>
  </si>
  <si>
    <t>ＰＵ</t>
    <phoneticPr fontId="2"/>
  </si>
  <si>
    <t>ＰＬ1</t>
    <phoneticPr fontId="2"/>
  </si>
  <si>
    <t>ＰＬ2</t>
    <phoneticPr fontId="2"/>
  </si>
  <si>
    <t>ＰＬ3</t>
    <phoneticPr fontId="2"/>
  </si>
  <si>
    <t>（月　～金　7:00～9:00 ）</t>
    <rPh sb="1" eb="2">
      <t>ツキ</t>
    </rPh>
    <rPh sb="4" eb="5">
      <t>キン</t>
    </rPh>
    <phoneticPr fontId="2"/>
  </si>
  <si>
    <t>（土曜日・休日　7:00～9:00 ）</t>
    <rPh sb="1" eb="2">
      <t>ド</t>
    </rPh>
    <rPh sb="2" eb="4">
      <t>ヨウビ</t>
    </rPh>
    <rPh sb="5" eb="6">
      <t>キュウ</t>
    </rPh>
    <rPh sb="6" eb="7">
      <t>ヒ</t>
    </rPh>
    <phoneticPr fontId="2"/>
  </si>
  <si>
    <t xml:space="preserve">02-0018 </t>
    <phoneticPr fontId="2"/>
  </si>
  <si>
    <t xml:space="preserve">20018 </t>
    <phoneticPr fontId="2"/>
  </si>
  <si>
    <t>ＰＬ１</t>
    <phoneticPr fontId="2"/>
  </si>
  <si>
    <t>ＰＬ２</t>
    <phoneticPr fontId="2"/>
  </si>
  <si>
    <t>ＰＬ３</t>
    <phoneticPr fontId="2"/>
  </si>
  <si>
    <t>（ 月～金　7:00～9:00 ）</t>
    <rPh sb="2" eb="3">
      <t>ツキ</t>
    </rPh>
    <rPh sb="4" eb="5">
      <t>キン</t>
    </rPh>
    <phoneticPr fontId="2"/>
  </si>
  <si>
    <t>（ 土・休　7:00～9:00 ）</t>
    <rPh sb="2" eb="3">
      <t>ド</t>
    </rPh>
    <rPh sb="4" eb="5">
      <t>キュウ</t>
    </rPh>
    <phoneticPr fontId="2"/>
  </si>
  <si>
    <t>(UD-TTR)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</si>
  <si>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</si>
  <si>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メーカー</t>
    <phoneticPr fontId="2"/>
  </si>
  <si>
    <t>Int№：</t>
    <phoneticPr fontId="2"/>
  </si>
  <si>
    <t>1012号「版6」</t>
    <phoneticPr fontId="2"/>
  </si>
  <si>
    <t>20018</t>
    <phoneticPr fontId="2"/>
  </si>
  <si>
    <t>裁判所前</t>
    <rPh sb="0" eb="2">
      <t>サイバン</t>
    </rPh>
    <rPh sb="2" eb="3">
      <t>ショ</t>
    </rPh>
    <rPh sb="3" eb="4">
      <t>マエ</t>
    </rPh>
    <phoneticPr fontId="2"/>
  </si>
  <si>
    <t>※3現示は8,9Stepで保障（終日）</t>
    <rPh sb="2" eb="4">
      <t>ゲンジ</t>
    </rPh>
    <rPh sb="13" eb="15">
      <t>ホショウ</t>
    </rPh>
    <rPh sb="16" eb="18">
      <t>シュウジツ</t>
    </rPh>
    <phoneticPr fontId="2"/>
  </si>
  <si>
    <t>PL2,PL3の時間帯を除く</t>
    <rPh sb="8" eb="11">
      <t>ジカンタイ</t>
    </rPh>
    <rPh sb="12" eb="13">
      <t>ノゾ</t>
    </rPh>
    <phoneticPr fontId="2"/>
  </si>
  <si>
    <t>１Ｐ</t>
    <phoneticPr fontId="2"/>
  </si>
  <si>
    <t>２Ｐ</t>
    <phoneticPr fontId="2"/>
  </si>
  <si>
    <t>日本信号</t>
    <rPh sb="0" eb="4">
      <t>ニホンシンゴウ</t>
    </rPh>
    <phoneticPr fontId="2"/>
  </si>
  <si>
    <t>K0000001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</si>
</sst>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22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</fills>
  <borders count="4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2">
    <xf numFmtId="0" fontId="0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4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</cellStyleXfs>
  <cellXfs count="268">
    <xf numFmtId="0" fontId="0" fillId="0" borderId="0" xfId="0"/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49" fontId="7" fillId="0" borderId="17" xfId="0" applyNumberFormat="1" applyFont="1" applyBorder="1" applyAlignment="1">
      <alignment horizontal="left" vertical="center"/>
    </xf>
    <xf numFmtId="49" fontId="8" fillId="0" borderId="18" xfId="0" applyNumberFormat="1" applyFont="1" applyBorder="1" applyAlignment="1">
      <alignment horizontal="right" vertical="center"/>
    </xf>
    <xf numFmtId="177" fontId="3" fillId="0" borderId="18" xfId="0" applyNumberFormat="1" applyFont="1" applyBorder="1" applyAlignment="1">
      <alignment horizontal="center" vertical="center"/>
    </xf>
    <xf numFmtId="176" fontId="8" fillId="0" borderId="16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20" xfId="0" applyNumberFormat="1" applyFont="1" applyBorder="1" applyAlignment="1">
      <alignment horizontal="right" vertical="center"/>
    </xf>
    <xf numFmtId="49" fontId="3" fillId="0" borderId="15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" fillId="0" borderId="21" xfId="0" applyFont="1" applyBorder="1" applyAlignment="1">
      <alignment horizontal="centerContinuous" vertical="center"/>
    </xf>
    <xf numFmtId="0" fontId="3" fillId="0" borderId="17" xfId="0" applyFont="1" applyBorder="1" applyAlignment="1">
      <alignment horizontal="centerContinuous" vertical="center"/>
    </xf>
    <xf numFmtId="0" fontId="3" fillId="0" borderId="18" xfId="0" applyFont="1" applyBorder="1" applyAlignment="1">
      <alignment horizontal="centerContinuous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right" vertical="center"/>
    </xf>
    <xf numFmtId="49" fontId="3" fillId="0" borderId="19" xfId="0" applyNumberFormat="1" applyFont="1" applyBorder="1" applyAlignment="1">
      <alignment vertical="center" textRotation="255"/>
    </xf>
    <xf numFmtId="49" fontId="3" fillId="0" borderId="0" xfId="0" applyNumberFormat="1" applyFont="1" applyAlignment="1">
      <alignment vertical="center" textRotation="255"/>
    </xf>
    <xf numFmtId="49" fontId="3" fillId="0" borderId="15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shrinkToFit="1"/>
    </xf>
    <xf numFmtId="0" fontId="28" fillId="0" borderId="18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/>
    </xf>
    <xf numFmtId="0" fontId="9" fillId="0" borderId="10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49" fontId="3" fillId="0" borderId="17" xfId="0" applyNumberFormat="1" applyFont="1" applyBorder="1" applyAlignment="1">
      <alignment horizontal="left" vertical="center" shrinkToFit="1"/>
    </xf>
    <xf numFmtId="176" fontId="3" fillId="0" borderId="16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0" fontId="3" fillId="0" borderId="0" xfId="0" quotePrefix="1" applyFont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49" fontId="30" fillId="0" borderId="17" xfId="0" applyNumberFormat="1" applyFont="1" applyBorder="1" applyAlignment="1">
      <alignment horizontal="center" vertical="center"/>
    </xf>
    <xf numFmtId="49" fontId="30" fillId="0" borderId="18" xfId="0" applyNumberFormat="1" applyFont="1" applyBorder="1" applyAlignment="1">
      <alignment horizontal="right" vertical="center"/>
    </xf>
    <xf numFmtId="177" fontId="30" fillId="0" borderId="18" xfId="0" applyNumberFormat="1" applyFont="1" applyBorder="1" applyAlignment="1">
      <alignment horizontal="center" vertical="center"/>
    </xf>
    <xf numFmtId="176" fontId="30" fillId="0" borderId="16" xfId="0" applyNumberFormat="1" applyFont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12" xfId="0" applyFont="1" applyBorder="1" applyAlignment="1">
      <alignment vertical="center"/>
    </xf>
    <xf numFmtId="0" fontId="31" fillId="0" borderId="13" xfId="0" applyFont="1" applyBorder="1" applyAlignment="1">
      <alignment vertical="center"/>
    </xf>
    <xf numFmtId="0" fontId="31" fillId="0" borderId="14" xfId="0" applyFont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31" fillId="0" borderId="1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31" fillId="0" borderId="17" xfId="0" applyNumberFormat="1" applyFont="1" applyBorder="1" applyAlignment="1">
      <alignment horizontal="center" vertical="center"/>
    </xf>
    <xf numFmtId="49" fontId="31" fillId="0" borderId="18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vertical="center"/>
    </xf>
    <xf numFmtId="0" fontId="31" fillId="0" borderId="17" xfId="0" applyFont="1" applyBorder="1" applyAlignment="1">
      <alignment vertical="center"/>
    </xf>
    <xf numFmtId="0" fontId="31" fillId="0" borderId="0" xfId="0" quotePrefix="1" applyFont="1" applyAlignment="1">
      <alignment horizontal="right" vertical="center"/>
    </xf>
    <xf numFmtId="49" fontId="31" fillId="0" borderId="0" xfId="0" applyNumberFormat="1" applyFont="1" applyAlignment="1">
      <alignment vertical="center"/>
    </xf>
    <xf numFmtId="49" fontId="31" fillId="0" borderId="0" xfId="0" applyNumberFormat="1" applyFont="1" applyAlignment="1">
      <alignment horizontal="left" vertical="center"/>
    </xf>
    <xf numFmtId="49" fontId="32" fillId="0" borderId="17" xfId="0" applyNumberFormat="1" applyFont="1" applyBorder="1" applyAlignment="1">
      <alignment horizontal="center" vertical="center"/>
    </xf>
    <xf numFmtId="49" fontId="32" fillId="0" borderId="18" xfId="0" applyNumberFormat="1" applyFont="1" applyBorder="1" applyAlignment="1">
      <alignment horizontal="center" vertical="center"/>
    </xf>
    <xf numFmtId="49" fontId="32" fillId="0" borderId="16" xfId="0" applyNumberFormat="1" applyFont="1" applyBorder="1" applyAlignment="1">
      <alignment horizontal="left" vertical="center"/>
    </xf>
    <xf numFmtId="49" fontId="32" fillId="0" borderId="18" xfId="0" applyNumberFormat="1" applyFont="1" applyBorder="1" applyAlignment="1">
      <alignment horizontal="right" vertical="center"/>
    </xf>
    <xf numFmtId="177" fontId="32" fillId="0" borderId="18" xfId="0" applyNumberFormat="1" applyFont="1" applyBorder="1" applyAlignment="1">
      <alignment horizontal="center" vertical="center"/>
    </xf>
    <xf numFmtId="176" fontId="32" fillId="0" borderId="16" xfId="0" applyNumberFormat="1" applyFont="1" applyBorder="1" applyAlignment="1">
      <alignment horizontal="left" vertical="center"/>
    </xf>
    <xf numFmtId="49" fontId="31" fillId="0" borderId="0" xfId="0" applyNumberFormat="1" applyFont="1" applyAlignment="1">
      <alignment horizontal="right" vertical="center"/>
    </xf>
    <xf numFmtId="49" fontId="32" fillId="0" borderId="17" xfId="0" applyNumberFormat="1" applyFont="1" applyBorder="1" applyAlignment="1">
      <alignment horizontal="center" vertical="center" shrinkToFit="1"/>
    </xf>
    <xf numFmtId="0" fontId="32" fillId="0" borderId="10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181" fontId="31" fillId="0" borderId="0" xfId="0" applyNumberFormat="1" applyFont="1" applyAlignment="1">
      <alignment vertical="center"/>
    </xf>
    <xf numFmtId="0" fontId="31" fillId="0" borderId="10" xfId="0" applyFont="1" applyBorder="1" applyAlignment="1">
      <alignment horizontal="right" vertical="center"/>
    </xf>
    <xf numFmtId="0" fontId="31" fillId="0" borderId="11" xfId="0" applyFont="1" applyBorder="1" applyAlignment="1">
      <alignment horizontal="right" vertical="center"/>
    </xf>
    <xf numFmtId="179" fontId="31" fillId="0" borderId="24" xfId="0" applyNumberFormat="1" applyFont="1" applyBorder="1" applyAlignment="1">
      <alignment horizontal="center" vertical="center"/>
    </xf>
    <xf numFmtId="179" fontId="31" fillId="0" borderId="12" xfId="0" applyNumberFormat="1" applyFont="1" applyBorder="1" applyAlignment="1">
      <alignment horizontal="center" vertical="center"/>
    </xf>
    <xf numFmtId="179" fontId="31" fillId="0" borderId="13" xfId="0" applyNumberFormat="1" applyFont="1" applyBorder="1" applyAlignment="1">
      <alignment horizontal="center" vertical="center"/>
    </xf>
    <xf numFmtId="179" fontId="31" fillId="0" borderId="20" xfId="0" applyNumberFormat="1" applyFont="1" applyBorder="1" applyAlignment="1">
      <alignment horizontal="center" vertical="center"/>
    </xf>
    <xf numFmtId="179" fontId="31" fillId="0" borderId="15" xfId="0" applyNumberFormat="1" applyFont="1" applyBorder="1" applyAlignment="1">
      <alignment horizontal="center" vertical="center"/>
    </xf>
    <xf numFmtId="179" fontId="31" fillId="0" borderId="11" xfId="0" applyNumberFormat="1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49" fontId="31" fillId="0" borderId="45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6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46" xfId="0" applyFont="1" applyBorder="1" applyAlignment="1">
      <alignment horizontal="center" vertical="center" shrinkToFit="1"/>
    </xf>
    <xf numFmtId="0" fontId="31" fillId="0" borderId="47" xfId="0" applyFont="1" applyBorder="1" applyAlignment="1">
      <alignment horizontal="center" vertical="center" shrinkToFit="1"/>
    </xf>
    <xf numFmtId="0" fontId="31" fillId="0" borderId="15" xfId="0" applyFont="1" applyBorder="1" applyAlignment="1">
      <alignment horizontal="center" vertical="center" shrinkToFit="1"/>
    </xf>
    <xf numFmtId="0" fontId="31" fillId="0" borderId="11" xfId="0" applyFont="1" applyBorder="1" applyAlignment="1">
      <alignment horizontal="center" vertical="center" shrinkToFit="1"/>
    </xf>
    <xf numFmtId="180" fontId="31" fillId="0" borderId="45" xfId="0" applyNumberFormat="1" applyFont="1" applyBorder="1" applyAlignment="1">
      <alignment horizontal="center" vertical="center"/>
    </xf>
    <xf numFmtId="180" fontId="31" fillId="0" borderId="46" xfId="0" applyNumberFormat="1" applyFont="1" applyBorder="1" applyAlignment="1">
      <alignment horizontal="center" vertical="center"/>
    </xf>
    <xf numFmtId="180" fontId="31" fillId="0" borderId="20" xfId="0" applyNumberFormat="1" applyFont="1" applyBorder="1" applyAlignment="1">
      <alignment horizontal="center" vertical="center"/>
    </xf>
    <xf numFmtId="180" fontId="31" fillId="0" borderId="15" xfId="0" applyNumberFormat="1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1" fillId="0" borderId="12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 wrapText="1"/>
    </xf>
    <xf numFmtId="178" fontId="31" fillId="0" borderId="24" xfId="0" applyNumberFormat="1" applyFont="1" applyBorder="1" applyAlignment="1">
      <alignment horizontal="center" vertical="center"/>
    </xf>
    <xf numFmtId="178" fontId="31" fillId="0" borderId="12" xfId="0" applyNumberFormat="1" applyFont="1" applyBorder="1" applyAlignment="1">
      <alignment horizontal="center" vertical="center"/>
    </xf>
    <xf numFmtId="178" fontId="31" fillId="0" borderId="13" xfId="0" applyNumberFormat="1" applyFont="1" applyBorder="1" applyAlignment="1">
      <alignment horizontal="center" vertical="center"/>
    </xf>
    <xf numFmtId="178" fontId="31" fillId="0" borderId="42" xfId="0" applyNumberFormat="1" applyFont="1" applyBorder="1" applyAlignment="1">
      <alignment horizontal="center" vertical="center"/>
    </xf>
    <xf numFmtId="178" fontId="31" fillId="0" borderId="43" xfId="0" applyNumberFormat="1" applyFont="1" applyBorder="1" applyAlignment="1">
      <alignment horizontal="center" vertical="center"/>
    </xf>
    <xf numFmtId="178" fontId="31" fillId="0" borderId="44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49" fontId="32" fillId="0" borderId="17" xfId="0" applyNumberFormat="1" applyFont="1" applyBorder="1" applyAlignment="1">
      <alignment horizontal="center" vertical="center"/>
    </xf>
    <xf numFmtId="49" fontId="32" fillId="0" borderId="18" xfId="0" applyNumberFormat="1" applyFont="1" applyBorder="1" applyAlignment="1">
      <alignment horizontal="center" vertical="center"/>
    </xf>
    <xf numFmtId="49" fontId="32" fillId="0" borderId="16" xfId="0" applyNumberFormat="1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49" fontId="31" fillId="0" borderId="24" xfId="0" quotePrefix="1" applyNumberFormat="1" applyFont="1" applyBorder="1" applyAlignment="1">
      <alignment horizontal="center" vertical="center"/>
    </xf>
    <xf numFmtId="49" fontId="32" fillId="0" borderId="17" xfId="0" applyNumberFormat="1" applyFont="1" applyBorder="1" applyAlignment="1">
      <alignment vertical="center"/>
    </xf>
    <xf numFmtId="49" fontId="32" fillId="0" borderId="18" xfId="0" applyNumberFormat="1" applyFont="1" applyBorder="1" applyAlignment="1">
      <alignment vertical="center"/>
    </xf>
    <xf numFmtId="49" fontId="32" fillId="0" borderId="16" xfId="0" applyNumberFormat="1" applyFont="1" applyBorder="1" applyAlignment="1">
      <alignment vertical="center"/>
    </xf>
    <xf numFmtId="49" fontId="31" fillId="0" borderId="19" xfId="0" applyNumberFormat="1" applyFont="1" applyBorder="1" applyAlignment="1">
      <alignment horizontal="right" vertical="center"/>
    </xf>
    <xf numFmtId="49" fontId="31" fillId="0" borderId="0" xfId="0" applyNumberFormat="1" applyFont="1" applyAlignment="1">
      <alignment horizontal="right" vertical="center"/>
    </xf>
    <xf numFmtId="49" fontId="31" fillId="0" borderId="0" xfId="0" applyNumberFormat="1" applyFont="1" applyAlignment="1">
      <alignment vertical="center"/>
    </xf>
    <xf numFmtId="49" fontId="31" fillId="0" borderId="20" xfId="0" applyNumberFormat="1" applyFont="1" applyBorder="1" applyAlignment="1">
      <alignment horizontal="right" vertical="center"/>
    </xf>
    <xf numFmtId="49" fontId="31" fillId="0" borderId="15" xfId="0" applyNumberFormat="1" applyFont="1" applyBorder="1" applyAlignment="1">
      <alignment horizontal="right" vertical="center"/>
    </xf>
    <xf numFmtId="49" fontId="32" fillId="0" borderId="10" xfId="0" applyNumberFormat="1" applyFont="1" applyBorder="1" applyAlignment="1">
      <alignment horizontal="center" vertical="center"/>
    </xf>
    <xf numFmtId="49" fontId="31" fillId="0" borderId="19" xfId="0" applyNumberFormat="1" applyFont="1" applyBorder="1" applyAlignment="1">
      <alignment vertical="center"/>
    </xf>
    <xf numFmtId="49" fontId="31" fillId="0" borderId="24" xfId="0" applyNumberFormat="1" applyFont="1" applyBorder="1" applyAlignment="1">
      <alignment vertical="center"/>
    </xf>
    <xf numFmtId="49" fontId="31" fillId="0" borderId="12" xfId="0" applyNumberFormat="1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right" vertical="center"/>
    </xf>
    <xf numFmtId="49" fontId="3" fillId="0" borderId="20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32" fontId="3" fillId="0" borderId="21" xfId="0" applyNumberFormat="1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9" fontId="3" fillId="0" borderId="26" xfId="0" quotePrefix="1" applyNumberFormat="1" applyFont="1" applyBorder="1" applyAlignment="1">
      <alignment horizontal="right" vertical="center"/>
    </xf>
    <xf numFmtId="49" fontId="3" fillId="0" borderId="27" xfId="0" applyNumberFormat="1" applyFont="1" applyBorder="1" applyAlignment="1">
      <alignment horizontal="right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9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15" xfId="0" applyNumberFormat="1" applyFont="1" applyBorder="1" applyAlignment="1">
      <alignment horizontal="righ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55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 shrinkToFit="1"/>
    </xf>
    <xf numFmtId="49" fontId="3" fillId="0" borderId="18" xfId="0" applyNumberFormat="1" applyFont="1" applyBorder="1" applyAlignment="1">
      <alignment horizontal="center" vertical="center" shrinkToFit="1"/>
    </xf>
    <xf numFmtId="49" fontId="3" fillId="0" borderId="16" xfId="0" applyNumberFormat="1" applyFont="1" applyBorder="1" applyAlignment="1">
      <alignment horizontal="center" vertical="center" shrinkToFit="1"/>
    </xf>
    <xf numFmtId="178" fontId="3" fillId="0" borderId="17" xfId="0" applyNumberFormat="1" applyFont="1" applyBorder="1" applyAlignment="1">
      <alignment horizontal="center" vertical="center"/>
    </xf>
    <xf numFmtId="178" fontId="3" fillId="0" borderId="18" xfId="0" applyNumberFormat="1" applyFont="1" applyBorder="1" applyAlignment="1">
      <alignment horizontal="center" vertical="center"/>
    </xf>
    <xf numFmtId="178" fontId="3" fillId="0" borderId="16" xfId="0" applyNumberFormat="1" applyFont="1" applyBorder="1" applyAlignment="1">
      <alignment horizontal="center" vertical="center"/>
    </xf>
    <xf numFmtId="32" fontId="3" fillId="0" borderId="17" xfId="0" applyNumberFormat="1" applyFont="1" applyBorder="1" applyAlignment="1">
      <alignment horizontal="center" vertical="center"/>
    </xf>
    <xf numFmtId="32" fontId="3" fillId="0" borderId="1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5" xfId="0" applyFont="1" applyBorder="1" applyAlignment="1">
      <alignment horizontal="left" vertical="center" shrinkToFit="1"/>
    </xf>
    <xf numFmtId="0" fontId="3" fillId="0" borderId="11" xfId="0" applyFont="1" applyBorder="1" applyAlignment="1">
      <alignment horizontal="left" vertical="center" shrinkToFit="1"/>
    </xf>
    <xf numFmtId="49" fontId="3" fillId="0" borderId="18" xfId="0" applyNumberFormat="1" applyFont="1" applyBorder="1" applyAlignment="1">
      <alignment horizontal="right" vertical="center"/>
    </xf>
    <xf numFmtId="49" fontId="3" fillId="0" borderId="16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textRotation="255"/>
    </xf>
    <xf numFmtId="0" fontId="28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textRotation="255"/>
    </xf>
    <xf numFmtId="49" fontId="3" fillId="0" borderId="13" xfId="0" applyNumberFormat="1" applyFont="1" applyBorder="1" applyAlignment="1">
      <alignment horizontal="center" vertical="center" textRotation="255"/>
    </xf>
    <xf numFmtId="49" fontId="3" fillId="0" borderId="19" xfId="0" applyNumberFormat="1" applyFont="1" applyBorder="1" applyAlignment="1">
      <alignment horizontal="center" vertical="center" textRotation="255"/>
    </xf>
    <xf numFmtId="49" fontId="3" fillId="0" borderId="14" xfId="0" applyNumberFormat="1" applyFont="1" applyBorder="1" applyAlignment="1">
      <alignment horizontal="center" vertical="center" textRotation="255"/>
    </xf>
    <xf numFmtId="49" fontId="3" fillId="0" borderId="20" xfId="0" applyNumberFormat="1" applyFont="1" applyBorder="1" applyAlignment="1">
      <alignment horizontal="center" vertical="center" textRotation="255"/>
    </xf>
    <xf numFmtId="49" fontId="3" fillId="0" borderId="11" xfId="0" applyNumberFormat="1" applyFont="1" applyBorder="1" applyAlignment="1">
      <alignment horizontal="center" vertical="center" textRotation="255"/>
    </xf>
    <xf numFmtId="0" fontId="0" fillId="0" borderId="32" xfId="0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178" fontId="9" fillId="0" borderId="29" xfId="0" applyNumberFormat="1" applyFont="1" applyBorder="1" applyAlignment="1">
      <alignment horizontal="center" vertical="center" shrinkToFit="1"/>
    </xf>
    <xf numFmtId="178" fontId="9" fillId="0" borderId="18" xfId="0" applyNumberFormat="1" applyFont="1" applyBorder="1" applyAlignment="1">
      <alignment horizontal="center" vertical="center" shrinkToFit="1"/>
    </xf>
    <xf numFmtId="178" fontId="9" fillId="0" borderId="16" xfId="0" applyNumberFormat="1" applyFont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4</xdr:row>
      <xdr:rowOff>76200</xdr:rowOff>
    </xdr:from>
    <xdr:to>
      <xdr:col>21</xdr:col>
      <xdr:colOff>133350</xdr:colOff>
      <xdr:row>14</xdr:row>
      <xdr:rowOff>66505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F37C01EE-A673-4CF6-B0EC-C1985689CFBA}"/>
            </a:ext>
          </a:extLst>
        </xdr:cNvPr>
        <xdr:cNvGrpSpPr>
          <a:grpSpLocks noChangeAspect="1"/>
        </xdr:cNvGrpSpPr>
      </xdr:nvGrpSpPr>
      <xdr:grpSpPr>
        <a:xfrm>
          <a:off x="762000" y="647700"/>
          <a:ext cx="6029325" cy="3924130"/>
          <a:chOff x="266700" y="695325"/>
          <a:chExt cx="9629775" cy="6267450"/>
        </a:xfrm>
      </xdr:grpSpPr>
      <xdr:pic>
        <xdr:nvPicPr>
          <xdr:cNvPr id="130" name="図 129">
            <a:extLst>
              <a:ext uri="{FF2B5EF4-FFF2-40B4-BE49-F238E27FC236}">
                <a16:creationId xmlns:a16="http://schemas.microsoft.com/office/drawing/2014/main" id="{FEF4A98E-2DE6-4D40-9E82-7926D6FFE5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6700" y="695325"/>
            <a:ext cx="9628571" cy="6266667"/>
          </a:xfrm>
          <a:prstGeom prst="rect">
            <a:avLst/>
          </a:prstGeom>
        </xdr:spPr>
      </xdr:pic>
      <xdr:pic>
        <xdr:nvPicPr>
          <xdr:cNvPr id="156" name="図 155">
            <a:extLst>
              <a:ext uri="{FF2B5EF4-FFF2-40B4-BE49-F238E27FC236}">
                <a16:creationId xmlns:a16="http://schemas.microsoft.com/office/drawing/2014/main" id="{30C05A2D-59D9-484C-80B2-F4E97CE69A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858250" y="4733925"/>
            <a:ext cx="609524" cy="714286"/>
          </a:xfrm>
          <a:prstGeom prst="rect">
            <a:avLst/>
          </a:prstGeom>
        </xdr:spPr>
      </xdr:pic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42A31E08-F921-4A5E-83AF-857242967396}"/>
              </a:ext>
            </a:extLst>
          </xdr:cNvPr>
          <xdr:cNvSpPr/>
        </xdr:nvSpPr>
        <xdr:spPr bwMode="auto">
          <a:xfrm>
            <a:off x="466725" y="695325"/>
            <a:ext cx="914400" cy="247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8" name="正方形/長方形 157">
            <a:extLst>
              <a:ext uri="{FF2B5EF4-FFF2-40B4-BE49-F238E27FC236}">
                <a16:creationId xmlns:a16="http://schemas.microsoft.com/office/drawing/2014/main" id="{5BF2D09F-4C6F-403E-A867-9D2648A10D5E}"/>
              </a:ext>
            </a:extLst>
          </xdr:cNvPr>
          <xdr:cNvSpPr/>
        </xdr:nvSpPr>
        <xdr:spPr bwMode="auto">
          <a:xfrm>
            <a:off x="7962901" y="695326"/>
            <a:ext cx="1933574" cy="7048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482C05D8-D2E9-4B0F-85F6-E6C36E2F696C}"/>
              </a:ext>
            </a:extLst>
          </xdr:cNvPr>
          <xdr:cNvSpPr/>
        </xdr:nvSpPr>
        <xdr:spPr bwMode="auto">
          <a:xfrm>
            <a:off x="8896350" y="6715125"/>
            <a:ext cx="914400" cy="2476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3327253-9EFB-445B-87E6-2F057EAA15F4}"/>
            </a:ext>
          </a:extLst>
        </xdr:cNvPr>
        <xdr:cNvSpPr txBox="1">
          <a:spLocks noChangeArrowheads="1"/>
        </xdr:cNvSpPr>
      </xdr:nvSpPr>
      <xdr:spPr bwMode="auto">
        <a:xfrm>
          <a:off x="228600" y="5153024"/>
          <a:ext cx="72390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11</xdr:col>
      <xdr:colOff>123825</xdr:colOff>
      <xdr:row>17</xdr:row>
      <xdr:rowOff>495300</xdr:rowOff>
    </xdr:from>
    <xdr:to>
      <xdr:col>14</xdr:col>
      <xdr:colOff>180975</xdr:colOff>
      <xdr:row>17</xdr:row>
      <xdr:rowOff>800100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30474F2-E34F-4DFB-B600-C9BF341EB83B}"/>
            </a:ext>
          </a:extLst>
        </xdr:cNvPr>
        <xdr:cNvGrpSpPr>
          <a:grpSpLocks/>
        </xdr:cNvGrpSpPr>
      </xdr:nvGrpSpPr>
      <xdr:grpSpPr bwMode="auto">
        <a:xfrm>
          <a:off x="3638550" y="5686425"/>
          <a:ext cx="1000125" cy="304800"/>
          <a:chOff x="110" y="567"/>
          <a:chExt cx="105" cy="32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73F96660-3E09-465C-BAFC-D2D97EC8C9F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F1446B65-6B9D-4DCD-918B-67EA79E392F4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7A389A18-6247-4CC2-9DFC-746B934C7B27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9A878E78-A6C8-4315-AEAD-F9862E0EA8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41EFB66D-C802-46FB-AE31-9131A9D91629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3EADD1CB-3B96-4778-A4DE-F7747788344F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E0715072-C921-41A4-A172-DDC9CC2977E6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783E6B89-35F2-4B44-9A02-8B8C38ACC565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171450</xdr:colOff>
      <xdr:row>17</xdr:row>
      <xdr:rowOff>647700</xdr:rowOff>
    </xdr:from>
    <xdr:to>
      <xdr:col>16</xdr:col>
      <xdr:colOff>123825</xdr:colOff>
      <xdr:row>17</xdr:row>
      <xdr:rowOff>800100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AE99815-3AA4-405D-82A3-3358792C1C1B}"/>
            </a:ext>
          </a:extLst>
        </xdr:cNvPr>
        <xdr:cNvGrpSpPr>
          <a:grpSpLocks/>
        </xdr:cNvGrpSpPr>
      </xdr:nvGrpSpPr>
      <xdr:grpSpPr bwMode="auto">
        <a:xfrm>
          <a:off x="4943475" y="5838825"/>
          <a:ext cx="266700" cy="152400"/>
          <a:chOff x="248" y="601"/>
          <a:chExt cx="28" cy="16"/>
        </a:xfrm>
      </xdr:grpSpPr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EC9FB743-750D-41BD-8478-CA277D476670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19ED4D78-7B9B-4E99-9671-502897A5060E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8571A2FC-4C3D-4663-ADA6-58389BFC329B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B9CD2D1C-65CE-456E-B8AB-C7EF125E72D1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18</xdr:col>
      <xdr:colOff>0</xdr:colOff>
      <xdr:row>18</xdr:row>
      <xdr:rowOff>142875</xdr:rowOff>
    </xdr:to>
    <xdr:grpSp>
      <xdr:nvGrpSpPr>
        <xdr:cNvPr id="17" name="Group 20">
          <a:extLst>
            <a:ext uri="{FF2B5EF4-FFF2-40B4-BE49-F238E27FC236}">
              <a16:creationId xmlns:a16="http://schemas.microsoft.com/office/drawing/2014/main" id="{7B9D3945-B470-423B-8F64-45199129FF77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771900" cy="47625"/>
          <a:chOff x="158" y="715"/>
          <a:chExt cx="33" cy="5"/>
        </a:xfrm>
      </xdr:grpSpPr>
      <xdr:sp macro="" textlink="">
        <xdr:nvSpPr>
          <xdr:cNvPr id="18" name="Line 21">
            <a:extLst>
              <a:ext uri="{FF2B5EF4-FFF2-40B4-BE49-F238E27FC236}">
                <a16:creationId xmlns:a16="http://schemas.microsoft.com/office/drawing/2014/main" id="{D857E695-81C9-474A-B19B-A6B4FA5E21B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7CA15764-AB09-496D-9F47-3CF54D0E40B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20" name="Group 23">
          <a:extLst>
            <a:ext uri="{FF2B5EF4-FFF2-40B4-BE49-F238E27FC236}">
              <a16:creationId xmlns:a16="http://schemas.microsoft.com/office/drawing/2014/main" id="{0BE3C332-FB91-44A4-8AD4-BA845E519A08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2514600" cy="47625"/>
          <a:chOff x="158" y="715"/>
          <a:chExt cx="33" cy="5"/>
        </a:xfrm>
      </xdr:grpSpPr>
      <xdr:sp macro="" textlink="">
        <xdr:nvSpPr>
          <xdr:cNvPr id="21" name="Line 24">
            <a:extLst>
              <a:ext uri="{FF2B5EF4-FFF2-40B4-BE49-F238E27FC236}">
                <a16:creationId xmlns:a16="http://schemas.microsoft.com/office/drawing/2014/main" id="{D014BE51-0B70-4921-8C63-75BBFE4AE96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>
            <a:extLst>
              <a:ext uri="{FF2B5EF4-FFF2-40B4-BE49-F238E27FC236}">
                <a16:creationId xmlns:a16="http://schemas.microsoft.com/office/drawing/2014/main" id="{78485099-8DAA-4673-BC4F-3F5FC49279C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23" name="Group 26">
          <a:extLst>
            <a:ext uri="{FF2B5EF4-FFF2-40B4-BE49-F238E27FC236}">
              <a16:creationId xmlns:a16="http://schemas.microsoft.com/office/drawing/2014/main" id="{7A09F722-32A3-4B37-AC37-1178E2C93BD5}"/>
            </a:ext>
          </a:extLst>
        </xdr:cNvPr>
        <xdr:cNvGrpSpPr>
          <a:grpSpLocks/>
        </xdr:cNvGrpSpPr>
      </xdr:nvGrpSpPr>
      <xdr:grpSpPr bwMode="auto">
        <a:xfrm>
          <a:off x="2571750" y="7096125"/>
          <a:ext cx="314325" cy="47625"/>
          <a:chOff x="158" y="715"/>
          <a:chExt cx="33" cy="5"/>
        </a:xfrm>
      </xdr:grpSpPr>
      <xdr:sp macro="" textlink="">
        <xdr:nvSpPr>
          <xdr:cNvPr id="24" name="Line 27">
            <a:extLst>
              <a:ext uri="{FF2B5EF4-FFF2-40B4-BE49-F238E27FC236}">
                <a16:creationId xmlns:a16="http://schemas.microsoft.com/office/drawing/2014/main" id="{61D78567-D7B5-43C7-A952-EBCBD92DFDD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8">
            <a:extLst>
              <a:ext uri="{FF2B5EF4-FFF2-40B4-BE49-F238E27FC236}">
                <a16:creationId xmlns:a16="http://schemas.microsoft.com/office/drawing/2014/main" id="{AABC3452-D6A3-444F-B82E-B1C7C314F64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247650</xdr:colOff>
      <xdr:row>17</xdr:row>
      <xdr:rowOff>323850</xdr:rowOff>
    </xdr:from>
    <xdr:to>
      <xdr:col>14</xdr:col>
      <xdr:colOff>38100</xdr:colOff>
      <xdr:row>17</xdr:row>
      <xdr:rowOff>381000</xdr:rowOff>
    </xdr:to>
    <xdr:grpSp>
      <xdr:nvGrpSpPr>
        <xdr:cNvPr id="26" name="Group 29">
          <a:extLst>
            <a:ext uri="{FF2B5EF4-FFF2-40B4-BE49-F238E27FC236}">
              <a16:creationId xmlns:a16="http://schemas.microsoft.com/office/drawing/2014/main" id="{DD903F7B-D48C-43A6-9019-2B55429C7DE4}"/>
            </a:ext>
          </a:extLst>
        </xdr:cNvPr>
        <xdr:cNvGrpSpPr>
          <a:grpSpLocks/>
        </xdr:cNvGrpSpPr>
      </xdr:nvGrpSpPr>
      <xdr:grpSpPr bwMode="auto">
        <a:xfrm>
          <a:off x="3762375" y="5514975"/>
          <a:ext cx="733425" cy="57150"/>
          <a:chOff x="123" y="549"/>
          <a:chExt cx="77" cy="6"/>
        </a:xfrm>
      </xdr:grpSpPr>
      <xdr:sp macro="" textlink="">
        <xdr:nvSpPr>
          <xdr:cNvPr id="27" name="Line 30">
            <a:extLst>
              <a:ext uri="{FF2B5EF4-FFF2-40B4-BE49-F238E27FC236}">
                <a16:creationId xmlns:a16="http://schemas.microsoft.com/office/drawing/2014/main" id="{3D57154D-FC0B-4F30-83A0-62896458FEC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Freeform 31">
            <a:extLst>
              <a:ext uri="{FF2B5EF4-FFF2-40B4-BE49-F238E27FC236}">
                <a16:creationId xmlns:a16="http://schemas.microsoft.com/office/drawing/2014/main" id="{59234FC6-E9CF-44B4-89CD-B1CBEC1E7D6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Freeform 32">
            <a:extLst>
              <a:ext uri="{FF2B5EF4-FFF2-40B4-BE49-F238E27FC236}">
                <a16:creationId xmlns:a16="http://schemas.microsoft.com/office/drawing/2014/main" id="{75A68D38-4386-4F46-AB8D-4B2C25A21350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17</xdr:row>
      <xdr:rowOff>866775</xdr:rowOff>
    </xdr:from>
    <xdr:to>
      <xdr:col>14</xdr:col>
      <xdr:colOff>180975</xdr:colOff>
      <xdr:row>17</xdr:row>
      <xdr:rowOff>1162050</xdr:rowOff>
    </xdr:to>
    <xdr:grpSp>
      <xdr:nvGrpSpPr>
        <xdr:cNvPr id="30" name="Group 141">
          <a:extLst>
            <a:ext uri="{FF2B5EF4-FFF2-40B4-BE49-F238E27FC236}">
              <a16:creationId xmlns:a16="http://schemas.microsoft.com/office/drawing/2014/main" id="{E6FC5449-448C-4BE7-9FDC-9E69427111B2}"/>
            </a:ext>
          </a:extLst>
        </xdr:cNvPr>
        <xdr:cNvGrpSpPr>
          <a:grpSpLocks/>
        </xdr:cNvGrpSpPr>
      </xdr:nvGrpSpPr>
      <xdr:grpSpPr bwMode="auto">
        <a:xfrm>
          <a:off x="3638550" y="6057900"/>
          <a:ext cx="1000125" cy="295275"/>
          <a:chOff x="336" y="628"/>
          <a:chExt cx="105" cy="31"/>
        </a:xfrm>
      </xdr:grpSpPr>
      <xdr:sp macro="" textlink="">
        <xdr:nvSpPr>
          <xdr:cNvPr id="31" name="Line 34">
            <a:extLst>
              <a:ext uri="{FF2B5EF4-FFF2-40B4-BE49-F238E27FC236}">
                <a16:creationId xmlns:a16="http://schemas.microsoft.com/office/drawing/2014/main" id="{E1EAAB88-4F93-4526-9BA5-8107FA3084A5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3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Freeform 35">
            <a:extLst>
              <a:ext uri="{FF2B5EF4-FFF2-40B4-BE49-F238E27FC236}">
                <a16:creationId xmlns:a16="http://schemas.microsoft.com/office/drawing/2014/main" id="{78D1409D-4B90-48B5-B20C-B2EF65504511}"/>
              </a:ext>
            </a:extLst>
          </xdr:cNvPr>
          <xdr:cNvSpPr>
            <a:spLocks/>
          </xdr:cNvSpPr>
        </xdr:nvSpPr>
        <xdr:spPr bwMode="auto">
          <a:xfrm rot="10800000">
            <a:off x="336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Freeform 36">
            <a:extLst>
              <a:ext uri="{FF2B5EF4-FFF2-40B4-BE49-F238E27FC236}">
                <a16:creationId xmlns:a16="http://schemas.microsoft.com/office/drawing/2014/main" id="{D1F00479-1A05-4297-A20C-6223670174DA}"/>
              </a:ext>
            </a:extLst>
          </xdr:cNvPr>
          <xdr:cNvSpPr>
            <a:spLocks/>
          </xdr:cNvSpPr>
        </xdr:nvSpPr>
        <xdr:spPr bwMode="auto">
          <a:xfrm rot="10800000">
            <a:off x="40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" name="Line 37">
            <a:extLst>
              <a:ext uri="{FF2B5EF4-FFF2-40B4-BE49-F238E27FC236}">
                <a16:creationId xmlns:a16="http://schemas.microsoft.com/office/drawing/2014/main" id="{35126343-4F4B-4A9B-8946-07A3118A49D2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40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Freeform 38">
            <a:extLst>
              <a:ext uri="{FF2B5EF4-FFF2-40B4-BE49-F238E27FC236}">
                <a16:creationId xmlns:a16="http://schemas.microsoft.com/office/drawing/2014/main" id="{51A71622-F5A8-4C56-B3BC-A77D222CF26C}"/>
              </a:ext>
            </a:extLst>
          </xdr:cNvPr>
          <xdr:cNvSpPr>
            <a:spLocks/>
          </xdr:cNvSpPr>
        </xdr:nvSpPr>
        <xdr:spPr bwMode="auto">
          <a:xfrm rot="10800000">
            <a:off x="40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39">
            <a:extLst>
              <a:ext uri="{FF2B5EF4-FFF2-40B4-BE49-F238E27FC236}">
                <a16:creationId xmlns:a16="http://schemas.microsoft.com/office/drawing/2014/main" id="{7DE0AAF7-D37D-401F-9C8C-208CEF73FD11}"/>
              </a:ext>
            </a:extLst>
          </xdr:cNvPr>
          <xdr:cNvSpPr>
            <a:spLocks/>
          </xdr:cNvSpPr>
        </xdr:nvSpPr>
        <xdr:spPr bwMode="auto">
          <a:xfrm rot="10800000">
            <a:off x="39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7" name="Line 40">
            <a:extLst>
              <a:ext uri="{FF2B5EF4-FFF2-40B4-BE49-F238E27FC236}">
                <a16:creationId xmlns:a16="http://schemas.microsoft.com/office/drawing/2014/main" id="{5DEF9B4B-1361-47B2-98CD-58347DB4DE5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9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41">
            <a:extLst>
              <a:ext uri="{FF2B5EF4-FFF2-40B4-BE49-F238E27FC236}">
                <a16:creationId xmlns:a16="http://schemas.microsoft.com/office/drawing/2014/main" id="{8CE4C06D-4489-419D-87E8-ABF535F5F2F0}"/>
              </a:ext>
            </a:extLst>
          </xdr:cNvPr>
          <xdr:cNvSpPr>
            <a:spLocks/>
          </xdr:cNvSpPr>
        </xdr:nvSpPr>
        <xdr:spPr bwMode="auto">
          <a:xfrm rot="10800000">
            <a:off x="394" y="628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247650</xdr:colOff>
      <xdr:row>17</xdr:row>
      <xdr:rowOff>1247775</xdr:rowOff>
    </xdr:from>
    <xdr:to>
      <xdr:col>14</xdr:col>
      <xdr:colOff>38100</xdr:colOff>
      <xdr:row>17</xdr:row>
      <xdr:rowOff>1304925</xdr:rowOff>
    </xdr:to>
    <xdr:grpSp>
      <xdr:nvGrpSpPr>
        <xdr:cNvPr id="39" name="Group 42">
          <a:extLst>
            <a:ext uri="{FF2B5EF4-FFF2-40B4-BE49-F238E27FC236}">
              <a16:creationId xmlns:a16="http://schemas.microsoft.com/office/drawing/2014/main" id="{75EFC559-3A99-455B-9FCA-D2B59B353850}"/>
            </a:ext>
          </a:extLst>
        </xdr:cNvPr>
        <xdr:cNvGrpSpPr>
          <a:grpSpLocks/>
        </xdr:cNvGrpSpPr>
      </xdr:nvGrpSpPr>
      <xdr:grpSpPr bwMode="auto">
        <a:xfrm>
          <a:off x="3762375" y="6438900"/>
          <a:ext cx="733425" cy="57150"/>
          <a:chOff x="123" y="549"/>
          <a:chExt cx="77" cy="6"/>
        </a:xfrm>
      </xdr:grpSpPr>
      <xdr:sp macro="" textlink="">
        <xdr:nvSpPr>
          <xdr:cNvPr id="40" name="Line 43">
            <a:extLst>
              <a:ext uri="{FF2B5EF4-FFF2-40B4-BE49-F238E27FC236}">
                <a16:creationId xmlns:a16="http://schemas.microsoft.com/office/drawing/2014/main" id="{66376F62-30D6-4574-AC89-7D255DABDEF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4">
            <a:extLst>
              <a:ext uri="{FF2B5EF4-FFF2-40B4-BE49-F238E27FC236}">
                <a16:creationId xmlns:a16="http://schemas.microsoft.com/office/drawing/2014/main" id="{13344C09-7122-4A7F-B4C5-7BDFEB58E10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5">
            <a:extLst>
              <a:ext uri="{FF2B5EF4-FFF2-40B4-BE49-F238E27FC236}">
                <a16:creationId xmlns:a16="http://schemas.microsoft.com/office/drawing/2014/main" id="{0E679657-7613-4A0D-BD31-885335F894D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133350</xdr:colOff>
      <xdr:row>17</xdr:row>
      <xdr:rowOff>409575</xdr:rowOff>
    </xdr:from>
    <xdr:to>
      <xdr:col>4</xdr:col>
      <xdr:colOff>190500</xdr:colOff>
      <xdr:row>17</xdr:row>
      <xdr:rowOff>1143000</xdr:rowOff>
    </xdr:to>
    <xdr:grpSp>
      <xdr:nvGrpSpPr>
        <xdr:cNvPr id="43" name="Group 46">
          <a:extLst>
            <a:ext uri="{FF2B5EF4-FFF2-40B4-BE49-F238E27FC236}">
              <a16:creationId xmlns:a16="http://schemas.microsoft.com/office/drawing/2014/main" id="{9368A224-4394-43DF-A345-D475FC20DD2A}"/>
            </a:ext>
          </a:extLst>
        </xdr:cNvPr>
        <xdr:cNvGrpSpPr>
          <a:grpSpLocks/>
        </xdr:cNvGrpSpPr>
      </xdr:nvGrpSpPr>
      <xdr:grpSpPr bwMode="auto">
        <a:xfrm rot="5400000">
          <a:off x="1109662" y="5938838"/>
          <a:ext cx="733425" cy="57150"/>
          <a:chOff x="123" y="549"/>
          <a:chExt cx="77" cy="6"/>
        </a:xfrm>
      </xdr:grpSpPr>
      <xdr:sp macro="" textlink="">
        <xdr:nvSpPr>
          <xdr:cNvPr id="44" name="Line 47">
            <a:extLst>
              <a:ext uri="{FF2B5EF4-FFF2-40B4-BE49-F238E27FC236}">
                <a16:creationId xmlns:a16="http://schemas.microsoft.com/office/drawing/2014/main" id="{4BB2DCCE-05FA-48A7-8C33-C25996BCC02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48">
            <a:extLst>
              <a:ext uri="{FF2B5EF4-FFF2-40B4-BE49-F238E27FC236}">
                <a16:creationId xmlns:a16="http://schemas.microsoft.com/office/drawing/2014/main" id="{0446257D-14C0-4B13-A4CD-36C137ECE15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Freeform 49">
            <a:extLst>
              <a:ext uri="{FF2B5EF4-FFF2-40B4-BE49-F238E27FC236}">
                <a16:creationId xmlns:a16="http://schemas.microsoft.com/office/drawing/2014/main" id="{8531B547-86DE-4816-AB04-86C197D74748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17</xdr:row>
      <xdr:rowOff>276225</xdr:rowOff>
    </xdr:from>
    <xdr:to>
      <xdr:col>5</xdr:col>
      <xdr:colOff>304800</xdr:colOff>
      <xdr:row>17</xdr:row>
      <xdr:rowOff>1276350</xdr:rowOff>
    </xdr:to>
    <xdr:grpSp>
      <xdr:nvGrpSpPr>
        <xdr:cNvPr id="47" name="Group 140">
          <a:extLst>
            <a:ext uri="{FF2B5EF4-FFF2-40B4-BE49-F238E27FC236}">
              <a16:creationId xmlns:a16="http://schemas.microsoft.com/office/drawing/2014/main" id="{6776904C-31B7-42A9-AEC0-305D782D8794}"/>
            </a:ext>
          </a:extLst>
        </xdr:cNvPr>
        <xdr:cNvGrpSpPr>
          <a:grpSpLocks/>
        </xdr:cNvGrpSpPr>
      </xdr:nvGrpSpPr>
      <xdr:grpSpPr bwMode="auto">
        <a:xfrm>
          <a:off x="1628775" y="5467350"/>
          <a:ext cx="304800" cy="1000125"/>
          <a:chOff x="125" y="566"/>
          <a:chExt cx="32" cy="105"/>
        </a:xfrm>
      </xdr:grpSpPr>
      <xdr:sp macro="" textlink="">
        <xdr:nvSpPr>
          <xdr:cNvPr id="48" name="Line 51">
            <a:extLst>
              <a:ext uri="{FF2B5EF4-FFF2-40B4-BE49-F238E27FC236}">
                <a16:creationId xmlns:a16="http://schemas.microsoft.com/office/drawing/2014/main" id="{09A9F234-9F02-44D2-A100-FF11B83D490B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89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Freeform 52">
            <a:extLst>
              <a:ext uri="{FF2B5EF4-FFF2-40B4-BE49-F238E27FC236}">
                <a16:creationId xmlns:a16="http://schemas.microsoft.com/office/drawing/2014/main" id="{549906E5-B0CB-491C-A7A6-A9BFBB8E3A13}"/>
              </a:ext>
            </a:extLst>
          </xdr:cNvPr>
          <xdr:cNvSpPr>
            <a:spLocks/>
          </xdr:cNvSpPr>
        </xdr:nvSpPr>
        <xdr:spPr bwMode="auto">
          <a:xfrm rot="-5400000">
            <a:off x="137" y="56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Freeform 53">
            <a:extLst>
              <a:ext uri="{FF2B5EF4-FFF2-40B4-BE49-F238E27FC236}">
                <a16:creationId xmlns:a16="http://schemas.microsoft.com/office/drawing/2014/main" id="{8CD813E1-8575-42F8-B162-A5D79C0BDE65}"/>
              </a:ext>
            </a:extLst>
          </xdr:cNvPr>
          <xdr:cNvSpPr>
            <a:spLocks/>
          </xdr:cNvSpPr>
        </xdr:nvSpPr>
        <xdr:spPr bwMode="auto">
          <a:xfrm rot="-5400000">
            <a:off x="133" y="639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54">
            <a:extLst>
              <a:ext uri="{FF2B5EF4-FFF2-40B4-BE49-F238E27FC236}">
                <a16:creationId xmlns:a16="http://schemas.microsoft.com/office/drawing/2014/main" id="{0B5896FC-6EDA-45CD-9588-070D4CEB6638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1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5">
            <a:extLst>
              <a:ext uri="{FF2B5EF4-FFF2-40B4-BE49-F238E27FC236}">
                <a16:creationId xmlns:a16="http://schemas.microsoft.com/office/drawing/2014/main" id="{E15F9801-EBEA-4162-BBE7-1563030B9B38}"/>
              </a:ext>
            </a:extLst>
          </xdr:cNvPr>
          <xdr:cNvSpPr>
            <a:spLocks/>
          </xdr:cNvSpPr>
        </xdr:nvSpPr>
        <xdr:spPr bwMode="auto">
          <a:xfrm rot="-5400000">
            <a:off x="125" y="63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Freeform 56">
            <a:extLst>
              <a:ext uri="{FF2B5EF4-FFF2-40B4-BE49-F238E27FC236}">
                <a16:creationId xmlns:a16="http://schemas.microsoft.com/office/drawing/2014/main" id="{EFC8241C-5784-4A72-9A28-CA797E9A5229}"/>
              </a:ext>
            </a:extLst>
          </xdr:cNvPr>
          <xdr:cNvSpPr>
            <a:spLocks/>
          </xdr:cNvSpPr>
        </xdr:nvSpPr>
        <xdr:spPr bwMode="auto">
          <a:xfrm rot="-5400000">
            <a:off x="141" y="628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Line 57">
            <a:extLst>
              <a:ext uri="{FF2B5EF4-FFF2-40B4-BE49-F238E27FC236}">
                <a16:creationId xmlns:a16="http://schemas.microsoft.com/office/drawing/2014/main" id="{9073FF75-F5C6-4E74-A5E1-341E68742ADC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152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Freeform 58">
            <a:extLst>
              <a:ext uri="{FF2B5EF4-FFF2-40B4-BE49-F238E27FC236}">
                <a16:creationId xmlns:a16="http://schemas.microsoft.com/office/drawing/2014/main" id="{3AD145BC-F4BB-4119-AFB2-B382FFB3EDA6}"/>
              </a:ext>
            </a:extLst>
          </xdr:cNvPr>
          <xdr:cNvSpPr>
            <a:spLocks/>
          </xdr:cNvSpPr>
        </xdr:nvSpPr>
        <xdr:spPr bwMode="auto">
          <a:xfrm rot="-5400000">
            <a:off x="150" y="62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133350</xdr:colOff>
      <xdr:row>17</xdr:row>
      <xdr:rowOff>409575</xdr:rowOff>
    </xdr:from>
    <xdr:to>
      <xdr:col>7</xdr:col>
      <xdr:colOff>190500</xdr:colOff>
      <xdr:row>17</xdr:row>
      <xdr:rowOff>1143000</xdr:rowOff>
    </xdr:to>
    <xdr:grpSp>
      <xdr:nvGrpSpPr>
        <xdr:cNvPr id="56" name="Group 59">
          <a:extLst>
            <a:ext uri="{FF2B5EF4-FFF2-40B4-BE49-F238E27FC236}">
              <a16:creationId xmlns:a16="http://schemas.microsoft.com/office/drawing/2014/main" id="{C7A574DD-6F6D-49B0-A009-A86430853207}"/>
            </a:ext>
          </a:extLst>
        </xdr:cNvPr>
        <xdr:cNvGrpSpPr>
          <a:grpSpLocks/>
        </xdr:cNvGrpSpPr>
      </xdr:nvGrpSpPr>
      <xdr:grpSpPr bwMode="auto">
        <a:xfrm rot="5400000">
          <a:off x="2052637" y="5938838"/>
          <a:ext cx="733425" cy="57150"/>
          <a:chOff x="123" y="549"/>
          <a:chExt cx="77" cy="6"/>
        </a:xfrm>
      </xdr:grpSpPr>
      <xdr:sp macro="" textlink="">
        <xdr:nvSpPr>
          <xdr:cNvPr id="57" name="Line 60">
            <a:extLst>
              <a:ext uri="{FF2B5EF4-FFF2-40B4-BE49-F238E27FC236}">
                <a16:creationId xmlns:a16="http://schemas.microsoft.com/office/drawing/2014/main" id="{E9B7FF52-FFB9-4524-9B61-B08460BFA59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Freeform 61">
            <a:extLst>
              <a:ext uri="{FF2B5EF4-FFF2-40B4-BE49-F238E27FC236}">
                <a16:creationId xmlns:a16="http://schemas.microsoft.com/office/drawing/2014/main" id="{0F438584-DA00-47DF-8F25-552A4FE8C8B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Freeform 62">
            <a:extLst>
              <a:ext uri="{FF2B5EF4-FFF2-40B4-BE49-F238E27FC236}">
                <a16:creationId xmlns:a16="http://schemas.microsoft.com/office/drawing/2014/main" id="{9C3FA081-53CD-4BA9-8F19-251B5C1D66C2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17</xdr:row>
      <xdr:rowOff>285750</xdr:rowOff>
    </xdr:from>
    <xdr:to>
      <xdr:col>7</xdr:col>
      <xdr:colOff>28575</xdr:colOff>
      <xdr:row>17</xdr:row>
      <xdr:rowOff>1285875</xdr:rowOff>
    </xdr:to>
    <xdr:grpSp>
      <xdr:nvGrpSpPr>
        <xdr:cNvPr id="60" name="Group 63">
          <a:extLst>
            <a:ext uri="{FF2B5EF4-FFF2-40B4-BE49-F238E27FC236}">
              <a16:creationId xmlns:a16="http://schemas.microsoft.com/office/drawing/2014/main" id="{637A04E1-2A19-4705-AE39-CBE3C9B8F84A}"/>
            </a:ext>
          </a:extLst>
        </xdr:cNvPr>
        <xdr:cNvGrpSpPr>
          <a:grpSpLocks/>
        </xdr:cNvGrpSpPr>
      </xdr:nvGrpSpPr>
      <xdr:grpSpPr bwMode="auto">
        <a:xfrm rot="5400000">
          <a:off x="1633537" y="5824538"/>
          <a:ext cx="1000125" cy="304800"/>
          <a:chOff x="110" y="567"/>
          <a:chExt cx="105" cy="32"/>
        </a:xfrm>
      </xdr:grpSpPr>
      <xdr:sp macro="" textlink="">
        <xdr:nvSpPr>
          <xdr:cNvPr id="61" name="Line 64">
            <a:extLst>
              <a:ext uri="{FF2B5EF4-FFF2-40B4-BE49-F238E27FC236}">
                <a16:creationId xmlns:a16="http://schemas.microsoft.com/office/drawing/2014/main" id="{1F55CC9D-91C5-41A9-9611-C8B48AAAA865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Freeform 65">
            <a:extLst>
              <a:ext uri="{FF2B5EF4-FFF2-40B4-BE49-F238E27FC236}">
                <a16:creationId xmlns:a16="http://schemas.microsoft.com/office/drawing/2014/main" id="{7566FB48-74F0-4F05-8BE2-D1F3B7EAAD43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3" name="Freeform 66">
            <a:extLst>
              <a:ext uri="{FF2B5EF4-FFF2-40B4-BE49-F238E27FC236}">
                <a16:creationId xmlns:a16="http://schemas.microsoft.com/office/drawing/2014/main" id="{EDFE757C-4B4B-4975-B744-93AA9F2FDCAC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4" name="Line 67">
            <a:extLst>
              <a:ext uri="{FF2B5EF4-FFF2-40B4-BE49-F238E27FC236}">
                <a16:creationId xmlns:a16="http://schemas.microsoft.com/office/drawing/2014/main" id="{21C5E7B1-91D6-4D0A-8275-5C91A716C69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Freeform 68">
            <a:extLst>
              <a:ext uri="{FF2B5EF4-FFF2-40B4-BE49-F238E27FC236}">
                <a16:creationId xmlns:a16="http://schemas.microsoft.com/office/drawing/2014/main" id="{7290B120-D2FF-4001-8841-A25C5E58248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" name="Freeform 69">
            <a:extLst>
              <a:ext uri="{FF2B5EF4-FFF2-40B4-BE49-F238E27FC236}">
                <a16:creationId xmlns:a16="http://schemas.microsoft.com/office/drawing/2014/main" id="{32C44E3E-F4C4-4B36-A849-24EE7D7FFAB8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Line 70">
            <a:extLst>
              <a:ext uri="{FF2B5EF4-FFF2-40B4-BE49-F238E27FC236}">
                <a16:creationId xmlns:a16="http://schemas.microsoft.com/office/drawing/2014/main" id="{07D1FFBB-BB68-4EF1-B21D-F3ACFB0748FA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Freeform 71">
            <a:extLst>
              <a:ext uri="{FF2B5EF4-FFF2-40B4-BE49-F238E27FC236}">
                <a16:creationId xmlns:a16="http://schemas.microsoft.com/office/drawing/2014/main" id="{1CEF890C-4067-48EF-B614-7B954A1BB9A2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190500</xdr:colOff>
      <xdr:row>17</xdr:row>
      <xdr:rowOff>857250</xdr:rowOff>
    </xdr:from>
    <xdr:to>
      <xdr:col>17</xdr:col>
      <xdr:colOff>142875</xdr:colOff>
      <xdr:row>17</xdr:row>
      <xdr:rowOff>1009650</xdr:rowOff>
    </xdr:to>
    <xdr:grpSp>
      <xdr:nvGrpSpPr>
        <xdr:cNvPr id="69" name="Group 72">
          <a:extLst>
            <a:ext uri="{FF2B5EF4-FFF2-40B4-BE49-F238E27FC236}">
              <a16:creationId xmlns:a16="http://schemas.microsoft.com/office/drawing/2014/main" id="{E58558BC-554E-464B-909A-8C6601B97FCE}"/>
            </a:ext>
          </a:extLst>
        </xdr:cNvPr>
        <xdr:cNvGrpSpPr>
          <a:grpSpLocks/>
        </xdr:cNvGrpSpPr>
      </xdr:nvGrpSpPr>
      <xdr:grpSpPr bwMode="auto">
        <a:xfrm rot="10800000">
          <a:off x="5276850" y="6048375"/>
          <a:ext cx="266700" cy="152400"/>
          <a:chOff x="248" y="601"/>
          <a:chExt cx="28" cy="16"/>
        </a:xfrm>
      </xdr:grpSpPr>
      <xdr:sp macro="" textlink="">
        <xdr:nvSpPr>
          <xdr:cNvPr id="70" name="Line 73">
            <a:extLst>
              <a:ext uri="{FF2B5EF4-FFF2-40B4-BE49-F238E27FC236}">
                <a16:creationId xmlns:a16="http://schemas.microsoft.com/office/drawing/2014/main" id="{EE5AB74D-0B66-47D3-B294-611B132465D7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Freeform 74">
            <a:extLst>
              <a:ext uri="{FF2B5EF4-FFF2-40B4-BE49-F238E27FC236}">
                <a16:creationId xmlns:a16="http://schemas.microsoft.com/office/drawing/2014/main" id="{9CDC9BE2-8CF3-467E-A9C3-8384B5FAA791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2" name="Line 75">
            <a:extLst>
              <a:ext uri="{FF2B5EF4-FFF2-40B4-BE49-F238E27FC236}">
                <a16:creationId xmlns:a16="http://schemas.microsoft.com/office/drawing/2014/main" id="{71EB2515-0DD7-49A8-817D-2573D91FF662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76">
            <a:extLst>
              <a:ext uri="{FF2B5EF4-FFF2-40B4-BE49-F238E27FC236}">
                <a16:creationId xmlns:a16="http://schemas.microsoft.com/office/drawing/2014/main" id="{97535830-DFDF-4B8E-B630-0928CAD05E1E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17</xdr:row>
      <xdr:rowOff>466725</xdr:rowOff>
    </xdr:from>
    <xdr:to>
      <xdr:col>10</xdr:col>
      <xdr:colOff>76200</xdr:colOff>
      <xdr:row>17</xdr:row>
      <xdr:rowOff>723900</xdr:rowOff>
    </xdr:to>
    <xdr:grpSp>
      <xdr:nvGrpSpPr>
        <xdr:cNvPr id="74" name="Group 77">
          <a:extLst>
            <a:ext uri="{FF2B5EF4-FFF2-40B4-BE49-F238E27FC236}">
              <a16:creationId xmlns:a16="http://schemas.microsoft.com/office/drawing/2014/main" id="{8521FD16-651C-4E88-A0B8-4F342A6102FA}"/>
            </a:ext>
          </a:extLst>
        </xdr:cNvPr>
        <xdr:cNvGrpSpPr>
          <a:grpSpLocks/>
        </xdr:cNvGrpSpPr>
      </xdr:nvGrpSpPr>
      <xdr:grpSpPr bwMode="auto">
        <a:xfrm>
          <a:off x="3114675" y="5657850"/>
          <a:ext cx="161925" cy="257175"/>
          <a:chOff x="506" y="578"/>
          <a:chExt cx="17" cy="27"/>
        </a:xfrm>
      </xdr:grpSpPr>
      <xdr:sp macro="" textlink="">
        <xdr:nvSpPr>
          <xdr:cNvPr id="75" name="Freeform 78">
            <a:extLst>
              <a:ext uri="{FF2B5EF4-FFF2-40B4-BE49-F238E27FC236}">
                <a16:creationId xmlns:a16="http://schemas.microsoft.com/office/drawing/2014/main" id="{C6E31E35-3469-40FC-8AB0-547052F73C31}"/>
              </a:ext>
            </a:extLst>
          </xdr:cNvPr>
          <xdr:cNvSpPr>
            <a:spLocks/>
          </xdr:cNvSpPr>
        </xdr:nvSpPr>
        <xdr:spPr bwMode="auto">
          <a:xfrm rot="5374774">
            <a:off x="514" y="592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" name="Line 79">
            <a:extLst>
              <a:ext uri="{FF2B5EF4-FFF2-40B4-BE49-F238E27FC236}">
                <a16:creationId xmlns:a16="http://schemas.microsoft.com/office/drawing/2014/main" id="{9AABB93F-C8F7-4610-B994-28D77B78A5CE}"/>
              </a:ext>
            </a:extLst>
          </xdr:cNvPr>
          <xdr:cNvSpPr>
            <a:spLocks noChangeShapeType="1"/>
          </xdr:cNvSpPr>
        </xdr:nvSpPr>
        <xdr:spPr bwMode="auto">
          <a:xfrm rot="5374774">
            <a:off x="511" y="597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Freeform 80">
            <a:extLst>
              <a:ext uri="{FF2B5EF4-FFF2-40B4-BE49-F238E27FC236}">
                <a16:creationId xmlns:a16="http://schemas.microsoft.com/office/drawing/2014/main" id="{D969A28F-B5EB-4BB3-A5DF-885A27B21B28}"/>
              </a:ext>
            </a:extLst>
          </xdr:cNvPr>
          <xdr:cNvSpPr>
            <a:spLocks/>
          </xdr:cNvSpPr>
        </xdr:nvSpPr>
        <xdr:spPr bwMode="auto">
          <a:xfrm rot="5374774">
            <a:off x="505" y="598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8" name="Line 81">
            <a:extLst>
              <a:ext uri="{FF2B5EF4-FFF2-40B4-BE49-F238E27FC236}">
                <a16:creationId xmlns:a16="http://schemas.microsoft.com/office/drawing/2014/main" id="{8154A8D0-F163-4548-A95B-356FB63C252D}"/>
              </a:ext>
            </a:extLst>
          </xdr:cNvPr>
          <xdr:cNvSpPr>
            <a:spLocks noChangeShapeType="1"/>
          </xdr:cNvSpPr>
        </xdr:nvSpPr>
        <xdr:spPr bwMode="auto">
          <a:xfrm>
            <a:off x="523" y="57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238125</xdr:colOff>
      <xdr:row>17</xdr:row>
      <xdr:rowOff>847725</xdr:rowOff>
    </xdr:from>
    <xdr:to>
      <xdr:col>9</xdr:col>
      <xdr:colOff>85725</xdr:colOff>
      <xdr:row>17</xdr:row>
      <xdr:rowOff>1104900</xdr:rowOff>
    </xdr:to>
    <xdr:grpSp>
      <xdr:nvGrpSpPr>
        <xdr:cNvPr id="79" name="Group 82">
          <a:extLst>
            <a:ext uri="{FF2B5EF4-FFF2-40B4-BE49-F238E27FC236}">
              <a16:creationId xmlns:a16="http://schemas.microsoft.com/office/drawing/2014/main" id="{AACA7489-7C22-4284-93F9-3022243420C9}"/>
            </a:ext>
          </a:extLst>
        </xdr:cNvPr>
        <xdr:cNvGrpSpPr>
          <a:grpSpLocks/>
        </xdr:cNvGrpSpPr>
      </xdr:nvGrpSpPr>
      <xdr:grpSpPr bwMode="auto">
        <a:xfrm>
          <a:off x="2809875" y="6038850"/>
          <a:ext cx="161925" cy="257175"/>
          <a:chOff x="471" y="616"/>
          <a:chExt cx="17" cy="27"/>
        </a:xfrm>
      </xdr:grpSpPr>
      <xdr:sp macro="" textlink="">
        <xdr:nvSpPr>
          <xdr:cNvPr id="80" name="Freeform 83">
            <a:extLst>
              <a:ext uri="{FF2B5EF4-FFF2-40B4-BE49-F238E27FC236}">
                <a16:creationId xmlns:a16="http://schemas.microsoft.com/office/drawing/2014/main" id="{FAD2451D-5977-4C76-8F74-3C5BB52B626E}"/>
              </a:ext>
            </a:extLst>
          </xdr:cNvPr>
          <xdr:cNvSpPr>
            <a:spLocks/>
          </xdr:cNvSpPr>
        </xdr:nvSpPr>
        <xdr:spPr bwMode="auto">
          <a:xfrm rot="-5425225">
            <a:off x="471" y="620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1" name="Line 84">
            <a:extLst>
              <a:ext uri="{FF2B5EF4-FFF2-40B4-BE49-F238E27FC236}">
                <a16:creationId xmlns:a16="http://schemas.microsoft.com/office/drawing/2014/main" id="{430AAAF2-BC53-4303-A673-6A734A358EB6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Freeform 85">
            <a:extLst>
              <a:ext uri="{FF2B5EF4-FFF2-40B4-BE49-F238E27FC236}">
                <a16:creationId xmlns:a16="http://schemas.microsoft.com/office/drawing/2014/main" id="{B400689F-DF88-4FC5-84B4-B8E4DB0BC709}"/>
              </a:ext>
            </a:extLst>
          </xdr:cNvPr>
          <xdr:cNvSpPr>
            <a:spLocks/>
          </xdr:cNvSpPr>
        </xdr:nvSpPr>
        <xdr:spPr bwMode="auto">
          <a:xfrm rot="-5425225">
            <a:off x="481" y="617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3" name="Line 86">
            <a:extLst>
              <a:ext uri="{FF2B5EF4-FFF2-40B4-BE49-F238E27FC236}">
                <a16:creationId xmlns:a16="http://schemas.microsoft.com/office/drawing/2014/main" id="{1886ED1B-3C67-4AC0-9B32-77926043CE47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22</xdr:row>
      <xdr:rowOff>47625</xdr:rowOff>
    </xdr:from>
    <xdr:to>
      <xdr:col>15</xdr:col>
      <xdr:colOff>0</xdr:colOff>
      <xdr:row>22</xdr:row>
      <xdr:rowOff>190500</xdr:rowOff>
    </xdr:to>
    <xdr:sp macro="" textlink="">
      <xdr:nvSpPr>
        <xdr:cNvPr id="84" name="Freeform 91">
          <a:extLst>
            <a:ext uri="{FF2B5EF4-FFF2-40B4-BE49-F238E27FC236}">
              <a16:creationId xmlns:a16="http://schemas.microsoft.com/office/drawing/2014/main" id="{12EBD85A-4A62-43A0-9B9E-50859B0F779D}"/>
            </a:ext>
          </a:extLst>
        </xdr:cNvPr>
        <xdr:cNvSpPr>
          <a:spLocks/>
        </xdr:cNvSpPr>
      </xdr:nvSpPr>
      <xdr:spPr bwMode="auto">
        <a:xfrm>
          <a:off x="443865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21</xdr:row>
      <xdr:rowOff>47625</xdr:rowOff>
    </xdr:from>
    <xdr:to>
      <xdr:col>12</xdr:col>
      <xdr:colOff>276225</xdr:colOff>
      <xdr:row>21</xdr:row>
      <xdr:rowOff>200025</xdr:rowOff>
    </xdr:to>
    <xdr:grpSp>
      <xdr:nvGrpSpPr>
        <xdr:cNvPr id="85" name="Group 92">
          <a:extLst>
            <a:ext uri="{FF2B5EF4-FFF2-40B4-BE49-F238E27FC236}">
              <a16:creationId xmlns:a16="http://schemas.microsoft.com/office/drawing/2014/main" id="{3A3ADB2F-69A0-441F-AF76-29BC6B6CAB9B}"/>
            </a:ext>
          </a:extLst>
        </xdr:cNvPr>
        <xdr:cNvGrpSpPr>
          <a:grpSpLocks/>
        </xdr:cNvGrpSpPr>
      </xdr:nvGrpSpPr>
      <xdr:grpSpPr bwMode="auto">
        <a:xfrm>
          <a:off x="3886200" y="7505700"/>
          <a:ext cx="219075" cy="152400"/>
          <a:chOff x="132" y="708"/>
          <a:chExt cx="20" cy="14"/>
        </a:xfrm>
      </xdr:grpSpPr>
      <xdr:sp macro="" textlink="">
        <xdr:nvSpPr>
          <xdr:cNvPr id="86" name="Line 93">
            <a:extLst>
              <a:ext uri="{FF2B5EF4-FFF2-40B4-BE49-F238E27FC236}">
                <a16:creationId xmlns:a16="http://schemas.microsoft.com/office/drawing/2014/main" id="{F3988119-5D93-4234-93EC-19384B69AD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94">
            <a:extLst>
              <a:ext uri="{FF2B5EF4-FFF2-40B4-BE49-F238E27FC236}">
                <a16:creationId xmlns:a16="http://schemas.microsoft.com/office/drawing/2014/main" id="{7B45A9A3-3371-44D5-ACB3-FD94DC2B987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95">
            <a:extLst>
              <a:ext uri="{FF2B5EF4-FFF2-40B4-BE49-F238E27FC236}">
                <a16:creationId xmlns:a16="http://schemas.microsoft.com/office/drawing/2014/main" id="{02B614D5-C0D3-46A4-B64C-614BB399A1A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96">
            <a:extLst>
              <a:ext uri="{FF2B5EF4-FFF2-40B4-BE49-F238E27FC236}">
                <a16:creationId xmlns:a16="http://schemas.microsoft.com/office/drawing/2014/main" id="{C558987B-85F1-4811-A74F-8F0E17D52C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104775</xdr:rowOff>
    </xdr:from>
    <xdr:to>
      <xdr:col>18</xdr:col>
      <xdr:colOff>9525</xdr:colOff>
      <xdr:row>21</xdr:row>
      <xdr:rowOff>152400</xdr:rowOff>
    </xdr:to>
    <xdr:grpSp>
      <xdr:nvGrpSpPr>
        <xdr:cNvPr id="90" name="Group 97">
          <a:extLst>
            <a:ext uri="{FF2B5EF4-FFF2-40B4-BE49-F238E27FC236}">
              <a16:creationId xmlns:a16="http://schemas.microsoft.com/office/drawing/2014/main" id="{313CBE80-AB99-4460-AF69-BD1FC2A6082A}"/>
            </a:ext>
          </a:extLst>
        </xdr:cNvPr>
        <xdr:cNvGrpSpPr>
          <a:grpSpLocks/>
        </xdr:cNvGrpSpPr>
      </xdr:nvGrpSpPr>
      <xdr:grpSpPr bwMode="auto">
        <a:xfrm>
          <a:off x="4152900" y="7562850"/>
          <a:ext cx="1571625" cy="47625"/>
          <a:chOff x="158" y="715"/>
          <a:chExt cx="33" cy="5"/>
        </a:xfrm>
      </xdr:grpSpPr>
      <xdr:sp macro="" textlink="">
        <xdr:nvSpPr>
          <xdr:cNvPr id="91" name="Line 98">
            <a:extLst>
              <a:ext uri="{FF2B5EF4-FFF2-40B4-BE49-F238E27FC236}">
                <a16:creationId xmlns:a16="http://schemas.microsoft.com/office/drawing/2014/main" id="{25B7EAAE-BC6F-4CE4-AEE1-5DBE08D8023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99">
            <a:extLst>
              <a:ext uri="{FF2B5EF4-FFF2-40B4-BE49-F238E27FC236}">
                <a16:creationId xmlns:a16="http://schemas.microsoft.com/office/drawing/2014/main" id="{D4914284-4F58-43FE-8306-5BF72A2C3EE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9525</xdr:colOff>
      <xdr:row>22</xdr:row>
      <xdr:rowOff>104775</xdr:rowOff>
    </xdr:from>
    <xdr:to>
      <xdr:col>18</xdr:col>
      <xdr:colOff>9525</xdr:colOff>
      <xdr:row>22</xdr:row>
      <xdr:rowOff>152400</xdr:rowOff>
    </xdr:to>
    <xdr:grpSp>
      <xdr:nvGrpSpPr>
        <xdr:cNvPr id="93" name="Group 100">
          <a:extLst>
            <a:ext uri="{FF2B5EF4-FFF2-40B4-BE49-F238E27FC236}">
              <a16:creationId xmlns:a16="http://schemas.microsoft.com/office/drawing/2014/main" id="{0C1FA9E2-A7DA-4887-8D8C-23170892383C}"/>
            </a:ext>
          </a:extLst>
        </xdr:cNvPr>
        <xdr:cNvGrpSpPr>
          <a:grpSpLocks/>
        </xdr:cNvGrpSpPr>
      </xdr:nvGrpSpPr>
      <xdr:grpSpPr bwMode="auto">
        <a:xfrm>
          <a:off x="5410200" y="7791450"/>
          <a:ext cx="314325" cy="47625"/>
          <a:chOff x="158" y="715"/>
          <a:chExt cx="33" cy="5"/>
        </a:xfrm>
      </xdr:grpSpPr>
      <xdr:sp macro="" textlink="">
        <xdr:nvSpPr>
          <xdr:cNvPr id="94" name="Line 101">
            <a:extLst>
              <a:ext uri="{FF2B5EF4-FFF2-40B4-BE49-F238E27FC236}">
                <a16:creationId xmlns:a16="http://schemas.microsoft.com/office/drawing/2014/main" id="{AC27C468-E4E2-453E-9F9D-BB9FD765D3B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102">
            <a:extLst>
              <a:ext uri="{FF2B5EF4-FFF2-40B4-BE49-F238E27FC236}">
                <a16:creationId xmlns:a16="http://schemas.microsoft.com/office/drawing/2014/main" id="{5FA5FE3D-5653-4D7C-A444-94BD9839371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22</xdr:row>
      <xdr:rowOff>104775</xdr:rowOff>
    </xdr:from>
    <xdr:to>
      <xdr:col>16</xdr:col>
      <xdr:colOff>9525</xdr:colOff>
      <xdr:row>22</xdr:row>
      <xdr:rowOff>152400</xdr:rowOff>
    </xdr:to>
    <xdr:grpSp>
      <xdr:nvGrpSpPr>
        <xdr:cNvPr id="96" name="Group 103">
          <a:extLst>
            <a:ext uri="{FF2B5EF4-FFF2-40B4-BE49-F238E27FC236}">
              <a16:creationId xmlns:a16="http://schemas.microsoft.com/office/drawing/2014/main" id="{D4CC9B2B-5258-4EAF-B98E-B025670BA7D3}"/>
            </a:ext>
          </a:extLst>
        </xdr:cNvPr>
        <xdr:cNvGrpSpPr>
          <a:grpSpLocks/>
        </xdr:cNvGrpSpPr>
      </xdr:nvGrpSpPr>
      <xdr:grpSpPr bwMode="auto">
        <a:xfrm>
          <a:off x="4781550" y="7791450"/>
          <a:ext cx="314325" cy="47625"/>
          <a:chOff x="158" y="715"/>
          <a:chExt cx="33" cy="5"/>
        </a:xfrm>
      </xdr:grpSpPr>
      <xdr:sp macro="" textlink="">
        <xdr:nvSpPr>
          <xdr:cNvPr id="97" name="Line 104">
            <a:extLst>
              <a:ext uri="{FF2B5EF4-FFF2-40B4-BE49-F238E27FC236}">
                <a16:creationId xmlns:a16="http://schemas.microsoft.com/office/drawing/2014/main" id="{83500C6E-72B7-461D-B9FF-9EAF38FCE85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105">
            <a:extLst>
              <a:ext uri="{FF2B5EF4-FFF2-40B4-BE49-F238E27FC236}">
                <a16:creationId xmlns:a16="http://schemas.microsoft.com/office/drawing/2014/main" id="{74E1C54C-4826-4CD6-94BC-70F69B5B7DB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21</xdr:row>
      <xdr:rowOff>114300</xdr:rowOff>
    </xdr:from>
    <xdr:to>
      <xdr:col>11</xdr:col>
      <xdr:colOff>9525</xdr:colOff>
      <xdr:row>21</xdr:row>
      <xdr:rowOff>161925</xdr:rowOff>
    </xdr:to>
    <xdr:grpSp>
      <xdr:nvGrpSpPr>
        <xdr:cNvPr id="99" name="Group 106">
          <a:extLst>
            <a:ext uri="{FF2B5EF4-FFF2-40B4-BE49-F238E27FC236}">
              <a16:creationId xmlns:a16="http://schemas.microsoft.com/office/drawing/2014/main" id="{C0A365D2-5ACD-408A-AE9E-FDA19619FAF1}"/>
            </a:ext>
          </a:extLst>
        </xdr:cNvPr>
        <xdr:cNvGrpSpPr>
          <a:grpSpLocks/>
        </xdr:cNvGrpSpPr>
      </xdr:nvGrpSpPr>
      <xdr:grpSpPr bwMode="auto">
        <a:xfrm>
          <a:off x="1323975" y="7572375"/>
          <a:ext cx="2200275" cy="47625"/>
          <a:chOff x="158" y="715"/>
          <a:chExt cx="33" cy="5"/>
        </a:xfrm>
      </xdr:grpSpPr>
      <xdr:sp macro="" textlink="">
        <xdr:nvSpPr>
          <xdr:cNvPr id="100" name="Line 107">
            <a:extLst>
              <a:ext uri="{FF2B5EF4-FFF2-40B4-BE49-F238E27FC236}">
                <a16:creationId xmlns:a16="http://schemas.microsoft.com/office/drawing/2014/main" id="{DEA93423-CC13-4832-9622-AC9C2D2E8F8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08">
            <a:extLst>
              <a:ext uri="{FF2B5EF4-FFF2-40B4-BE49-F238E27FC236}">
                <a16:creationId xmlns:a16="http://schemas.microsoft.com/office/drawing/2014/main" id="{AD1A6783-A4DC-4F41-AC24-8F5DBD405E4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21</xdr:row>
      <xdr:rowOff>133350</xdr:rowOff>
    </xdr:from>
    <xdr:to>
      <xdr:col>12</xdr:col>
      <xdr:colOff>9525</xdr:colOff>
      <xdr:row>21</xdr:row>
      <xdr:rowOff>133350</xdr:rowOff>
    </xdr:to>
    <xdr:sp macro="" textlink="">
      <xdr:nvSpPr>
        <xdr:cNvPr id="102" name="Line 109">
          <a:extLst>
            <a:ext uri="{FF2B5EF4-FFF2-40B4-BE49-F238E27FC236}">
              <a16:creationId xmlns:a16="http://schemas.microsoft.com/office/drawing/2014/main" id="{3B1991B7-05C7-4C25-AAB5-FB1C96D24DF3}"/>
            </a:ext>
          </a:extLst>
        </xdr:cNvPr>
        <xdr:cNvSpPr>
          <a:spLocks noChangeShapeType="1"/>
        </xdr:cNvSpPr>
      </xdr:nvSpPr>
      <xdr:spPr bwMode="auto">
        <a:xfrm>
          <a:off x="3486150" y="751522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22</xdr:row>
      <xdr:rowOff>133350</xdr:rowOff>
    </xdr:from>
    <xdr:to>
      <xdr:col>14</xdr:col>
      <xdr:colOff>9525</xdr:colOff>
      <xdr:row>22</xdr:row>
      <xdr:rowOff>133350</xdr:rowOff>
    </xdr:to>
    <xdr:sp macro="" textlink="">
      <xdr:nvSpPr>
        <xdr:cNvPr id="103" name="Line 110">
          <a:extLst>
            <a:ext uri="{FF2B5EF4-FFF2-40B4-BE49-F238E27FC236}">
              <a16:creationId xmlns:a16="http://schemas.microsoft.com/office/drawing/2014/main" id="{820F2B1C-14FE-492D-B1A6-1D1BD9FA9FA8}"/>
            </a:ext>
          </a:extLst>
        </xdr:cNvPr>
        <xdr:cNvSpPr>
          <a:spLocks noChangeShapeType="1"/>
        </xdr:cNvSpPr>
      </xdr:nvSpPr>
      <xdr:spPr bwMode="auto">
        <a:xfrm>
          <a:off x="3486150" y="774382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22</xdr:row>
      <xdr:rowOff>104775</xdr:rowOff>
    </xdr:from>
    <xdr:to>
      <xdr:col>11</xdr:col>
      <xdr:colOff>9525</xdr:colOff>
      <xdr:row>22</xdr:row>
      <xdr:rowOff>152400</xdr:rowOff>
    </xdr:to>
    <xdr:grpSp>
      <xdr:nvGrpSpPr>
        <xdr:cNvPr id="104" name="Group 111">
          <a:extLst>
            <a:ext uri="{FF2B5EF4-FFF2-40B4-BE49-F238E27FC236}">
              <a16:creationId xmlns:a16="http://schemas.microsoft.com/office/drawing/2014/main" id="{2D99FE3C-9323-4418-9CFA-74A467264134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2200275" cy="47625"/>
          <a:chOff x="158" y="715"/>
          <a:chExt cx="33" cy="5"/>
        </a:xfrm>
      </xdr:grpSpPr>
      <xdr:sp macro="" textlink="">
        <xdr:nvSpPr>
          <xdr:cNvPr id="105" name="Line 112">
            <a:extLst>
              <a:ext uri="{FF2B5EF4-FFF2-40B4-BE49-F238E27FC236}">
                <a16:creationId xmlns:a16="http://schemas.microsoft.com/office/drawing/2014/main" id="{6600A368-DF52-4DA3-AF4A-253D0B684D0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13">
            <a:extLst>
              <a:ext uri="{FF2B5EF4-FFF2-40B4-BE49-F238E27FC236}">
                <a16:creationId xmlns:a16="http://schemas.microsoft.com/office/drawing/2014/main" id="{7AC844B0-7B93-43C1-BF5C-C15B4969A93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123825</xdr:rowOff>
    </xdr:from>
    <xdr:to>
      <xdr:col>5</xdr:col>
      <xdr:colOff>9525</xdr:colOff>
      <xdr:row>18</xdr:row>
      <xdr:rowOff>123825</xdr:rowOff>
    </xdr:to>
    <xdr:sp macro="" textlink="">
      <xdr:nvSpPr>
        <xdr:cNvPr id="109" name="Line 116">
          <a:extLst>
            <a:ext uri="{FF2B5EF4-FFF2-40B4-BE49-F238E27FC236}">
              <a16:creationId xmlns:a16="http://schemas.microsoft.com/office/drawing/2014/main" id="{703363B9-40C7-417C-83D2-FDCB3D8ED4C7}"/>
            </a:ext>
          </a:extLst>
        </xdr:cNvPr>
        <xdr:cNvSpPr>
          <a:spLocks noChangeShapeType="1"/>
        </xdr:cNvSpPr>
      </xdr:nvSpPr>
      <xdr:spPr bwMode="auto">
        <a:xfrm>
          <a:off x="1285875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10" name="Line 117">
          <a:extLst>
            <a:ext uri="{FF2B5EF4-FFF2-40B4-BE49-F238E27FC236}">
              <a16:creationId xmlns:a16="http://schemas.microsoft.com/office/drawing/2014/main" id="{A91189B2-A07C-49D6-846C-99EF593A6A04}"/>
            </a:ext>
          </a:extLst>
        </xdr:cNvPr>
        <xdr:cNvSpPr>
          <a:spLocks noChangeShapeType="1"/>
        </xdr:cNvSpPr>
      </xdr:nvSpPr>
      <xdr:spPr bwMode="auto">
        <a:xfrm>
          <a:off x="1276350" y="7048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11" name="Group 118">
          <a:extLst>
            <a:ext uri="{FF2B5EF4-FFF2-40B4-BE49-F238E27FC236}">
              <a16:creationId xmlns:a16="http://schemas.microsoft.com/office/drawing/2014/main" id="{4B21F0A5-20ED-4AB3-AA29-736CBCA18DC7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112" name="Line 119">
            <a:extLst>
              <a:ext uri="{FF2B5EF4-FFF2-40B4-BE49-F238E27FC236}">
                <a16:creationId xmlns:a16="http://schemas.microsoft.com/office/drawing/2014/main" id="{D68572BE-60E5-4E31-8CE8-F21972E5509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0">
            <a:extLst>
              <a:ext uri="{FF2B5EF4-FFF2-40B4-BE49-F238E27FC236}">
                <a16:creationId xmlns:a16="http://schemas.microsoft.com/office/drawing/2014/main" id="{554C6398-BC5D-4AB7-9070-42493D1A742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21">
            <a:extLst>
              <a:ext uri="{FF2B5EF4-FFF2-40B4-BE49-F238E27FC236}">
                <a16:creationId xmlns:a16="http://schemas.microsoft.com/office/drawing/2014/main" id="{76182C01-1029-4998-8EAD-CF75E83AE31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Line 122">
            <a:extLst>
              <a:ext uri="{FF2B5EF4-FFF2-40B4-BE49-F238E27FC236}">
                <a16:creationId xmlns:a16="http://schemas.microsoft.com/office/drawing/2014/main" id="{D4F3EE32-18BC-4A2E-BAB8-544084A6059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47625</xdr:rowOff>
    </xdr:from>
    <xdr:to>
      <xdr:col>7</xdr:col>
      <xdr:colOff>295275</xdr:colOff>
      <xdr:row>19</xdr:row>
      <xdr:rowOff>190500</xdr:rowOff>
    </xdr:to>
    <xdr:sp macro="" textlink="">
      <xdr:nvSpPr>
        <xdr:cNvPr id="116" name="Freeform 123">
          <a:extLst>
            <a:ext uri="{FF2B5EF4-FFF2-40B4-BE49-F238E27FC236}">
              <a16:creationId xmlns:a16="http://schemas.microsoft.com/office/drawing/2014/main" id="{9966EE65-E95F-4B19-98D4-ADACC53A410B}"/>
            </a:ext>
          </a:extLst>
        </xdr:cNvPr>
        <xdr:cNvSpPr>
          <a:spLocks/>
        </xdr:cNvSpPr>
      </xdr:nvSpPr>
      <xdr:spPr bwMode="auto">
        <a:xfrm>
          <a:off x="2219325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57150</xdr:rowOff>
    </xdr:from>
    <xdr:to>
      <xdr:col>9</xdr:col>
      <xdr:colOff>295275</xdr:colOff>
      <xdr:row>19</xdr:row>
      <xdr:rowOff>200025</xdr:rowOff>
    </xdr:to>
    <xdr:sp macro="" textlink="">
      <xdr:nvSpPr>
        <xdr:cNvPr id="117" name="Freeform 124">
          <a:extLst>
            <a:ext uri="{FF2B5EF4-FFF2-40B4-BE49-F238E27FC236}">
              <a16:creationId xmlns:a16="http://schemas.microsoft.com/office/drawing/2014/main" id="{33F64542-5C80-4123-8FB1-5B4DD98D07C9}"/>
            </a:ext>
          </a:extLst>
        </xdr:cNvPr>
        <xdr:cNvSpPr>
          <a:spLocks/>
        </xdr:cNvSpPr>
      </xdr:nvSpPr>
      <xdr:spPr bwMode="auto">
        <a:xfrm>
          <a:off x="2847975" y="698182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22</xdr:row>
      <xdr:rowOff>57150</xdr:rowOff>
    </xdr:from>
    <xdr:to>
      <xdr:col>16</xdr:col>
      <xdr:colOff>304800</xdr:colOff>
      <xdr:row>22</xdr:row>
      <xdr:rowOff>200025</xdr:rowOff>
    </xdr:to>
    <xdr:sp macro="" textlink="">
      <xdr:nvSpPr>
        <xdr:cNvPr id="118" name="Freeform 125">
          <a:extLst>
            <a:ext uri="{FF2B5EF4-FFF2-40B4-BE49-F238E27FC236}">
              <a16:creationId xmlns:a16="http://schemas.microsoft.com/office/drawing/2014/main" id="{471DBF70-31F7-42B8-95BE-C41FF955E8EE}"/>
            </a:ext>
          </a:extLst>
        </xdr:cNvPr>
        <xdr:cNvSpPr>
          <a:spLocks/>
        </xdr:cNvSpPr>
      </xdr:nvSpPr>
      <xdr:spPr bwMode="auto">
        <a:xfrm>
          <a:off x="5057775" y="766762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152400</xdr:colOff>
      <xdr:row>17</xdr:row>
      <xdr:rowOff>180975</xdr:rowOff>
    </xdr:from>
    <xdr:ext cx="361244" cy="150041"/>
    <xdr:sp macro="" textlink="">
      <xdr:nvSpPr>
        <xdr:cNvPr id="120" name="Text Box 128">
          <a:extLst>
            <a:ext uri="{FF2B5EF4-FFF2-40B4-BE49-F238E27FC236}">
              <a16:creationId xmlns:a16="http://schemas.microsoft.com/office/drawing/2014/main" id="{55933DCC-3B3C-4D3F-A8BF-3855EF2E833A}"/>
            </a:ext>
          </a:extLst>
        </xdr:cNvPr>
        <xdr:cNvSpPr txBox="1">
          <a:spLocks noChangeArrowheads="1"/>
        </xdr:cNvSpPr>
      </xdr:nvSpPr>
      <xdr:spPr bwMode="auto">
        <a:xfrm>
          <a:off x="3981450" y="537210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24.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0</xdr:col>
      <xdr:colOff>47625</xdr:colOff>
      <xdr:row>13</xdr:row>
      <xdr:rowOff>104775</xdr:rowOff>
    </xdr:from>
    <xdr:ext cx="844265" cy="336434"/>
    <xdr:sp macro="" textlink="">
      <xdr:nvSpPr>
        <xdr:cNvPr id="121" name="Text Box 129">
          <a:extLst>
            <a:ext uri="{FF2B5EF4-FFF2-40B4-BE49-F238E27FC236}">
              <a16:creationId xmlns:a16="http://schemas.microsoft.com/office/drawing/2014/main" id="{E6D2CCE2-2275-45CF-A347-722A67AE5B4E}"/>
            </a:ext>
          </a:extLst>
        </xdr:cNvPr>
        <xdr:cNvSpPr txBox="1">
          <a:spLocks noChangeArrowheads="1"/>
        </xdr:cNvSpPr>
      </xdr:nvSpPr>
      <xdr:spPr bwMode="auto">
        <a:xfrm>
          <a:off x="47625" y="4305300"/>
          <a:ext cx="844265" cy="336434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4</xdr:col>
      <xdr:colOff>9525</xdr:colOff>
      <xdr:row>17</xdr:row>
      <xdr:rowOff>1200150</xdr:rowOff>
    </xdr:from>
    <xdr:ext cx="361244" cy="150041"/>
    <xdr:sp macro="" textlink="">
      <xdr:nvSpPr>
        <xdr:cNvPr id="123" name="Text Box 132">
          <a:extLst>
            <a:ext uri="{FF2B5EF4-FFF2-40B4-BE49-F238E27FC236}">
              <a16:creationId xmlns:a16="http://schemas.microsoft.com/office/drawing/2014/main" id="{9ABD9B2E-9CB3-4CEE-9158-3CEB6A949197}"/>
            </a:ext>
          </a:extLst>
        </xdr:cNvPr>
        <xdr:cNvSpPr txBox="1">
          <a:spLocks noChangeArrowheads="1"/>
        </xdr:cNvSpPr>
      </xdr:nvSpPr>
      <xdr:spPr bwMode="auto">
        <a:xfrm>
          <a:off x="1323975" y="639127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6</xdr:col>
      <xdr:colOff>266700</xdr:colOff>
      <xdr:row>17</xdr:row>
      <xdr:rowOff>1200150</xdr:rowOff>
    </xdr:from>
    <xdr:ext cx="361244" cy="150041"/>
    <xdr:sp macro="" textlink="">
      <xdr:nvSpPr>
        <xdr:cNvPr id="124" name="Text Box 133">
          <a:extLst>
            <a:ext uri="{FF2B5EF4-FFF2-40B4-BE49-F238E27FC236}">
              <a16:creationId xmlns:a16="http://schemas.microsoft.com/office/drawing/2014/main" id="{4DA568EB-F395-41C2-86CD-C72A0686AEE2}"/>
            </a:ext>
          </a:extLst>
        </xdr:cNvPr>
        <xdr:cNvSpPr txBox="1">
          <a:spLocks noChangeArrowheads="1"/>
        </xdr:cNvSpPr>
      </xdr:nvSpPr>
      <xdr:spPr bwMode="auto">
        <a:xfrm>
          <a:off x="2209800" y="639127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17.8m</a:t>
          </a:r>
        </a:p>
      </xdr:txBody>
    </xdr:sp>
    <xdr:clientData/>
  </xdr:oneCellAnchor>
  <xdr:oneCellAnchor>
    <xdr:from>
      <xdr:col>6</xdr:col>
      <xdr:colOff>276225</xdr:colOff>
      <xdr:row>17</xdr:row>
      <xdr:rowOff>228600</xdr:rowOff>
    </xdr:from>
    <xdr:ext cx="361244" cy="150041"/>
    <xdr:sp macro="" textlink="">
      <xdr:nvSpPr>
        <xdr:cNvPr id="125" name="Text Box 134">
          <a:extLst>
            <a:ext uri="{FF2B5EF4-FFF2-40B4-BE49-F238E27FC236}">
              <a16:creationId xmlns:a16="http://schemas.microsoft.com/office/drawing/2014/main" id="{6467CD7C-A866-4A28-839E-0A4E20BA6AE0}"/>
            </a:ext>
          </a:extLst>
        </xdr:cNvPr>
        <xdr:cNvSpPr txBox="1">
          <a:spLocks noChangeArrowheads="1"/>
        </xdr:cNvSpPr>
      </xdr:nvSpPr>
      <xdr:spPr bwMode="auto">
        <a:xfrm>
          <a:off x="2219325" y="541972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4</xdr:col>
      <xdr:colOff>9525</xdr:colOff>
      <xdr:row>17</xdr:row>
      <xdr:rowOff>238125</xdr:rowOff>
    </xdr:from>
    <xdr:ext cx="361244" cy="150041"/>
    <xdr:sp macro="" textlink="">
      <xdr:nvSpPr>
        <xdr:cNvPr id="126" name="Text Box 135">
          <a:extLst>
            <a:ext uri="{FF2B5EF4-FFF2-40B4-BE49-F238E27FC236}">
              <a16:creationId xmlns:a16="http://schemas.microsoft.com/office/drawing/2014/main" id="{C868FDC5-7BB1-49D8-9154-9FC013B71744}"/>
            </a:ext>
          </a:extLst>
        </xdr:cNvPr>
        <xdr:cNvSpPr txBox="1">
          <a:spLocks noChangeArrowheads="1"/>
        </xdr:cNvSpPr>
      </xdr:nvSpPr>
      <xdr:spPr bwMode="auto">
        <a:xfrm>
          <a:off x="1323975" y="54292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13</xdr:col>
      <xdr:colOff>266700</xdr:colOff>
      <xdr:row>17</xdr:row>
      <xdr:rowOff>180975</xdr:rowOff>
    </xdr:from>
    <xdr:ext cx="361244" cy="150041"/>
    <xdr:sp macro="" textlink="">
      <xdr:nvSpPr>
        <xdr:cNvPr id="127" name="Text Box 136">
          <a:extLst>
            <a:ext uri="{FF2B5EF4-FFF2-40B4-BE49-F238E27FC236}">
              <a16:creationId xmlns:a16="http://schemas.microsoft.com/office/drawing/2014/main" id="{12D8DD26-A5FA-419C-8C04-D2F050A33A7C}"/>
            </a:ext>
          </a:extLst>
        </xdr:cNvPr>
        <xdr:cNvSpPr txBox="1">
          <a:spLocks noChangeArrowheads="1"/>
        </xdr:cNvSpPr>
      </xdr:nvSpPr>
      <xdr:spPr bwMode="auto">
        <a:xfrm>
          <a:off x="4410075" y="537210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12</xdr:col>
      <xdr:colOff>161925</xdr:colOff>
      <xdr:row>17</xdr:row>
      <xdr:rowOff>1304925</xdr:rowOff>
    </xdr:from>
    <xdr:ext cx="361244" cy="150041"/>
    <xdr:sp macro="" textlink="">
      <xdr:nvSpPr>
        <xdr:cNvPr id="128" name="Text Box 137">
          <a:extLst>
            <a:ext uri="{FF2B5EF4-FFF2-40B4-BE49-F238E27FC236}">
              <a16:creationId xmlns:a16="http://schemas.microsoft.com/office/drawing/2014/main" id="{0534BBC8-5133-4A3D-AADB-6F26F268D822}"/>
            </a:ext>
          </a:extLst>
        </xdr:cNvPr>
        <xdr:cNvSpPr txBox="1">
          <a:spLocks noChangeArrowheads="1"/>
        </xdr:cNvSpPr>
      </xdr:nvSpPr>
      <xdr:spPr bwMode="auto">
        <a:xfrm>
          <a:off x="3990975" y="64960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13</xdr:col>
      <xdr:colOff>266700</xdr:colOff>
      <xdr:row>17</xdr:row>
      <xdr:rowOff>1304925</xdr:rowOff>
    </xdr:from>
    <xdr:ext cx="361244" cy="150041"/>
    <xdr:sp macro="" textlink="">
      <xdr:nvSpPr>
        <xdr:cNvPr id="129" name="Text Box 138">
          <a:extLst>
            <a:ext uri="{FF2B5EF4-FFF2-40B4-BE49-F238E27FC236}">
              <a16:creationId xmlns:a16="http://schemas.microsoft.com/office/drawing/2014/main" id="{BB5ED428-F584-4429-81FF-F6F3D4CDF94B}"/>
            </a:ext>
          </a:extLst>
        </xdr:cNvPr>
        <xdr:cNvSpPr txBox="1">
          <a:spLocks noChangeArrowheads="1"/>
        </xdr:cNvSpPr>
      </xdr:nvSpPr>
      <xdr:spPr bwMode="auto">
        <a:xfrm>
          <a:off x="4410075" y="64960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8</xdr:col>
      <xdr:colOff>19050</xdr:colOff>
      <xdr:row>20</xdr:row>
      <xdr:rowOff>38100</xdr:rowOff>
    </xdr:from>
    <xdr:to>
      <xdr:col>8</xdr:col>
      <xdr:colOff>295275</xdr:colOff>
      <xdr:row>20</xdr:row>
      <xdr:rowOff>209550</xdr:rowOff>
    </xdr:to>
    <xdr:grpSp>
      <xdr:nvGrpSpPr>
        <xdr:cNvPr id="131" name="Group 142">
          <a:extLst>
            <a:ext uri="{FF2B5EF4-FFF2-40B4-BE49-F238E27FC236}">
              <a16:creationId xmlns:a16="http://schemas.microsoft.com/office/drawing/2014/main" id="{6A48A0EA-C965-416E-BADD-58895DBE76DF}"/>
            </a:ext>
          </a:extLst>
        </xdr:cNvPr>
        <xdr:cNvGrpSpPr>
          <a:grpSpLocks/>
        </xdr:cNvGrpSpPr>
      </xdr:nvGrpSpPr>
      <xdr:grpSpPr bwMode="auto">
        <a:xfrm>
          <a:off x="2590800" y="7267575"/>
          <a:ext cx="276225" cy="171450"/>
          <a:chOff x="226" y="755"/>
          <a:chExt cx="29" cy="18"/>
        </a:xfrm>
      </xdr:grpSpPr>
      <xdr:sp macro="" textlink="">
        <xdr:nvSpPr>
          <xdr:cNvPr id="132" name="Oval 143">
            <a:extLst>
              <a:ext uri="{FF2B5EF4-FFF2-40B4-BE49-F238E27FC236}">
                <a16:creationId xmlns:a16="http://schemas.microsoft.com/office/drawing/2014/main" id="{89C993D1-3ADD-4671-8A8F-FDB77D64E009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" name="Line 144">
            <a:extLst>
              <a:ext uri="{FF2B5EF4-FFF2-40B4-BE49-F238E27FC236}">
                <a16:creationId xmlns:a16="http://schemas.microsoft.com/office/drawing/2014/main" id="{D347014B-76B4-442D-AD83-B5CBB5DAB3E2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Freeform 145">
            <a:extLst>
              <a:ext uri="{FF2B5EF4-FFF2-40B4-BE49-F238E27FC236}">
                <a16:creationId xmlns:a16="http://schemas.microsoft.com/office/drawing/2014/main" id="{C296B720-BA59-472F-8772-DD0DB866A74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23</xdr:row>
      <xdr:rowOff>38100</xdr:rowOff>
    </xdr:from>
    <xdr:to>
      <xdr:col>15</xdr:col>
      <xdr:colOff>295275</xdr:colOff>
      <xdr:row>23</xdr:row>
      <xdr:rowOff>209550</xdr:rowOff>
    </xdr:to>
    <xdr:grpSp>
      <xdr:nvGrpSpPr>
        <xdr:cNvPr id="135" name="Group 146">
          <a:extLst>
            <a:ext uri="{FF2B5EF4-FFF2-40B4-BE49-F238E27FC236}">
              <a16:creationId xmlns:a16="http://schemas.microsoft.com/office/drawing/2014/main" id="{C4321DD3-4612-435B-82DB-E460760473B6}"/>
            </a:ext>
          </a:extLst>
        </xdr:cNvPr>
        <xdr:cNvGrpSpPr>
          <a:grpSpLocks/>
        </xdr:cNvGrpSpPr>
      </xdr:nvGrpSpPr>
      <xdr:grpSpPr bwMode="auto">
        <a:xfrm>
          <a:off x="4791075" y="7953375"/>
          <a:ext cx="276225" cy="171450"/>
          <a:chOff x="226" y="755"/>
          <a:chExt cx="29" cy="18"/>
        </a:xfrm>
      </xdr:grpSpPr>
      <xdr:sp macro="" textlink="">
        <xdr:nvSpPr>
          <xdr:cNvPr id="136" name="Oval 147">
            <a:extLst>
              <a:ext uri="{FF2B5EF4-FFF2-40B4-BE49-F238E27FC236}">
                <a16:creationId xmlns:a16="http://schemas.microsoft.com/office/drawing/2014/main" id="{B03DB22C-3760-4812-AFC0-170DF4A50156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7" name="Line 148">
            <a:extLst>
              <a:ext uri="{FF2B5EF4-FFF2-40B4-BE49-F238E27FC236}">
                <a16:creationId xmlns:a16="http://schemas.microsoft.com/office/drawing/2014/main" id="{7BB44CD1-2B34-414F-80ED-B6133DADB75B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Freeform 149">
            <a:extLst>
              <a:ext uri="{FF2B5EF4-FFF2-40B4-BE49-F238E27FC236}">
                <a16:creationId xmlns:a16="http://schemas.microsoft.com/office/drawing/2014/main" id="{4CC02878-19A3-45DC-AEB8-FDA675E88CC0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161925</xdr:colOff>
      <xdr:row>7</xdr:row>
      <xdr:rowOff>123825</xdr:rowOff>
    </xdr:from>
    <xdr:to>
      <xdr:col>13</xdr:col>
      <xdr:colOff>180976</xdr:colOff>
      <xdr:row>9</xdr:row>
      <xdr:rowOff>1514475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B1CED630-644E-4E4D-B5A5-332D97EB0D38}"/>
            </a:ext>
          </a:extLst>
        </xdr:cNvPr>
        <xdr:cNvCxnSpPr/>
      </xdr:nvCxnSpPr>
      <xdr:spPr>
        <a:xfrm>
          <a:off x="4305300" y="1381125"/>
          <a:ext cx="19051" cy="184785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28576</xdr:colOff>
      <xdr:row>9</xdr:row>
      <xdr:rowOff>314326</xdr:rowOff>
    </xdr:from>
    <xdr:to>
      <xdr:col>16</xdr:col>
      <xdr:colOff>285750</xdr:colOff>
      <xdr:row>9</xdr:row>
      <xdr:rowOff>342900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31B08A4F-F990-4569-A25A-9EB3F70AC5B3}"/>
            </a:ext>
          </a:extLst>
        </xdr:cNvPr>
        <xdr:cNvCxnSpPr/>
      </xdr:nvCxnSpPr>
      <xdr:spPr>
        <a:xfrm flipH="1" flipV="1">
          <a:off x="3543301" y="2028826"/>
          <a:ext cx="1828799" cy="28574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38100</xdr:colOff>
      <xdr:row>9</xdr:row>
      <xdr:rowOff>381000</xdr:rowOff>
    </xdr:from>
    <xdr:ext cx="468389" cy="187872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F516B9F5-E1DB-4D79-9DC2-CC05338D204F}"/>
            </a:ext>
          </a:extLst>
        </xdr:cNvPr>
        <xdr:cNvSpPr txBox="1"/>
      </xdr:nvSpPr>
      <xdr:spPr>
        <a:xfrm>
          <a:off x="4810125" y="20955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44.2m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247650</xdr:colOff>
      <xdr:row>9</xdr:row>
      <xdr:rowOff>933450</xdr:rowOff>
    </xdr:from>
    <xdr:ext cx="468389" cy="187872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8AA1616A-8E22-4127-B9AA-8F5DB42731FB}"/>
            </a:ext>
          </a:extLst>
        </xdr:cNvPr>
        <xdr:cNvSpPr txBox="1"/>
      </xdr:nvSpPr>
      <xdr:spPr>
        <a:xfrm>
          <a:off x="4391025" y="264795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42.3m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13</xdr:col>
      <xdr:colOff>38100</xdr:colOff>
      <xdr:row>10</xdr:row>
      <xdr:rowOff>180975</xdr:rowOff>
    </xdr:from>
    <xdr:to>
      <xdr:col>14</xdr:col>
      <xdr:colOff>11027</xdr:colOff>
      <xdr:row>12</xdr:row>
      <xdr:rowOff>11775</xdr:rowOff>
    </xdr:to>
    <xdr:pic>
      <xdr:nvPicPr>
        <xdr:cNvPr id="152" name="図 151">
          <a:extLst>
            <a:ext uri="{FF2B5EF4-FFF2-40B4-BE49-F238E27FC236}">
              <a16:creationId xmlns:a16="http://schemas.microsoft.com/office/drawing/2014/main" id="{C4C929D2-7846-48B5-B65F-CBE4084A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1475" y="37719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4</xdr:row>
      <xdr:rowOff>57150</xdr:rowOff>
    </xdr:from>
    <xdr:to>
      <xdr:col>15</xdr:col>
      <xdr:colOff>115802</xdr:colOff>
      <xdr:row>5</xdr:row>
      <xdr:rowOff>116550</xdr:rowOff>
    </xdr:to>
    <xdr:pic>
      <xdr:nvPicPr>
        <xdr:cNvPr id="153" name="図 152">
          <a:extLst>
            <a:ext uri="{FF2B5EF4-FFF2-40B4-BE49-F238E27FC236}">
              <a16:creationId xmlns:a16="http://schemas.microsoft.com/office/drawing/2014/main" id="{FCEDFF66-30D8-4009-B7AC-DAECC763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0575" y="6286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20</xdr:col>
      <xdr:colOff>276225</xdr:colOff>
      <xdr:row>9</xdr:row>
      <xdr:rowOff>533400</xdr:rowOff>
    </xdr:from>
    <xdr:to>
      <xdr:col>21</xdr:col>
      <xdr:colOff>249152</xdr:colOff>
      <xdr:row>9</xdr:row>
      <xdr:rowOff>821400</xdr:rowOff>
    </xdr:to>
    <xdr:pic>
      <xdr:nvPicPr>
        <xdr:cNvPr id="154" name="図 153">
          <a:extLst>
            <a:ext uri="{FF2B5EF4-FFF2-40B4-BE49-F238E27FC236}">
              <a16:creationId xmlns:a16="http://schemas.microsoft.com/office/drawing/2014/main" id="{285C2A52-8A20-4E6C-9C1A-9513E355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9875" y="22479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9</xdr:row>
      <xdr:rowOff>133350</xdr:rowOff>
    </xdr:from>
    <xdr:to>
      <xdr:col>2</xdr:col>
      <xdr:colOff>306302</xdr:colOff>
      <xdr:row>9</xdr:row>
      <xdr:rowOff>421350</xdr:rowOff>
    </xdr:to>
    <xdr:pic>
      <xdr:nvPicPr>
        <xdr:cNvPr id="155" name="図 154">
          <a:extLst>
            <a:ext uri="{FF2B5EF4-FFF2-40B4-BE49-F238E27FC236}">
              <a16:creationId xmlns:a16="http://schemas.microsoft.com/office/drawing/2014/main" id="{614E2033-84F9-404F-97D7-531E8BA7A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847850"/>
          <a:ext cx="287252" cy="288000"/>
        </a:xfrm>
        <a:prstGeom prst="rect">
          <a:avLst/>
        </a:prstGeom>
      </xdr:spPr>
    </xdr:pic>
    <xdr:clientData/>
  </xdr:twoCellAnchor>
  <xdr:oneCellAnchor>
    <xdr:from>
      <xdr:col>20</xdr:col>
      <xdr:colOff>180975</xdr:colOff>
      <xdr:row>17</xdr:row>
      <xdr:rowOff>1076326</xdr:rowOff>
    </xdr:from>
    <xdr:ext cx="1228725" cy="666750"/>
    <xdr:sp macro="" textlink="">
      <xdr:nvSpPr>
        <xdr:cNvPr id="107" name="Text Box 91">
          <a:extLst>
            <a:ext uri="{FF2B5EF4-FFF2-40B4-BE49-F238E27FC236}">
              <a16:creationId xmlns:a16="http://schemas.microsoft.com/office/drawing/2014/main" id="{B91A696F-D9E9-4304-881E-C605FD82CBFD}"/>
            </a:ext>
          </a:extLst>
        </xdr:cNvPr>
        <xdr:cNvSpPr txBox="1">
          <a:spLocks noChangeArrowheads="1"/>
        </xdr:cNvSpPr>
      </xdr:nvSpPr>
      <xdr:spPr bwMode="auto">
        <a:xfrm>
          <a:off x="6524625" y="6267451"/>
          <a:ext cx="122872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EC6780K+34001151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EC6780K-209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E9A1481-86CD-4C72-AE38-DDED1C9962A9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11</xdr:col>
      <xdr:colOff>123825</xdr:colOff>
      <xdr:row>15</xdr:row>
      <xdr:rowOff>495300</xdr:rowOff>
    </xdr:from>
    <xdr:to>
      <xdr:col>14</xdr:col>
      <xdr:colOff>180975</xdr:colOff>
      <xdr:row>15</xdr:row>
      <xdr:rowOff>800100</xdr:rowOff>
    </xdr:to>
    <xdr:grpSp>
      <xdr:nvGrpSpPr>
        <xdr:cNvPr id="3759" name="Group 2">
          <a:extLst>
            <a:ext uri="{FF2B5EF4-FFF2-40B4-BE49-F238E27FC236}">
              <a16:creationId xmlns:a16="http://schemas.microsoft.com/office/drawing/2014/main" id="{9F772EFE-B453-48F1-99EB-4F0FD0447F09}"/>
            </a:ext>
          </a:extLst>
        </xdr:cNvPr>
        <xdr:cNvGrpSpPr>
          <a:grpSpLocks/>
        </xdr:cNvGrpSpPr>
      </xdr:nvGrpSpPr>
      <xdr:grpSpPr bwMode="auto">
        <a:xfrm>
          <a:off x="3600450" y="5610225"/>
          <a:ext cx="1000125" cy="304800"/>
          <a:chOff x="110" y="567"/>
          <a:chExt cx="105" cy="32"/>
        </a:xfrm>
      </xdr:grpSpPr>
      <xdr:sp macro="" textlink="">
        <xdr:nvSpPr>
          <xdr:cNvPr id="3887" name="Line 3">
            <a:extLst>
              <a:ext uri="{FF2B5EF4-FFF2-40B4-BE49-F238E27FC236}">
                <a16:creationId xmlns:a16="http://schemas.microsoft.com/office/drawing/2014/main" id="{D1555A4A-8D29-4E62-9F38-948ADF80CA87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8" name="Freeform 4">
            <a:extLst>
              <a:ext uri="{FF2B5EF4-FFF2-40B4-BE49-F238E27FC236}">
                <a16:creationId xmlns:a16="http://schemas.microsoft.com/office/drawing/2014/main" id="{E4EE2A1E-DC80-46EE-98DC-633D8D4625EB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89" name="Freeform 5">
            <a:extLst>
              <a:ext uri="{FF2B5EF4-FFF2-40B4-BE49-F238E27FC236}">
                <a16:creationId xmlns:a16="http://schemas.microsoft.com/office/drawing/2014/main" id="{017A5FC6-0B09-407F-BF44-ADF9D38253EA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90" name="Line 6">
            <a:extLst>
              <a:ext uri="{FF2B5EF4-FFF2-40B4-BE49-F238E27FC236}">
                <a16:creationId xmlns:a16="http://schemas.microsoft.com/office/drawing/2014/main" id="{DC281B54-0177-4B54-B296-A6A1EB3A62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91" name="Freeform 7">
            <a:extLst>
              <a:ext uri="{FF2B5EF4-FFF2-40B4-BE49-F238E27FC236}">
                <a16:creationId xmlns:a16="http://schemas.microsoft.com/office/drawing/2014/main" id="{4CFFF19B-207E-4B5A-92FD-68D47DBD32D0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92" name="Freeform 8">
            <a:extLst>
              <a:ext uri="{FF2B5EF4-FFF2-40B4-BE49-F238E27FC236}">
                <a16:creationId xmlns:a16="http://schemas.microsoft.com/office/drawing/2014/main" id="{E3ECF9B6-C6E2-4267-A109-D3964273CB95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93" name="Line 9">
            <a:extLst>
              <a:ext uri="{FF2B5EF4-FFF2-40B4-BE49-F238E27FC236}">
                <a16:creationId xmlns:a16="http://schemas.microsoft.com/office/drawing/2014/main" id="{8454CFFA-EF02-48E0-AEFF-E0BF4F2D03C8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94" name="Freeform 10">
            <a:extLst>
              <a:ext uri="{FF2B5EF4-FFF2-40B4-BE49-F238E27FC236}">
                <a16:creationId xmlns:a16="http://schemas.microsoft.com/office/drawing/2014/main" id="{1107C63F-C7C6-4DFA-AF44-1786900278FD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171450</xdr:colOff>
      <xdr:row>15</xdr:row>
      <xdr:rowOff>647700</xdr:rowOff>
    </xdr:from>
    <xdr:to>
      <xdr:col>16</xdr:col>
      <xdr:colOff>123825</xdr:colOff>
      <xdr:row>15</xdr:row>
      <xdr:rowOff>800100</xdr:rowOff>
    </xdr:to>
    <xdr:grpSp>
      <xdr:nvGrpSpPr>
        <xdr:cNvPr id="3760" name="Group 11">
          <a:extLst>
            <a:ext uri="{FF2B5EF4-FFF2-40B4-BE49-F238E27FC236}">
              <a16:creationId xmlns:a16="http://schemas.microsoft.com/office/drawing/2014/main" id="{28A0EE66-F917-4448-AD94-8E8AB3800A2F}"/>
            </a:ext>
          </a:extLst>
        </xdr:cNvPr>
        <xdr:cNvGrpSpPr>
          <a:grpSpLocks/>
        </xdr:cNvGrpSpPr>
      </xdr:nvGrpSpPr>
      <xdr:grpSpPr bwMode="auto">
        <a:xfrm>
          <a:off x="4905375" y="5762625"/>
          <a:ext cx="266700" cy="152400"/>
          <a:chOff x="248" y="601"/>
          <a:chExt cx="28" cy="16"/>
        </a:xfrm>
      </xdr:grpSpPr>
      <xdr:sp macro="" textlink="">
        <xdr:nvSpPr>
          <xdr:cNvPr id="3883" name="Line 12">
            <a:extLst>
              <a:ext uri="{FF2B5EF4-FFF2-40B4-BE49-F238E27FC236}">
                <a16:creationId xmlns:a16="http://schemas.microsoft.com/office/drawing/2014/main" id="{5FAEBB0D-7D67-4B52-9979-03753CED0E18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4" name="Freeform 13">
            <a:extLst>
              <a:ext uri="{FF2B5EF4-FFF2-40B4-BE49-F238E27FC236}">
                <a16:creationId xmlns:a16="http://schemas.microsoft.com/office/drawing/2014/main" id="{AFE3A28F-4684-4086-8247-34E85C136E15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85" name="Line 14">
            <a:extLst>
              <a:ext uri="{FF2B5EF4-FFF2-40B4-BE49-F238E27FC236}">
                <a16:creationId xmlns:a16="http://schemas.microsoft.com/office/drawing/2014/main" id="{D4D258E4-DA5D-4F23-AFE3-C396480E9E8B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6" name="Freeform 15">
            <a:extLst>
              <a:ext uri="{FF2B5EF4-FFF2-40B4-BE49-F238E27FC236}">
                <a16:creationId xmlns:a16="http://schemas.microsoft.com/office/drawing/2014/main" id="{C8BB1125-9D1F-42EC-B32B-3F85689AA9E3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0</xdr:colOff>
      <xdr:row>16</xdr:row>
      <xdr:rowOff>142875</xdr:rowOff>
    </xdr:to>
    <xdr:grpSp>
      <xdr:nvGrpSpPr>
        <xdr:cNvPr id="3761" name="Group 20">
          <a:extLst>
            <a:ext uri="{FF2B5EF4-FFF2-40B4-BE49-F238E27FC236}">
              <a16:creationId xmlns:a16="http://schemas.microsoft.com/office/drawing/2014/main" id="{50C3C9F4-12B1-49D8-9418-47A4A2D77D12}"/>
            </a:ext>
          </a:extLst>
        </xdr:cNvPr>
        <xdr:cNvGrpSpPr>
          <a:grpSpLocks/>
        </xdr:cNvGrpSpPr>
      </xdr:nvGrpSpPr>
      <xdr:grpSpPr bwMode="auto">
        <a:xfrm>
          <a:off x="1905000" y="6791325"/>
          <a:ext cx="3771900" cy="47625"/>
          <a:chOff x="158" y="715"/>
          <a:chExt cx="33" cy="5"/>
        </a:xfrm>
      </xdr:grpSpPr>
      <xdr:sp macro="" textlink="">
        <xdr:nvSpPr>
          <xdr:cNvPr id="3881" name="Line 21">
            <a:extLst>
              <a:ext uri="{FF2B5EF4-FFF2-40B4-BE49-F238E27FC236}">
                <a16:creationId xmlns:a16="http://schemas.microsoft.com/office/drawing/2014/main" id="{185419F3-7695-4A91-BA31-82A2BAFE404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2" name="Line 22">
            <a:extLst>
              <a:ext uri="{FF2B5EF4-FFF2-40B4-BE49-F238E27FC236}">
                <a16:creationId xmlns:a16="http://schemas.microsoft.com/office/drawing/2014/main" id="{EDD10D0F-B679-4A3C-B315-D8F17537D0C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3762" name="Group 23">
          <a:extLst>
            <a:ext uri="{FF2B5EF4-FFF2-40B4-BE49-F238E27FC236}">
              <a16:creationId xmlns:a16="http://schemas.microsoft.com/office/drawing/2014/main" id="{363CC348-96D8-4949-BE03-13A7514D4527}"/>
            </a:ext>
          </a:extLst>
        </xdr:cNvPr>
        <xdr:cNvGrpSpPr>
          <a:grpSpLocks/>
        </xdr:cNvGrpSpPr>
      </xdr:nvGrpSpPr>
      <xdr:grpSpPr bwMode="auto">
        <a:xfrm>
          <a:off x="3162300" y="7019925"/>
          <a:ext cx="2514600" cy="47625"/>
          <a:chOff x="158" y="715"/>
          <a:chExt cx="33" cy="5"/>
        </a:xfrm>
      </xdr:grpSpPr>
      <xdr:sp macro="" textlink="">
        <xdr:nvSpPr>
          <xdr:cNvPr id="3879" name="Line 24">
            <a:extLst>
              <a:ext uri="{FF2B5EF4-FFF2-40B4-BE49-F238E27FC236}">
                <a16:creationId xmlns:a16="http://schemas.microsoft.com/office/drawing/2014/main" id="{9F475113-4627-433D-A874-3F73FA17245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0" name="Line 25">
            <a:extLst>
              <a:ext uri="{FF2B5EF4-FFF2-40B4-BE49-F238E27FC236}">
                <a16:creationId xmlns:a16="http://schemas.microsoft.com/office/drawing/2014/main" id="{421E82F2-8C9C-4A30-81C2-4AA6B99D1B2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3763" name="Group 26">
          <a:extLst>
            <a:ext uri="{FF2B5EF4-FFF2-40B4-BE49-F238E27FC236}">
              <a16:creationId xmlns:a16="http://schemas.microsoft.com/office/drawing/2014/main" id="{720E3DCE-BCA9-4FEC-82F5-D95824697474}"/>
            </a:ext>
          </a:extLst>
        </xdr:cNvPr>
        <xdr:cNvGrpSpPr>
          <a:grpSpLocks/>
        </xdr:cNvGrpSpPr>
      </xdr:nvGrpSpPr>
      <xdr:grpSpPr bwMode="auto">
        <a:xfrm>
          <a:off x="2533650" y="7019925"/>
          <a:ext cx="314325" cy="47625"/>
          <a:chOff x="158" y="715"/>
          <a:chExt cx="33" cy="5"/>
        </a:xfrm>
      </xdr:grpSpPr>
      <xdr:sp macro="" textlink="">
        <xdr:nvSpPr>
          <xdr:cNvPr id="3877" name="Line 27">
            <a:extLst>
              <a:ext uri="{FF2B5EF4-FFF2-40B4-BE49-F238E27FC236}">
                <a16:creationId xmlns:a16="http://schemas.microsoft.com/office/drawing/2014/main" id="{D02120F6-A3F6-4E6E-A704-E152B64473B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8" name="Line 28">
            <a:extLst>
              <a:ext uri="{FF2B5EF4-FFF2-40B4-BE49-F238E27FC236}">
                <a16:creationId xmlns:a16="http://schemas.microsoft.com/office/drawing/2014/main" id="{DC42896A-7750-4CEF-9D4B-67DE6D9DD3C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247650</xdr:colOff>
      <xdr:row>15</xdr:row>
      <xdr:rowOff>323850</xdr:rowOff>
    </xdr:from>
    <xdr:to>
      <xdr:col>14</xdr:col>
      <xdr:colOff>38100</xdr:colOff>
      <xdr:row>15</xdr:row>
      <xdr:rowOff>381000</xdr:rowOff>
    </xdr:to>
    <xdr:grpSp>
      <xdr:nvGrpSpPr>
        <xdr:cNvPr id="3764" name="Group 29">
          <a:extLst>
            <a:ext uri="{FF2B5EF4-FFF2-40B4-BE49-F238E27FC236}">
              <a16:creationId xmlns:a16="http://schemas.microsoft.com/office/drawing/2014/main" id="{E46E5993-6C1D-4B32-9F7B-94AD1E4396FD}"/>
            </a:ext>
          </a:extLst>
        </xdr:cNvPr>
        <xdr:cNvGrpSpPr>
          <a:grpSpLocks/>
        </xdr:cNvGrpSpPr>
      </xdr:nvGrpSpPr>
      <xdr:grpSpPr bwMode="auto">
        <a:xfrm>
          <a:off x="3724275" y="5438775"/>
          <a:ext cx="733425" cy="57150"/>
          <a:chOff x="123" y="549"/>
          <a:chExt cx="77" cy="6"/>
        </a:xfrm>
      </xdr:grpSpPr>
      <xdr:sp macro="" textlink="">
        <xdr:nvSpPr>
          <xdr:cNvPr id="3874" name="Line 30">
            <a:extLst>
              <a:ext uri="{FF2B5EF4-FFF2-40B4-BE49-F238E27FC236}">
                <a16:creationId xmlns:a16="http://schemas.microsoft.com/office/drawing/2014/main" id="{E1E6F0EC-CF2D-47AE-8EBE-C822FCED757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5" name="Freeform 31">
            <a:extLst>
              <a:ext uri="{FF2B5EF4-FFF2-40B4-BE49-F238E27FC236}">
                <a16:creationId xmlns:a16="http://schemas.microsoft.com/office/drawing/2014/main" id="{A261AF80-3E82-4755-A610-196E899FD56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6" name="Freeform 32">
            <a:extLst>
              <a:ext uri="{FF2B5EF4-FFF2-40B4-BE49-F238E27FC236}">
                <a16:creationId xmlns:a16="http://schemas.microsoft.com/office/drawing/2014/main" id="{A370A932-0026-49D3-BBA6-4B56F3530CBB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15</xdr:row>
      <xdr:rowOff>866775</xdr:rowOff>
    </xdr:from>
    <xdr:to>
      <xdr:col>14</xdr:col>
      <xdr:colOff>180975</xdr:colOff>
      <xdr:row>15</xdr:row>
      <xdr:rowOff>1162050</xdr:rowOff>
    </xdr:to>
    <xdr:grpSp>
      <xdr:nvGrpSpPr>
        <xdr:cNvPr id="3765" name="Group 141">
          <a:extLst>
            <a:ext uri="{FF2B5EF4-FFF2-40B4-BE49-F238E27FC236}">
              <a16:creationId xmlns:a16="http://schemas.microsoft.com/office/drawing/2014/main" id="{573B6625-D9DB-405A-93FF-7DC367A387C7}"/>
            </a:ext>
          </a:extLst>
        </xdr:cNvPr>
        <xdr:cNvGrpSpPr>
          <a:grpSpLocks/>
        </xdr:cNvGrpSpPr>
      </xdr:nvGrpSpPr>
      <xdr:grpSpPr bwMode="auto">
        <a:xfrm>
          <a:off x="3600450" y="5981700"/>
          <a:ext cx="1000125" cy="295275"/>
          <a:chOff x="336" y="628"/>
          <a:chExt cx="105" cy="31"/>
        </a:xfrm>
      </xdr:grpSpPr>
      <xdr:sp macro="" textlink="">
        <xdr:nvSpPr>
          <xdr:cNvPr id="3866" name="Line 34">
            <a:extLst>
              <a:ext uri="{FF2B5EF4-FFF2-40B4-BE49-F238E27FC236}">
                <a16:creationId xmlns:a16="http://schemas.microsoft.com/office/drawing/2014/main" id="{F465DA21-8422-4614-94E0-303815E29681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3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7" name="Freeform 35">
            <a:extLst>
              <a:ext uri="{FF2B5EF4-FFF2-40B4-BE49-F238E27FC236}">
                <a16:creationId xmlns:a16="http://schemas.microsoft.com/office/drawing/2014/main" id="{7D69B9A3-CEA0-4CA5-89AA-E7D50D4E50D7}"/>
              </a:ext>
            </a:extLst>
          </xdr:cNvPr>
          <xdr:cNvSpPr>
            <a:spLocks/>
          </xdr:cNvSpPr>
        </xdr:nvSpPr>
        <xdr:spPr bwMode="auto">
          <a:xfrm rot="10800000">
            <a:off x="336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8" name="Freeform 36">
            <a:extLst>
              <a:ext uri="{FF2B5EF4-FFF2-40B4-BE49-F238E27FC236}">
                <a16:creationId xmlns:a16="http://schemas.microsoft.com/office/drawing/2014/main" id="{1152F989-A3B3-4E04-835E-258A06EF9E71}"/>
              </a:ext>
            </a:extLst>
          </xdr:cNvPr>
          <xdr:cNvSpPr>
            <a:spLocks/>
          </xdr:cNvSpPr>
        </xdr:nvSpPr>
        <xdr:spPr bwMode="auto">
          <a:xfrm rot="10800000">
            <a:off x="40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9" name="Line 37">
            <a:extLst>
              <a:ext uri="{FF2B5EF4-FFF2-40B4-BE49-F238E27FC236}">
                <a16:creationId xmlns:a16="http://schemas.microsoft.com/office/drawing/2014/main" id="{1FF2C256-0EE2-4484-BB3F-D32C0C322C2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40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0" name="Freeform 38">
            <a:extLst>
              <a:ext uri="{FF2B5EF4-FFF2-40B4-BE49-F238E27FC236}">
                <a16:creationId xmlns:a16="http://schemas.microsoft.com/office/drawing/2014/main" id="{CAE0C1F8-C01F-405C-90DA-4F798EC1BE38}"/>
              </a:ext>
            </a:extLst>
          </xdr:cNvPr>
          <xdr:cNvSpPr>
            <a:spLocks/>
          </xdr:cNvSpPr>
        </xdr:nvSpPr>
        <xdr:spPr bwMode="auto">
          <a:xfrm rot="10800000">
            <a:off x="40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1" name="Freeform 39">
            <a:extLst>
              <a:ext uri="{FF2B5EF4-FFF2-40B4-BE49-F238E27FC236}">
                <a16:creationId xmlns:a16="http://schemas.microsoft.com/office/drawing/2014/main" id="{5EA2D50E-E975-4B41-BFE6-6983CBFA0085}"/>
              </a:ext>
            </a:extLst>
          </xdr:cNvPr>
          <xdr:cNvSpPr>
            <a:spLocks/>
          </xdr:cNvSpPr>
        </xdr:nvSpPr>
        <xdr:spPr bwMode="auto">
          <a:xfrm rot="10800000">
            <a:off x="39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72" name="Line 40">
            <a:extLst>
              <a:ext uri="{FF2B5EF4-FFF2-40B4-BE49-F238E27FC236}">
                <a16:creationId xmlns:a16="http://schemas.microsoft.com/office/drawing/2014/main" id="{A80F15A3-5EA2-409C-B784-94256D8A7CFC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9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3" name="Freeform 41">
            <a:extLst>
              <a:ext uri="{FF2B5EF4-FFF2-40B4-BE49-F238E27FC236}">
                <a16:creationId xmlns:a16="http://schemas.microsoft.com/office/drawing/2014/main" id="{42302248-2C7B-4644-A73F-8BAA2C107448}"/>
              </a:ext>
            </a:extLst>
          </xdr:cNvPr>
          <xdr:cNvSpPr>
            <a:spLocks/>
          </xdr:cNvSpPr>
        </xdr:nvSpPr>
        <xdr:spPr bwMode="auto">
          <a:xfrm rot="10800000">
            <a:off x="394" y="628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247650</xdr:colOff>
      <xdr:row>15</xdr:row>
      <xdr:rowOff>1247775</xdr:rowOff>
    </xdr:from>
    <xdr:to>
      <xdr:col>14</xdr:col>
      <xdr:colOff>38100</xdr:colOff>
      <xdr:row>15</xdr:row>
      <xdr:rowOff>1304925</xdr:rowOff>
    </xdr:to>
    <xdr:grpSp>
      <xdr:nvGrpSpPr>
        <xdr:cNvPr id="3766" name="Group 42">
          <a:extLst>
            <a:ext uri="{FF2B5EF4-FFF2-40B4-BE49-F238E27FC236}">
              <a16:creationId xmlns:a16="http://schemas.microsoft.com/office/drawing/2014/main" id="{95D86619-975A-42DF-9220-54B2467CA16D}"/>
            </a:ext>
          </a:extLst>
        </xdr:cNvPr>
        <xdr:cNvGrpSpPr>
          <a:grpSpLocks/>
        </xdr:cNvGrpSpPr>
      </xdr:nvGrpSpPr>
      <xdr:grpSpPr bwMode="auto">
        <a:xfrm>
          <a:off x="3724275" y="6362700"/>
          <a:ext cx="733425" cy="57150"/>
          <a:chOff x="123" y="549"/>
          <a:chExt cx="77" cy="6"/>
        </a:xfrm>
      </xdr:grpSpPr>
      <xdr:sp macro="" textlink="">
        <xdr:nvSpPr>
          <xdr:cNvPr id="3863" name="Line 43">
            <a:extLst>
              <a:ext uri="{FF2B5EF4-FFF2-40B4-BE49-F238E27FC236}">
                <a16:creationId xmlns:a16="http://schemas.microsoft.com/office/drawing/2014/main" id="{78BABC8A-4344-47BC-8E78-472FE30EC88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4" name="Freeform 44">
            <a:extLst>
              <a:ext uri="{FF2B5EF4-FFF2-40B4-BE49-F238E27FC236}">
                <a16:creationId xmlns:a16="http://schemas.microsoft.com/office/drawing/2014/main" id="{685B740F-CB40-4BAE-80E1-6F83E8E2ECA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5" name="Freeform 45">
            <a:extLst>
              <a:ext uri="{FF2B5EF4-FFF2-40B4-BE49-F238E27FC236}">
                <a16:creationId xmlns:a16="http://schemas.microsoft.com/office/drawing/2014/main" id="{64EDD83B-71A6-479B-88AC-9AA1DAA482B8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133350</xdr:colOff>
      <xdr:row>15</xdr:row>
      <xdr:rowOff>409575</xdr:rowOff>
    </xdr:from>
    <xdr:to>
      <xdr:col>4</xdr:col>
      <xdr:colOff>190500</xdr:colOff>
      <xdr:row>15</xdr:row>
      <xdr:rowOff>1143000</xdr:rowOff>
    </xdr:to>
    <xdr:grpSp>
      <xdr:nvGrpSpPr>
        <xdr:cNvPr id="3767" name="Group 46">
          <a:extLst>
            <a:ext uri="{FF2B5EF4-FFF2-40B4-BE49-F238E27FC236}">
              <a16:creationId xmlns:a16="http://schemas.microsoft.com/office/drawing/2014/main" id="{01E39707-6F79-45CB-A6F6-16445469F997}"/>
            </a:ext>
          </a:extLst>
        </xdr:cNvPr>
        <xdr:cNvGrpSpPr>
          <a:grpSpLocks/>
        </xdr:cNvGrpSpPr>
      </xdr:nvGrpSpPr>
      <xdr:grpSpPr bwMode="auto">
        <a:xfrm rot="5400000">
          <a:off x="1071562" y="5862638"/>
          <a:ext cx="733425" cy="57150"/>
          <a:chOff x="123" y="549"/>
          <a:chExt cx="77" cy="6"/>
        </a:xfrm>
      </xdr:grpSpPr>
      <xdr:sp macro="" textlink="">
        <xdr:nvSpPr>
          <xdr:cNvPr id="3860" name="Line 47">
            <a:extLst>
              <a:ext uri="{FF2B5EF4-FFF2-40B4-BE49-F238E27FC236}">
                <a16:creationId xmlns:a16="http://schemas.microsoft.com/office/drawing/2014/main" id="{85F7D322-5076-44D4-892C-3822615785B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61" name="Freeform 48">
            <a:extLst>
              <a:ext uri="{FF2B5EF4-FFF2-40B4-BE49-F238E27FC236}">
                <a16:creationId xmlns:a16="http://schemas.microsoft.com/office/drawing/2014/main" id="{633C1945-18D7-43EB-B0B1-6A33E83A104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62" name="Freeform 49">
            <a:extLst>
              <a:ext uri="{FF2B5EF4-FFF2-40B4-BE49-F238E27FC236}">
                <a16:creationId xmlns:a16="http://schemas.microsoft.com/office/drawing/2014/main" id="{8159B65A-4586-4BDF-9D92-F1A5884A7EB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15</xdr:row>
      <xdr:rowOff>276225</xdr:rowOff>
    </xdr:from>
    <xdr:to>
      <xdr:col>5</xdr:col>
      <xdr:colOff>304800</xdr:colOff>
      <xdr:row>15</xdr:row>
      <xdr:rowOff>1276350</xdr:rowOff>
    </xdr:to>
    <xdr:grpSp>
      <xdr:nvGrpSpPr>
        <xdr:cNvPr id="3768" name="Group 140">
          <a:extLst>
            <a:ext uri="{FF2B5EF4-FFF2-40B4-BE49-F238E27FC236}">
              <a16:creationId xmlns:a16="http://schemas.microsoft.com/office/drawing/2014/main" id="{A97EBCD0-AF7D-496E-9396-D40CDCE84B58}"/>
            </a:ext>
          </a:extLst>
        </xdr:cNvPr>
        <xdr:cNvGrpSpPr>
          <a:grpSpLocks/>
        </xdr:cNvGrpSpPr>
      </xdr:nvGrpSpPr>
      <xdr:grpSpPr bwMode="auto">
        <a:xfrm>
          <a:off x="1590675" y="5391150"/>
          <a:ext cx="304800" cy="1000125"/>
          <a:chOff x="125" y="566"/>
          <a:chExt cx="32" cy="105"/>
        </a:xfrm>
      </xdr:grpSpPr>
      <xdr:sp macro="" textlink="">
        <xdr:nvSpPr>
          <xdr:cNvPr id="3852" name="Line 51">
            <a:extLst>
              <a:ext uri="{FF2B5EF4-FFF2-40B4-BE49-F238E27FC236}">
                <a16:creationId xmlns:a16="http://schemas.microsoft.com/office/drawing/2014/main" id="{59ACBC17-FEAB-4922-846A-13299CB8A82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89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3" name="Freeform 52">
            <a:extLst>
              <a:ext uri="{FF2B5EF4-FFF2-40B4-BE49-F238E27FC236}">
                <a16:creationId xmlns:a16="http://schemas.microsoft.com/office/drawing/2014/main" id="{1FB580E6-BCFB-4CE4-BBEE-2E163F51952C}"/>
              </a:ext>
            </a:extLst>
          </xdr:cNvPr>
          <xdr:cNvSpPr>
            <a:spLocks/>
          </xdr:cNvSpPr>
        </xdr:nvSpPr>
        <xdr:spPr bwMode="auto">
          <a:xfrm rot="-5400000">
            <a:off x="137" y="56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4" name="Freeform 53">
            <a:extLst>
              <a:ext uri="{FF2B5EF4-FFF2-40B4-BE49-F238E27FC236}">
                <a16:creationId xmlns:a16="http://schemas.microsoft.com/office/drawing/2014/main" id="{3A0F6B21-DAAF-472E-A858-0D129A609596}"/>
              </a:ext>
            </a:extLst>
          </xdr:cNvPr>
          <xdr:cNvSpPr>
            <a:spLocks/>
          </xdr:cNvSpPr>
        </xdr:nvSpPr>
        <xdr:spPr bwMode="auto">
          <a:xfrm rot="-5400000">
            <a:off x="133" y="639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5" name="Line 54">
            <a:extLst>
              <a:ext uri="{FF2B5EF4-FFF2-40B4-BE49-F238E27FC236}">
                <a16:creationId xmlns:a16="http://schemas.microsoft.com/office/drawing/2014/main" id="{D57B6238-F746-44A2-986B-A0CA5CD510BE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1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6" name="Freeform 55">
            <a:extLst>
              <a:ext uri="{FF2B5EF4-FFF2-40B4-BE49-F238E27FC236}">
                <a16:creationId xmlns:a16="http://schemas.microsoft.com/office/drawing/2014/main" id="{1EF7A118-6014-4D3E-B395-A6556A56B51E}"/>
              </a:ext>
            </a:extLst>
          </xdr:cNvPr>
          <xdr:cNvSpPr>
            <a:spLocks/>
          </xdr:cNvSpPr>
        </xdr:nvSpPr>
        <xdr:spPr bwMode="auto">
          <a:xfrm rot="-5400000">
            <a:off x="125" y="63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7" name="Freeform 56">
            <a:extLst>
              <a:ext uri="{FF2B5EF4-FFF2-40B4-BE49-F238E27FC236}">
                <a16:creationId xmlns:a16="http://schemas.microsoft.com/office/drawing/2014/main" id="{BA62D7B9-1774-4B4A-A95E-20711D1F9A17}"/>
              </a:ext>
            </a:extLst>
          </xdr:cNvPr>
          <xdr:cNvSpPr>
            <a:spLocks/>
          </xdr:cNvSpPr>
        </xdr:nvSpPr>
        <xdr:spPr bwMode="auto">
          <a:xfrm rot="-5400000">
            <a:off x="141" y="628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8" name="Line 57">
            <a:extLst>
              <a:ext uri="{FF2B5EF4-FFF2-40B4-BE49-F238E27FC236}">
                <a16:creationId xmlns:a16="http://schemas.microsoft.com/office/drawing/2014/main" id="{9C9C7C16-37BC-4A0A-89E2-433D41F9DA78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152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9" name="Freeform 58">
            <a:extLst>
              <a:ext uri="{FF2B5EF4-FFF2-40B4-BE49-F238E27FC236}">
                <a16:creationId xmlns:a16="http://schemas.microsoft.com/office/drawing/2014/main" id="{628E9065-4E2E-4CAE-BBE3-E8FCC755C730}"/>
              </a:ext>
            </a:extLst>
          </xdr:cNvPr>
          <xdr:cNvSpPr>
            <a:spLocks/>
          </xdr:cNvSpPr>
        </xdr:nvSpPr>
        <xdr:spPr bwMode="auto">
          <a:xfrm rot="-5400000">
            <a:off x="150" y="62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133350</xdr:colOff>
      <xdr:row>15</xdr:row>
      <xdr:rowOff>409575</xdr:rowOff>
    </xdr:from>
    <xdr:to>
      <xdr:col>7</xdr:col>
      <xdr:colOff>190500</xdr:colOff>
      <xdr:row>15</xdr:row>
      <xdr:rowOff>1143000</xdr:rowOff>
    </xdr:to>
    <xdr:grpSp>
      <xdr:nvGrpSpPr>
        <xdr:cNvPr id="3769" name="Group 59">
          <a:extLst>
            <a:ext uri="{FF2B5EF4-FFF2-40B4-BE49-F238E27FC236}">
              <a16:creationId xmlns:a16="http://schemas.microsoft.com/office/drawing/2014/main" id="{530F8467-AADE-4DD0-AB86-63A9AC6A06D0}"/>
            </a:ext>
          </a:extLst>
        </xdr:cNvPr>
        <xdr:cNvGrpSpPr>
          <a:grpSpLocks/>
        </xdr:cNvGrpSpPr>
      </xdr:nvGrpSpPr>
      <xdr:grpSpPr bwMode="auto">
        <a:xfrm rot="5400000">
          <a:off x="2014537" y="5862638"/>
          <a:ext cx="733425" cy="57150"/>
          <a:chOff x="123" y="549"/>
          <a:chExt cx="77" cy="6"/>
        </a:xfrm>
      </xdr:grpSpPr>
      <xdr:sp macro="" textlink="">
        <xdr:nvSpPr>
          <xdr:cNvPr id="3849" name="Line 60">
            <a:extLst>
              <a:ext uri="{FF2B5EF4-FFF2-40B4-BE49-F238E27FC236}">
                <a16:creationId xmlns:a16="http://schemas.microsoft.com/office/drawing/2014/main" id="{DA1D4F73-80CD-4836-A911-59F2B9D8151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50" name="Freeform 61">
            <a:extLst>
              <a:ext uri="{FF2B5EF4-FFF2-40B4-BE49-F238E27FC236}">
                <a16:creationId xmlns:a16="http://schemas.microsoft.com/office/drawing/2014/main" id="{03C48630-EF76-4C5E-B318-D987B0CB5E6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51" name="Freeform 62">
            <a:extLst>
              <a:ext uri="{FF2B5EF4-FFF2-40B4-BE49-F238E27FC236}">
                <a16:creationId xmlns:a16="http://schemas.microsoft.com/office/drawing/2014/main" id="{70311F99-DB19-4ED1-BC5C-26F4C948708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15</xdr:row>
      <xdr:rowOff>285750</xdr:rowOff>
    </xdr:from>
    <xdr:to>
      <xdr:col>7</xdr:col>
      <xdr:colOff>28575</xdr:colOff>
      <xdr:row>15</xdr:row>
      <xdr:rowOff>1285875</xdr:rowOff>
    </xdr:to>
    <xdr:grpSp>
      <xdr:nvGrpSpPr>
        <xdr:cNvPr id="3770" name="Group 63">
          <a:extLst>
            <a:ext uri="{FF2B5EF4-FFF2-40B4-BE49-F238E27FC236}">
              <a16:creationId xmlns:a16="http://schemas.microsoft.com/office/drawing/2014/main" id="{0FA5108C-C251-4F09-A99C-15D868308EC0}"/>
            </a:ext>
          </a:extLst>
        </xdr:cNvPr>
        <xdr:cNvGrpSpPr>
          <a:grpSpLocks/>
        </xdr:cNvGrpSpPr>
      </xdr:nvGrpSpPr>
      <xdr:grpSpPr bwMode="auto">
        <a:xfrm rot="5400000">
          <a:off x="1595437" y="5748338"/>
          <a:ext cx="1000125" cy="304800"/>
          <a:chOff x="110" y="567"/>
          <a:chExt cx="105" cy="32"/>
        </a:xfrm>
      </xdr:grpSpPr>
      <xdr:sp macro="" textlink="">
        <xdr:nvSpPr>
          <xdr:cNvPr id="3841" name="Line 64">
            <a:extLst>
              <a:ext uri="{FF2B5EF4-FFF2-40B4-BE49-F238E27FC236}">
                <a16:creationId xmlns:a16="http://schemas.microsoft.com/office/drawing/2014/main" id="{10651725-7C16-445D-A0FF-2AE696B1C15C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2" name="Freeform 65">
            <a:extLst>
              <a:ext uri="{FF2B5EF4-FFF2-40B4-BE49-F238E27FC236}">
                <a16:creationId xmlns:a16="http://schemas.microsoft.com/office/drawing/2014/main" id="{D7CAA7ED-8E1D-419E-BC9E-22BB87011125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43" name="Freeform 66">
            <a:extLst>
              <a:ext uri="{FF2B5EF4-FFF2-40B4-BE49-F238E27FC236}">
                <a16:creationId xmlns:a16="http://schemas.microsoft.com/office/drawing/2014/main" id="{9F50FB0E-B16A-41A2-8460-5990E8FEC747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44" name="Line 67">
            <a:extLst>
              <a:ext uri="{FF2B5EF4-FFF2-40B4-BE49-F238E27FC236}">
                <a16:creationId xmlns:a16="http://schemas.microsoft.com/office/drawing/2014/main" id="{5026252F-64BF-43D7-86E4-F5D04AA1C215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5" name="Freeform 68">
            <a:extLst>
              <a:ext uri="{FF2B5EF4-FFF2-40B4-BE49-F238E27FC236}">
                <a16:creationId xmlns:a16="http://schemas.microsoft.com/office/drawing/2014/main" id="{679BB66D-DA3B-4011-83AE-B408C20E1513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46" name="Freeform 69">
            <a:extLst>
              <a:ext uri="{FF2B5EF4-FFF2-40B4-BE49-F238E27FC236}">
                <a16:creationId xmlns:a16="http://schemas.microsoft.com/office/drawing/2014/main" id="{E9E1BB01-01C1-411D-ACEC-86EBE4A3FE72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47" name="Line 70">
            <a:extLst>
              <a:ext uri="{FF2B5EF4-FFF2-40B4-BE49-F238E27FC236}">
                <a16:creationId xmlns:a16="http://schemas.microsoft.com/office/drawing/2014/main" id="{56F0941E-82B0-4401-AAE6-9A979B857A7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8" name="Freeform 71">
            <a:extLst>
              <a:ext uri="{FF2B5EF4-FFF2-40B4-BE49-F238E27FC236}">
                <a16:creationId xmlns:a16="http://schemas.microsoft.com/office/drawing/2014/main" id="{48A0CE0D-865E-4640-A49C-E2335687CBAB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190500</xdr:colOff>
      <xdr:row>15</xdr:row>
      <xdr:rowOff>857250</xdr:rowOff>
    </xdr:from>
    <xdr:to>
      <xdr:col>17</xdr:col>
      <xdr:colOff>142875</xdr:colOff>
      <xdr:row>15</xdr:row>
      <xdr:rowOff>1009650</xdr:rowOff>
    </xdr:to>
    <xdr:grpSp>
      <xdr:nvGrpSpPr>
        <xdr:cNvPr id="3771" name="Group 72">
          <a:extLst>
            <a:ext uri="{FF2B5EF4-FFF2-40B4-BE49-F238E27FC236}">
              <a16:creationId xmlns:a16="http://schemas.microsoft.com/office/drawing/2014/main" id="{D6BC8B96-CC01-4CFC-AEDA-468C8FB8BC85}"/>
            </a:ext>
          </a:extLst>
        </xdr:cNvPr>
        <xdr:cNvGrpSpPr>
          <a:grpSpLocks/>
        </xdr:cNvGrpSpPr>
      </xdr:nvGrpSpPr>
      <xdr:grpSpPr bwMode="auto">
        <a:xfrm rot="10800000">
          <a:off x="5238750" y="5972175"/>
          <a:ext cx="266700" cy="152400"/>
          <a:chOff x="248" y="601"/>
          <a:chExt cx="28" cy="16"/>
        </a:xfrm>
      </xdr:grpSpPr>
      <xdr:sp macro="" textlink="">
        <xdr:nvSpPr>
          <xdr:cNvPr id="3837" name="Line 73">
            <a:extLst>
              <a:ext uri="{FF2B5EF4-FFF2-40B4-BE49-F238E27FC236}">
                <a16:creationId xmlns:a16="http://schemas.microsoft.com/office/drawing/2014/main" id="{2AB757F0-A4A2-4871-8E6D-80FA6EC032D4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38" name="Freeform 74">
            <a:extLst>
              <a:ext uri="{FF2B5EF4-FFF2-40B4-BE49-F238E27FC236}">
                <a16:creationId xmlns:a16="http://schemas.microsoft.com/office/drawing/2014/main" id="{DC870050-FE74-47BA-AD7D-B1EAB4F3ABCD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39" name="Line 75">
            <a:extLst>
              <a:ext uri="{FF2B5EF4-FFF2-40B4-BE49-F238E27FC236}">
                <a16:creationId xmlns:a16="http://schemas.microsoft.com/office/drawing/2014/main" id="{9AD88E9A-6992-42BB-8813-385315BD3ED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40" name="Freeform 76">
            <a:extLst>
              <a:ext uri="{FF2B5EF4-FFF2-40B4-BE49-F238E27FC236}">
                <a16:creationId xmlns:a16="http://schemas.microsoft.com/office/drawing/2014/main" id="{4056886A-6515-495F-A2E3-F82DF7889EE8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466725</xdr:rowOff>
    </xdr:from>
    <xdr:to>
      <xdr:col>10</xdr:col>
      <xdr:colOff>76200</xdr:colOff>
      <xdr:row>15</xdr:row>
      <xdr:rowOff>723900</xdr:rowOff>
    </xdr:to>
    <xdr:grpSp>
      <xdr:nvGrpSpPr>
        <xdr:cNvPr id="3772" name="Group 77">
          <a:extLst>
            <a:ext uri="{FF2B5EF4-FFF2-40B4-BE49-F238E27FC236}">
              <a16:creationId xmlns:a16="http://schemas.microsoft.com/office/drawing/2014/main" id="{0953B81B-9C09-4CCD-8C60-557CAC7606A7}"/>
            </a:ext>
          </a:extLst>
        </xdr:cNvPr>
        <xdr:cNvGrpSpPr>
          <a:grpSpLocks/>
        </xdr:cNvGrpSpPr>
      </xdr:nvGrpSpPr>
      <xdr:grpSpPr bwMode="auto">
        <a:xfrm>
          <a:off x="3076575" y="5581650"/>
          <a:ext cx="161925" cy="257175"/>
          <a:chOff x="506" y="578"/>
          <a:chExt cx="17" cy="27"/>
        </a:xfrm>
      </xdr:grpSpPr>
      <xdr:sp macro="" textlink="">
        <xdr:nvSpPr>
          <xdr:cNvPr id="3833" name="Freeform 78">
            <a:extLst>
              <a:ext uri="{FF2B5EF4-FFF2-40B4-BE49-F238E27FC236}">
                <a16:creationId xmlns:a16="http://schemas.microsoft.com/office/drawing/2014/main" id="{62E282EF-2E35-4F69-9C7B-6CB1FA1639C7}"/>
              </a:ext>
            </a:extLst>
          </xdr:cNvPr>
          <xdr:cNvSpPr>
            <a:spLocks/>
          </xdr:cNvSpPr>
        </xdr:nvSpPr>
        <xdr:spPr bwMode="auto">
          <a:xfrm rot="5374774">
            <a:off x="514" y="592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34" name="Line 79">
            <a:extLst>
              <a:ext uri="{FF2B5EF4-FFF2-40B4-BE49-F238E27FC236}">
                <a16:creationId xmlns:a16="http://schemas.microsoft.com/office/drawing/2014/main" id="{3D78390C-5907-4700-A3A8-A0090B6D7060}"/>
              </a:ext>
            </a:extLst>
          </xdr:cNvPr>
          <xdr:cNvSpPr>
            <a:spLocks noChangeShapeType="1"/>
          </xdr:cNvSpPr>
        </xdr:nvSpPr>
        <xdr:spPr bwMode="auto">
          <a:xfrm rot="5374774">
            <a:off x="511" y="597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35" name="Freeform 80">
            <a:extLst>
              <a:ext uri="{FF2B5EF4-FFF2-40B4-BE49-F238E27FC236}">
                <a16:creationId xmlns:a16="http://schemas.microsoft.com/office/drawing/2014/main" id="{0DA93AA1-4E47-489B-84AA-36350298CD4E}"/>
              </a:ext>
            </a:extLst>
          </xdr:cNvPr>
          <xdr:cNvSpPr>
            <a:spLocks/>
          </xdr:cNvSpPr>
        </xdr:nvSpPr>
        <xdr:spPr bwMode="auto">
          <a:xfrm rot="5374774">
            <a:off x="505" y="598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36" name="Line 81">
            <a:extLst>
              <a:ext uri="{FF2B5EF4-FFF2-40B4-BE49-F238E27FC236}">
                <a16:creationId xmlns:a16="http://schemas.microsoft.com/office/drawing/2014/main" id="{A4187F9D-9BA1-4670-91FB-0A2ED1FE1BDA}"/>
              </a:ext>
            </a:extLst>
          </xdr:cNvPr>
          <xdr:cNvSpPr>
            <a:spLocks noChangeShapeType="1"/>
          </xdr:cNvSpPr>
        </xdr:nvSpPr>
        <xdr:spPr bwMode="auto">
          <a:xfrm>
            <a:off x="523" y="57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238125</xdr:colOff>
      <xdr:row>15</xdr:row>
      <xdr:rowOff>847725</xdr:rowOff>
    </xdr:from>
    <xdr:to>
      <xdr:col>9</xdr:col>
      <xdr:colOff>85725</xdr:colOff>
      <xdr:row>15</xdr:row>
      <xdr:rowOff>1104900</xdr:rowOff>
    </xdr:to>
    <xdr:grpSp>
      <xdr:nvGrpSpPr>
        <xdr:cNvPr id="3773" name="Group 82">
          <a:extLst>
            <a:ext uri="{FF2B5EF4-FFF2-40B4-BE49-F238E27FC236}">
              <a16:creationId xmlns:a16="http://schemas.microsoft.com/office/drawing/2014/main" id="{D331CEE1-E536-4973-87E1-9A77E7B69A75}"/>
            </a:ext>
          </a:extLst>
        </xdr:cNvPr>
        <xdr:cNvGrpSpPr>
          <a:grpSpLocks/>
        </xdr:cNvGrpSpPr>
      </xdr:nvGrpSpPr>
      <xdr:grpSpPr bwMode="auto">
        <a:xfrm>
          <a:off x="2771775" y="5962650"/>
          <a:ext cx="161925" cy="257175"/>
          <a:chOff x="471" y="616"/>
          <a:chExt cx="17" cy="27"/>
        </a:xfrm>
      </xdr:grpSpPr>
      <xdr:sp macro="" textlink="">
        <xdr:nvSpPr>
          <xdr:cNvPr id="3829" name="Freeform 83">
            <a:extLst>
              <a:ext uri="{FF2B5EF4-FFF2-40B4-BE49-F238E27FC236}">
                <a16:creationId xmlns:a16="http://schemas.microsoft.com/office/drawing/2014/main" id="{A28CC0B9-94B3-49A1-AB55-45E264EAF08A}"/>
              </a:ext>
            </a:extLst>
          </xdr:cNvPr>
          <xdr:cNvSpPr>
            <a:spLocks/>
          </xdr:cNvSpPr>
        </xdr:nvSpPr>
        <xdr:spPr bwMode="auto">
          <a:xfrm rot="-5425225">
            <a:off x="471" y="620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30" name="Line 84">
            <a:extLst>
              <a:ext uri="{FF2B5EF4-FFF2-40B4-BE49-F238E27FC236}">
                <a16:creationId xmlns:a16="http://schemas.microsoft.com/office/drawing/2014/main" id="{64949682-C138-41BF-83E0-655BC518D7B8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31" name="Freeform 85">
            <a:extLst>
              <a:ext uri="{FF2B5EF4-FFF2-40B4-BE49-F238E27FC236}">
                <a16:creationId xmlns:a16="http://schemas.microsoft.com/office/drawing/2014/main" id="{24C41F47-0D12-4BD8-AC54-C6385FA098E6}"/>
              </a:ext>
            </a:extLst>
          </xdr:cNvPr>
          <xdr:cNvSpPr>
            <a:spLocks/>
          </xdr:cNvSpPr>
        </xdr:nvSpPr>
        <xdr:spPr bwMode="auto">
          <a:xfrm rot="-5425225">
            <a:off x="481" y="617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32" name="Line 86">
            <a:extLst>
              <a:ext uri="{FF2B5EF4-FFF2-40B4-BE49-F238E27FC236}">
                <a16:creationId xmlns:a16="http://schemas.microsoft.com/office/drawing/2014/main" id="{BD78CBAD-2C15-43BA-BE12-641446268F56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20</xdr:row>
      <xdr:rowOff>47625</xdr:rowOff>
    </xdr:from>
    <xdr:to>
      <xdr:col>15</xdr:col>
      <xdr:colOff>0</xdr:colOff>
      <xdr:row>20</xdr:row>
      <xdr:rowOff>190500</xdr:rowOff>
    </xdr:to>
    <xdr:sp macro="" textlink="">
      <xdr:nvSpPr>
        <xdr:cNvPr id="3774" name="Freeform 91">
          <a:extLst>
            <a:ext uri="{FF2B5EF4-FFF2-40B4-BE49-F238E27FC236}">
              <a16:creationId xmlns:a16="http://schemas.microsoft.com/office/drawing/2014/main" id="{142049B7-68EF-4604-9A92-BF75FABA5116}"/>
            </a:ext>
          </a:extLst>
        </xdr:cNvPr>
        <xdr:cNvSpPr>
          <a:spLocks/>
        </xdr:cNvSpPr>
      </xdr:nvSpPr>
      <xdr:spPr bwMode="auto">
        <a:xfrm>
          <a:off x="443865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47625</xdr:rowOff>
    </xdr:from>
    <xdr:to>
      <xdr:col>12</xdr:col>
      <xdr:colOff>276225</xdr:colOff>
      <xdr:row>19</xdr:row>
      <xdr:rowOff>200025</xdr:rowOff>
    </xdr:to>
    <xdr:grpSp>
      <xdr:nvGrpSpPr>
        <xdr:cNvPr id="3775" name="Group 92">
          <a:extLst>
            <a:ext uri="{FF2B5EF4-FFF2-40B4-BE49-F238E27FC236}">
              <a16:creationId xmlns:a16="http://schemas.microsoft.com/office/drawing/2014/main" id="{D07B2D58-86FD-4C66-B0A4-F6DE8DEDCD69}"/>
            </a:ext>
          </a:extLst>
        </xdr:cNvPr>
        <xdr:cNvGrpSpPr>
          <a:grpSpLocks/>
        </xdr:cNvGrpSpPr>
      </xdr:nvGrpSpPr>
      <xdr:grpSpPr bwMode="auto">
        <a:xfrm>
          <a:off x="3848100" y="7429500"/>
          <a:ext cx="219075" cy="152400"/>
          <a:chOff x="132" y="708"/>
          <a:chExt cx="20" cy="14"/>
        </a:xfrm>
      </xdr:grpSpPr>
      <xdr:sp macro="" textlink="">
        <xdr:nvSpPr>
          <xdr:cNvPr id="3825" name="Line 93">
            <a:extLst>
              <a:ext uri="{FF2B5EF4-FFF2-40B4-BE49-F238E27FC236}">
                <a16:creationId xmlns:a16="http://schemas.microsoft.com/office/drawing/2014/main" id="{A4B46DE5-04CE-4463-B230-C07CE996537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6" name="Line 94">
            <a:extLst>
              <a:ext uri="{FF2B5EF4-FFF2-40B4-BE49-F238E27FC236}">
                <a16:creationId xmlns:a16="http://schemas.microsoft.com/office/drawing/2014/main" id="{5A09BBCF-7F06-4855-881C-8C4B08B4E88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7" name="Line 95">
            <a:extLst>
              <a:ext uri="{FF2B5EF4-FFF2-40B4-BE49-F238E27FC236}">
                <a16:creationId xmlns:a16="http://schemas.microsoft.com/office/drawing/2014/main" id="{A717571F-67AA-43ED-9138-45FD56DC92E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8" name="Line 96">
            <a:extLst>
              <a:ext uri="{FF2B5EF4-FFF2-40B4-BE49-F238E27FC236}">
                <a16:creationId xmlns:a16="http://schemas.microsoft.com/office/drawing/2014/main" id="{9E60A9C2-C831-44AB-9A57-6B56517173D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104775</xdr:rowOff>
    </xdr:from>
    <xdr:to>
      <xdr:col>18</xdr:col>
      <xdr:colOff>9525</xdr:colOff>
      <xdr:row>19</xdr:row>
      <xdr:rowOff>152400</xdr:rowOff>
    </xdr:to>
    <xdr:grpSp>
      <xdr:nvGrpSpPr>
        <xdr:cNvPr id="3776" name="Group 97">
          <a:extLst>
            <a:ext uri="{FF2B5EF4-FFF2-40B4-BE49-F238E27FC236}">
              <a16:creationId xmlns:a16="http://schemas.microsoft.com/office/drawing/2014/main" id="{8CB8F8CE-6539-4972-8FF9-91AE5743C83C}"/>
            </a:ext>
          </a:extLst>
        </xdr:cNvPr>
        <xdr:cNvGrpSpPr>
          <a:grpSpLocks/>
        </xdr:cNvGrpSpPr>
      </xdr:nvGrpSpPr>
      <xdr:grpSpPr bwMode="auto">
        <a:xfrm>
          <a:off x="4114800" y="7486650"/>
          <a:ext cx="1571625" cy="47625"/>
          <a:chOff x="158" y="715"/>
          <a:chExt cx="33" cy="5"/>
        </a:xfrm>
      </xdr:grpSpPr>
      <xdr:sp macro="" textlink="">
        <xdr:nvSpPr>
          <xdr:cNvPr id="3823" name="Line 98">
            <a:extLst>
              <a:ext uri="{FF2B5EF4-FFF2-40B4-BE49-F238E27FC236}">
                <a16:creationId xmlns:a16="http://schemas.microsoft.com/office/drawing/2014/main" id="{A26DCA0C-8F44-460C-AD02-53CA76DE49F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4" name="Line 99">
            <a:extLst>
              <a:ext uri="{FF2B5EF4-FFF2-40B4-BE49-F238E27FC236}">
                <a16:creationId xmlns:a16="http://schemas.microsoft.com/office/drawing/2014/main" id="{7EC490A6-6D2A-43F3-8000-D55F7E04E93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9525</xdr:colOff>
      <xdr:row>20</xdr:row>
      <xdr:rowOff>104775</xdr:rowOff>
    </xdr:from>
    <xdr:to>
      <xdr:col>18</xdr:col>
      <xdr:colOff>9525</xdr:colOff>
      <xdr:row>20</xdr:row>
      <xdr:rowOff>152400</xdr:rowOff>
    </xdr:to>
    <xdr:grpSp>
      <xdr:nvGrpSpPr>
        <xdr:cNvPr id="3777" name="Group 100">
          <a:extLst>
            <a:ext uri="{FF2B5EF4-FFF2-40B4-BE49-F238E27FC236}">
              <a16:creationId xmlns:a16="http://schemas.microsoft.com/office/drawing/2014/main" id="{30540F2F-64A9-457D-9330-DC21B114F1E6}"/>
            </a:ext>
          </a:extLst>
        </xdr:cNvPr>
        <xdr:cNvGrpSpPr>
          <a:grpSpLocks/>
        </xdr:cNvGrpSpPr>
      </xdr:nvGrpSpPr>
      <xdr:grpSpPr bwMode="auto">
        <a:xfrm>
          <a:off x="5372100" y="7715250"/>
          <a:ext cx="314325" cy="47625"/>
          <a:chOff x="158" y="715"/>
          <a:chExt cx="33" cy="5"/>
        </a:xfrm>
      </xdr:grpSpPr>
      <xdr:sp macro="" textlink="">
        <xdr:nvSpPr>
          <xdr:cNvPr id="3821" name="Line 101">
            <a:extLst>
              <a:ext uri="{FF2B5EF4-FFF2-40B4-BE49-F238E27FC236}">
                <a16:creationId xmlns:a16="http://schemas.microsoft.com/office/drawing/2014/main" id="{CD34CCFA-5EBF-42BF-9CC0-207F2A8543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2" name="Line 102">
            <a:extLst>
              <a:ext uri="{FF2B5EF4-FFF2-40B4-BE49-F238E27FC236}">
                <a16:creationId xmlns:a16="http://schemas.microsoft.com/office/drawing/2014/main" id="{FCA9482A-EE63-4E27-BF64-4DF94FAC88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20</xdr:row>
      <xdr:rowOff>104775</xdr:rowOff>
    </xdr:from>
    <xdr:to>
      <xdr:col>16</xdr:col>
      <xdr:colOff>9525</xdr:colOff>
      <xdr:row>20</xdr:row>
      <xdr:rowOff>152400</xdr:rowOff>
    </xdr:to>
    <xdr:grpSp>
      <xdr:nvGrpSpPr>
        <xdr:cNvPr id="3778" name="Group 103">
          <a:extLst>
            <a:ext uri="{FF2B5EF4-FFF2-40B4-BE49-F238E27FC236}">
              <a16:creationId xmlns:a16="http://schemas.microsoft.com/office/drawing/2014/main" id="{8B20ABBC-E568-4FD6-9E6C-4012EB49EA42}"/>
            </a:ext>
          </a:extLst>
        </xdr:cNvPr>
        <xdr:cNvGrpSpPr>
          <a:grpSpLocks/>
        </xdr:cNvGrpSpPr>
      </xdr:nvGrpSpPr>
      <xdr:grpSpPr bwMode="auto">
        <a:xfrm>
          <a:off x="4743450" y="7715250"/>
          <a:ext cx="314325" cy="47625"/>
          <a:chOff x="158" y="715"/>
          <a:chExt cx="33" cy="5"/>
        </a:xfrm>
      </xdr:grpSpPr>
      <xdr:sp macro="" textlink="">
        <xdr:nvSpPr>
          <xdr:cNvPr id="3819" name="Line 104">
            <a:extLst>
              <a:ext uri="{FF2B5EF4-FFF2-40B4-BE49-F238E27FC236}">
                <a16:creationId xmlns:a16="http://schemas.microsoft.com/office/drawing/2014/main" id="{D82151AE-F8DB-496E-9B39-420874BBED4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0" name="Line 105">
            <a:extLst>
              <a:ext uri="{FF2B5EF4-FFF2-40B4-BE49-F238E27FC236}">
                <a16:creationId xmlns:a16="http://schemas.microsoft.com/office/drawing/2014/main" id="{574D6121-B7D2-433C-BF54-D3C61F61BF3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114300</xdr:rowOff>
    </xdr:from>
    <xdr:to>
      <xdr:col>11</xdr:col>
      <xdr:colOff>9525</xdr:colOff>
      <xdr:row>19</xdr:row>
      <xdr:rowOff>161925</xdr:rowOff>
    </xdr:to>
    <xdr:grpSp>
      <xdr:nvGrpSpPr>
        <xdr:cNvPr id="3779" name="Group 106">
          <a:extLst>
            <a:ext uri="{FF2B5EF4-FFF2-40B4-BE49-F238E27FC236}">
              <a16:creationId xmlns:a16="http://schemas.microsoft.com/office/drawing/2014/main" id="{9095B743-2190-44A4-87FA-F2319C651C73}"/>
            </a:ext>
          </a:extLst>
        </xdr:cNvPr>
        <xdr:cNvGrpSpPr>
          <a:grpSpLocks/>
        </xdr:cNvGrpSpPr>
      </xdr:nvGrpSpPr>
      <xdr:grpSpPr bwMode="auto">
        <a:xfrm>
          <a:off x="1285875" y="7496175"/>
          <a:ext cx="2200275" cy="47625"/>
          <a:chOff x="158" y="715"/>
          <a:chExt cx="33" cy="5"/>
        </a:xfrm>
      </xdr:grpSpPr>
      <xdr:sp macro="" textlink="">
        <xdr:nvSpPr>
          <xdr:cNvPr id="3817" name="Line 107">
            <a:extLst>
              <a:ext uri="{FF2B5EF4-FFF2-40B4-BE49-F238E27FC236}">
                <a16:creationId xmlns:a16="http://schemas.microsoft.com/office/drawing/2014/main" id="{679EC5CF-7931-4CC7-B81C-1FDED218DDE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8" name="Line 108">
            <a:extLst>
              <a:ext uri="{FF2B5EF4-FFF2-40B4-BE49-F238E27FC236}">
                <a16:creationId xmlns:a16="http://schemas.microsoft.com/office/drawing/2014/main" id="{4ED9E690-804F-4131-8E35-63116167DE0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19</xdr:row>
      <xdr:rowOff>133350</xdr:rowOff>
    </xdr:from>
    <xdr:to>
      <xdr:col>12</xdr:col>
      <xdr:colOff>9525</xdr:colOff>
      <xdr:row>19</xdr:row>
      <xdr:rowOff>133350</xdr:rowOff>
    </xdr:to>
    <xdr:sp macro="" textlink="">
      <xdr:nvSpPr>
        <xdr:cNvPr id="3780" name="Line 109">
          <a:extLst>
            <a:ext uri="{FF2B5EF4-FFF2-40B4-BE49-F238E27FC236}">
              <a16:creationId xmlns:a16="http://schemas.microsoft.com/office/drawing/2014/main" id="{20CB2BD8-A465-46CD-B4A7-FA33242D5B5F}"/>
            </a:ext>
          </a:extLst>
        </xdr:cNvPr>
        <xdr:cNvSpPr>
          <a:spLocks noChangeShapeType="1"/>
        </xdr:cNvSpPr>
      </xdr:nvSpPr>
      <xdr:spPr bwMode="auto">
        <a:xfrm>
          <a:off x="3486150" y="751522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20</xdr:row>
      <xdr:rowOff>133350</xdr:rowOff>
    </xdr:from>
    <xdr:to>
      <xdr:col>14</xdr:col>
      <xdr:colOff>9525</xdr:colOff>
      <xdr:row>20</xdr:row>
      <xdr:rowOff>133350</xdr:rowOff>
    </xdr:to>
    <xdr:sp macro="" textlink="">
      <xdr:nvSpPr>
        <xdr:cNvPr id="3781" name="Line 110">
          <a:extLst>
            <a:ext uri="{FF2B5EF4-FFF2-40B4-BE49-F238E27FC236}">
              <a16:creationId xmlns:a16="http://schemas.microsoft.com/office/drawing/2014/main" id="{1274616A-F4A4-4E74-8D7E-BB6BC44FB532}"/>
            </a:ext>
          </a:extLst>
        </xdr:cNvPr>
        <xdr:cNvSpPr>
          <a:spLocks noChangeShapeType="1"/>
        </xdr:cNvSpPr>
      </xdr:nvSpPr>
      <xdr:spPr bwMode="auto">
        <a:xfrm>
          <a:off x="3486150" y="774382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20</xdr:row>
      <xdr:rowOff>104775</xdr:rowOff>
    </xdr:from>
    <xdr:to>
      <xdr:col>11</xdr:col>
      <xdr:colOff>9525</xdr:colOff>
      <xdr:row>20</xdr:row>
      <xdr:rowOff>152400</xdr:rowOff>
    </xdr:to>
    <xdr:grpSp>
      <xdr:nvGrpSpPr>
        <xdr:cNvPr id="3782" name="Group 111">
          <a:extLst>
            <a:ext uri="{FF2B5EF4-FFF2-40B4-BE49-F238E27FC236}">
              <a16:creationId xmlns:a16="http://schemas.microsoft.com/office/drawing/2014/main" id="{31DEB8AC-5C3D-4AA6-8A6A-B9C3EE91A080}"/>
            </a:ext>
          </a:extLst>
        </xdr:cNvPr>
        <xdr:cNvGrpSpPr>
          <a:grpSpLocks/>
        </xdr:cNvGrpSpPr>
      </xdr:nvGrpSpPr>
      <xdr:grpSpPr bwMode="auto">
        <a:xfrm>
          <a:off x="1285875" y="7715250"/>
          <a:ext cx="2200275" cy="47625"/>
          <a:chOff x="158" y="715"/>
          <a:chExt cx="33" cy="5"/>
        </a:xfrm>
      </xdr:grpSpPr>
      <xdr:sp macro="" textlink="">
        <xdr:nvSpPr>
          <xdr:cNvPr id="3815" name="Line 112">
            <a:extLst>
              <a:ext uri="{FF2B5EF4-FFF2-40B4-BE49-F238E27FC236}">
                <a16:creationId xmlns:a16="http://schemas.microsoft.com/office/drawing/2014/main" id="{9881FC32-A325-4A33-BCB2-45351E572B1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6" name="Line 113">
            <a:extLst>
              <a:ext uri="{FF2B5EF4-FFF2-40B4-BE49-F238E27FC236}">
                <a16:creationId xmlns:a16="http://schemas.microsoft.com/office/drawing/2014/main" id="{81861AA8-6589-416A-B690-4FBDA551E7E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180975</xdr:colOff>
      <xdr:row>7</xdr:row>
      <xdr:rowOff>219075</xdr:rowOff>
    </xdr:from>
    <xdr:to>
      <xdr:col>6</xdr:col>
      <xdr:colOff>114300</xdr:colOff>
      <xdr:row>7</xdr:row>
      <xdr:rowOff>1390650</xdr:rowOff>
    </xdr:to>
    <xdr:sp macro="" textlink="">
      <xdr:nvSpPr>
        <xdr:cNvPr id="107" name="Text Box 114">
          <a:extLst>
            <a:ext uri="{FF2B5EF4-FFF2-40B4-BE49-F238E27FC236}">
              <a16:creationId xmlns:a16="http://schemas.microsoft.com/office/drawing/2014/main" id="{22EC1098-C47B-405B-96C6-74D952E168C1}"/>
            </a:ext>
          </a:extLst>
        </xdr:cNvPr>
        <xdr:cNvSpPr txBox="1">
          <a:spLocks noChangeArrowheads="1"/>
        </xdr:cNvSpPr>
      </xdr:nvSpPr>
      <xdr:spPr bwMode="auto">
        <a:xfrm>
          <a:off x="1371600" y="1857375"/>
          <a:ext cx="247650" cy="11715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広島呉道路</a:t>
          </a:r>
        </a:p>
      </xdr:txBody>
    </xdr:sp>
    <xdr:clientData/>
  </xdr:twoCellAnchor>
  <xdr:twoCellAnchor>
    <xdr:from>
      <xdr:col>18</xdr:col>
      <xdr:colOff>266700</xdr:colOff>
      <xdr:row>7</xdr:row>
      <xdr:rowOff>28575</xdr:rowOff>
    </xdr:from>
    <xdr:to>
      <xdr:col>19</xdr:col>
      <xdr:colOff>200025</xdr:colOff>
      <xdr:row>7</xdr:row>
      <xdr:rowOff>1619250</xdr:rowOff>
    </xdr:to>
    <xdr:sp macro="" textlink="">
      <xdr:nvSpPr>
        <xdr:cNvPr id="108" name="Text Box 115">
          <a:extLst>
            <a:ext uri="{FF2B5EF4-FFF2-40B4-BE49-F238E27FC236}">
              <a16:creationId xmlns:a16="http://schemas.microsoft.com/office/drawing/2014/main" id="{957373C3-E2EF-4BAB-9703-AF2D5B951F18}"/>
            </a:ext>
          </a:extLst>
        </xdr:cNvPr>
        <xdr:cNvSpPr txBox="1">
          <a:spLocks noChangeArrowheads="1"/>
        </xdr:cNvSpPr>
      </xdr:nvSpPr>
      <xdr:spPr bwMode="auto">
        <a:xfrm>
          <a:off x="5543550" y="1666875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本通り４丁目</a:t>
          </a:r>
        </a:p>
      </xdr:txBody>
    </xdr:sp>
    <xdr:clientData/>
  </xdr:twoCellAnchor>
  <xdr:twoCellAnchor>
    <xdr:from>
      <xdr:col>4</xdr:col>
      <xdr:colOff>9525</xdr:colOff>
      <xdr:row>16</xdr:row>
      <xdr:rowOff>123825</xdr:rowOff>
    </xdr:from>
    <xdr:to>
      <xdr:col>5</xdr:col>
      <xdr:colOff>9525</xdr:colOff>
      <xdr:row>16</xdr:row>
      <xdr:rowOff>123825</xdr:rowOff>
    </xdr:to>
    <xdr:sp macro="" textlink="">
      <xdr:nvSpPr>
        <xdr:cNvPr id="3785" name="Line 116">
          <a:extLst>
            <a:ext uri="{FF2B5EF4-FFF2-40B4-BE49-F238E27FC236}">
              <a16:creationId xmlns:a16="http://schemas.microsoft.com/office/drawing/2014/main" id="{30FA4223-69F9-4A6F-8D1C-A46199B0599B}"/>
            </a:ext>
          </a:extLst>
        </xdr:cNvPr>
        <xdr:cNvSpPr>
          <a:spLocks noChangeShapeType="1"/>
        </xdr:cNvSpPr>
      </xdr:nvSpPr>
      <xdr:spPr bwMode="auto">
        <a:xfrm>
          <a:off x="1285875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3786" name="Line 117">
          <a:extLst>
            <a:ext uri="{FF2B5EF4-FFF2-40B4-BE49-F238E27FC236}">
              <a16:creationId xmlns:a16="http://schemas.microsoft.com/office/drawing/2014/main" id="{C3B179CE-4081-4CB9-BE78-DAFB794FB9F3}"/>
            </a:ext>
          </a:extLst>
        </xdr:cNvPr>
        <xdr:cNvSpPr>
          <a:spLocks noChangeShapeType="1"/>
        </xdr:cNvSpPr>
      </xdr:nvSpPr>
      <xdr:spPr bwMode="auto">
        <a:xfrm>
          <a:off x="1276350" y="7048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3787" name="Group 118">
          <a:extLst>
            <a:ext uri="{FF2B5EF4-FFF2-40B4-BE49-F238E27FC236}">
              <a16:creationId xmlns:a16="http://schemas.microsoft.com/office/drawing/2014/main" id="{7B308099-936C-4F7A-AF5B-5ECFE2E2AC22}"/>
            </a:ext>
          </a:extLst>
        </xdr:cNvPr>
        <xdr:cNvGrpSpPr>
          <a:grpSpLocks/>
        </xdr:cNvGrpSpPr>
      </xdr:nvGrpSpPr>
      <xdr:grpSpPr bwMode="auto">
        <a:xfrm>
          <a:off x="1638300" y="6734175"/>
          <a:ext cx="219075" cy="152400"/>
          <a:chOff x="132" y="708"/>
          <a:chExt cx="20" cy="14"/>
        </a:xfrm>
      </xdr:grpSpPr>
      <xdr:sp macro="" textlink="">
        <xdr:nvSpPr>
          <xdr:cNvPr id="3811" name="Line 119">
            <a:extLst>
              <a:ext uri="{FF2B5EF4-FFF2-40B4-BE49-F238E27FC236}">
                <a16:creationId xmlns:a16="http://schemas.microsoft.com/office/drawing/2014/main" id="{73F00F32-CDB4-496F-A483-7A423F7F140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2" name="Line 120">
            <a:extLst>
              <a:ext uri="{FF2B5EF4-FFF2-40B4-BE49-F238E27FC236}">
                <a16:creationId xmlns:a16="http://schemas.microsoft.com/office/drawing/2014/main" id="{3108A695-EE0F-4A35-B2CF-01E0F98F7B7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3" name="Line 121">
            <a:extLst>
              <a:ext uri="{FF2B5EF4-FFF2-40B4-BE49-F238E27FC236}">
                <a16:creationId xmlns:a16="http://schemas.microsoft.com/office/drawing/2014/main" id="{6432FED1-6EA7-4C79-87BB-2663862854F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4" name="Line 122">
            <a:extLst>
              <a:ext uri="{FF2B5EF4-FFF2-40B4-BE49-F238E27FC236}">
                <a16:creationId xmlns:a16="http://schemas.microsoft.com/office/drawing/2014/main" id="{1539D179-6BA9-4E34-8D43-C0F26BD7012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17</xdr:row>
      <xdr:rowOff>47625</xdr:rowOff>
    </xdr:from>
    <xdr:to>
      <xdr:col>7</xdr:col>
      <xdr:colOff>295275</xdr:colOff>
      <xdr:row>17</xdr:row>
      <xdr:rowOff>190500</xdr:rowOff>
    </xdr:to>
    <xdr:sp macro="" textlink="">
      <xdr:nvSpPr>
        <xdr:cNvPr id="3788" name="Freeform 123">
          <a:extLst>
            <a:ext uri="{FF2B5EF4-FFF2-40B4-BE49-F238E27FC236}">
              <a16:creationId xmlns:a16="http://schemas.microsoft.com/office/drawing/2014/main" id="{17470721-8B8B-4BB5-829F-5985D5871F17}"/>
            </a:ext>
          </a:extLst>
        </xdr:cNvPr>
        <xdr:cNvSpPr>
          <a:spLocks/>
        </xdr:cNvSpPr>
      </xdr:nvSpPr>
      <xdr:spPr bwMode="auto">
        <a:xfrm>
          <a:off x="2219325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17</xdr:row>
      <xdr:rowOff>57150</xdr:rowOff>
    </xdr:from>
    <xdr:to>
      <xdr:col>9</xdr:col>
      <xdr:colOff>295275</xdr:colOff>
      <xdr:row>17</xdr:row>
      <xdr:rowOff>200025</xdr:rowOff>
    </xdr:to>
    <xdr:sp macro="" textlink="">
      <xdr:nvSpPr>
        <xdr:cNvPr id="3789" name="Freeform 124">
          <a:extLst>
            <a:ext uri="{FF2B5EF4-FFF2-40B4-BE49-F238E27FC236}">
              <a16:creationId xmlns:a16="http://schemas.microsoft.com/office/drawing/2014/main" id="{FA7F7F67-CB4A-4CF1-8084-C5AADAD8D43A}"/>
            </a:ext>
          </a:extLst>
        </xdr:cNvPr>
        <xdr:cNvSpPr>
          <a:spLocks/>
        </xdr:cNvSpPr>
      </xdr:nvSpPr>
      <xdr:spPr bwMode="auto">
        <a:xfrm>
          <a:off x="2847975" y="698182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20</xdr:row>
      <xdr:rowOff>57150</xdr:rowOff>
    </xdr:from>
    <xdr:to>
      <xdr:col>16</xdr:col>
      <xdr:colOff>304800</xdr:colOff>
      <xdr:row>20</xdr:row>
      <xdr:rowOff>200025</xdr:rowOff>
    </xdr:to>
    <xdr:sp macro="" textlink="">
      <xdr:nvSpPr>
        <xdr:cNvPr id="3790" name="Freeform 125">
          <a:extLst>
            <a:ext uri="{FF2B5EF4-FFF2-40B4-BE49-F238E27FC236}">
              <a16:creationId xmlns:a16="http://schemas.microsoft.com/office/drawing/2014/main" id="{B57AE119-EA08-424E-A75D-AEEA7039B096}"/>
            </a:ext>
          </a:extLst>
        </xdr:cNvPr>
        <xdr:cNvSpPr>
          <a:spLocks/>
        </xdr:cNvSpPr>
      </xdr:nvSpPr>
      <xdr:spPr bwMode="auto">
        <a:xfrm>
          <a:off x="5057775" y="766762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114300</xdr:colOff>
      <xdr:row>3</xdr:row>
      <xdr:rowOff>9525</xdr:rowOff>
    </xdr:from>
    <xdr:to>
      <xdr:col>18</xdr:col>
      <xdr:colOff>266700</xdr:colOff>
      <xdr:row>11</xdr:row>
      <xdr:rowOff>38100</xdr:rowOff>
    </xdr:to>
    <xdr:pic>
      <xdr:nvPicPr>
        <xdr:cNvPr id="3791" name="Picture 126">
          <a:extLst>
            <a:ext uri="{FF2B5EF4-FFF2-40B4-BE49-F238E27FC236}">
              <a16:creationId xmlns:a16="http://schemas.microsoft.com/office/drawing/2014/main" id="{39081A50-06AD-4E25-BDE6-BEAB6F40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33425"/>
          <a:ext cx="3924300" cy="350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15</xdr:row>
      <xdr:rowOff>171450</xdr:rowOff>
    </xdr:from>
    <xdr:to>
      <xdr:col>13</xdr:col>
      <xdr:colOff>190500</xdr:colOff>
      <xdr:row>15</xdr:row>
      <xdr:rowOff>333375</xdr:rowOff>
    </xdr:to>
    <xdr:sp macro="" textlink="">
      <xdr:nvSpPr>
        <xdr:cNvPr id="120" name="Text Box 128">
          <a:extLst>
            <a:ext uri="{FF2B5EF4-FFF2-40B4-BE49-F238E27FC236}">
              <a16:creationId xmlns:a16="http://schemas.microsoft.com/office/drawing/2014/main" id="{20A2D65F-6B8F-4B32-B341-491F8A843204}"/>
            </a:ext>
          </a:extLst>
        </xdr:cNvPr>
        <xdr:cNvSpPr txBox="1">
          <a:spLocks noChangeArrowheads="1"/>
        </xdr:cNvSpPr>
      </xdr:nvSpPr>
      <xdr:spPr bwMode="auto">
        <a:xfrm>
          <a:off x="3543300" y="52863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24.8m</a:t>
          </a:r>
        </a:p>
      </xdr:txBody>
    </xdr:sp>
    <xdr:clientData/>
  </xdr:twoCellAnchor>
  <xdr:twoCellAnchor>
    <xdr:from>
      <xdr:col>0</xdr:col>
      <xdr:colOff>76200</xdr:colOff>
      <xdr:row>9</xdr:row>
      <xdr:rowOff>219075</xdr:rowOff>
    </xdr:from>
    <xdr:to>
      <xdr:col>7</xdr:col>
      <xdr:colOff>304800</xdr:colOff>
      <xdr:row>13</xdr:row>
      <xdr:rowOff>38100</xdr:rowOff>
    </xdr:to>
    <xdr:sp macro="" textlink="">
      <xdr:nvSpPr>
        <xdr:cNvPr id="121" name="Text Box 129">
          <a:extLst>
            <a:ext uri="{FF2B5EF4-FFF2-40B4-BE49-F238E27FC236}">
              <a16:creationId xmlns:a16="http://schemas.microsoft.com/office/drawing/2014/main" id="{01485474-3FC2-4C35-A968-3558DE4DAEDE}"/>
            </a:ext>
          </a:extLst>
        </xdr:cNvPr>
        <xdr:cNvSpPr txBox="1">
          <a:spLocks noChangeArrowheads="1"/>
        </xdr:cNvSpPr>
      </xdr:nvSpPr>
      <xdr:spPr bwMode="auto">
        <a:xfrm>
          <a:off x="76200" y="3962400"/>
          <a:ext cx="2047875" cy="7334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3794" name="Picture 131">
          <a:extLst>
            <a:ext uri="{FF2B5EF4-FFF2-40B4-BE49-F238E27FC236}">
              <a16:creationId xmlns:a16="http://schemas.microsoft.com/office/drawing/2014/main" id="{3A161849-32AB-40B3-8E16-3E623D76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6286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15</xdr:row>
      <xdr:rowOff>1200150</xdr:rowOff>
    </xdr:from>
    <xdr:to>
      <xdr:col>5</xdr:col>
      <xdr:colOff>38100</xdr:colOff>
      <xdr:row>15</xdr:row>
      <xdr:rowOff>1362075</xdr:rowOff>
    </xdr:to>
    <xdr:sp macro="" textlink="">
      <xdr:nvSpPr>
        <xdr:cNvPr id="123" name="Text Box 132">
          <a:extLst>
            <a:ext uri="{FF2B5EF4-FFF2-40B4-BE49-F238E27FC236}">
              <a16:creationId xmlns:a16="http://schemas.microsoft.com/office/drawing/2014/main" id="{220A7ACE-6F68-403C-9B0C-9433AFE09104}"/>
            </a:ext>
          </a:extLst>
        </xdr:cNvPr>
        <xdr:cNvSpPr txBox="1">
          <a:spLocks noChangeArrowheads="1"/>
        </xdr:cNvSpPr>
      </xdr:nvSpPr>
      <xdr:spPr bwMode="auto">
        <a:xfrm>
          <a:off x="876300" y="63150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19.7m</a:t>
          </a:r>
        </a:p>
      </xdr:txBody>
    </xdr:sp>
    <xdr:clientData/>
  </xdr:twoCellAnchor>
  <xdr:twoCellAnchor>
    <xdr:from>
      <xdr:col>6</xdr:col>
      <xdr:colOff>295275</xdr:colOff>
      <xdr:row>15</xdr:row>
      <xdr:rowOff>1200150</xdr:rowOff>
    </xdr:from>
    <xdr:to>
      <xdr:col>8</xdr:col>
      <xdr:colOff>19050</xdr:colOff>
      <xdr:row>15</xdr:row>
      <xdr:rowOff>1362075</xdr:rowOff>
    </xdr:to>
    <xdr:sp macro="" textlink="">
      <xdr:nvSpPr>
        <xdr:cNvPr id="124" name="Text Box 133">
          <a:extLst>
            <a:ext uri="{FF2B5EF4-FFF2-40B4-BE49-F238E27FC236}">
              <a16:creationId xmlns:a16="http://schemas.microsoft.com/office/drawing/2014/main" id="{8ED36606-A0C8-4DBC-A926-CBF6991D11A2}"/>
            </a:ext>
          </a:extLst>
        </xdr:cNvPr>
        <xdr:cNvSpPr txBox="1">
          <a:spLocks noChangeArrowheads="1"/>
        </xdr:cNvSpPr>
      </xdr:nvSpPr>
      <xdr:spPr bwMode="auto">
        <a:xfrm>
          <a:off x="1800225" y="63150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17.8m</a:t>
          </a:r>
        </a:p>
      </xdr:txBody>
    </xdr:sp>
    <xdr:clientData/>
  </xdr:twoCellAnchor>
  <xdr:twoCellAnchor>
    <xdr:from>
      <xdr:col>7</xdr:col>
      <xdr:colOff>47625</xdr:colOff>
      <xdr:row>15</xdr:row>
      <xdr:rowOff>228600</xdr:rowOff>
    </xdr:from>
    <xdr:to>
      <xdr:col>8</xdr:col>
      <xdr:colOff>85725</xdr:colOff>
      <xdr:row>15</xdr:row>
      <xdr:rowOff>390525</xdr:rowOff>
    </xdr:to>
    <xdr:sp macro="" textlink="">
      <xdr:nvSpPr>
        <xdr:cNvPr id="125" name="Text Box 134">
          <a:extLst>
            <a:ext uri="{FF2B5EF4-FFF2-40B4-BE49-F238E27FC236}">
              <a16:creationId xmlns:a16="http://schemas.microsoft.com/office/drawing/2014/main" id="{343461D8-F337-450E-BE30-04E9814DBF47}"/>
            </a:ext>
          </a:extLst>
        </xdr:cNvPr>
        <xdr:cNvSpPr txBox="1">
          <a:spLocks noChangeArrowheads="1"/>
        </xdr:cNvSpPr>
      </xdr:nvSpPr>
      <xdr:spPr bwMode="auto">
        <a:xfrm>
          <a:off x="1866900" y="53435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4</xdr:col>
      <xdr:colOff>47625</xdr:colOff>
      <xdr:row>15</xdr:row>
      <xdr:rowOff>238125</xdr:rowOff>
    </xdr:from>
    <xdr:to>
      <xdr:col>5</xdr:col>
      <xdr:colOff>85725</xdr:colOff>
      <xdr:row>15</xdr:row>
      <xdr:rowOff>400050</xdr:rowOff>
    </xdr:to>
    <xdr:sp macro="" textlink="">
      <xdr:nvSpPr>
        <xdr:cNvPr id="126" name="Text Box 135">
          <a:extLst>
            <a:ext uri="{FF2B5EF4-FFF2-40B4-BE49-F238E27FC236}">
              <a16:creationId xmlns:a16="http://schemas.microsoft.com/office/drawing/2014/main" id="{26E2157F-72D9-4B43-9D89-27E0EE86E5B5}"/>
            </a:ext>
          </a:extLst>
        </xdr:cNvPr>
        <xdr:cNvSpPr txBox="1">
          <a:spLocks noChangeArrowheads="1"/>
        </xdr:cNvSpPr>
      </xdr:nvSpPr>
      <xdr:spPr bwMode="auto">
        <a:xfrm>
          <a:off x="923925" y="53530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14</xdr:col>
      <xdr:colOff>76200</xdr:colOff>
      <xdr:row>15</xdr:row>
      <xdr:rowOff>285750</xdr:rowOff>
    </xdr:from>
    <xdr:to>
      <xdr:col>15</xdr:col>
      <xdr:colOff>114300</xdr:colOff>
      <xdr:row>15</xdr:row>
      <xdr:rowOff>447675</xdr:rowOff>
    </xdr:to>
    <xdr:sp macro="" textlink="">
      <xdr:nvSpPr>
        <xdr:cNvPr id="127" name="Text Box 136">
          <a:extLst>
            <a:ext uri="{FF2B5EF4-FFF2-40B4-BE49-F238E27FC236}">
              <a16:creationId xmlns:a16="http://schemas.microsoft.com/office/drawing/2014/main" id="{0FAA065B-353C-43F5-9CC2-496C5D8A6D31}"/>
            </a:ext>
          </a:extLst>
        </xdr:cNvPr>
        <xdr:cNvSpPr txBox="1">
          <a:spLocks noChangeArrowheads="1"/>
        </xdr:cNvSpPr>
      </xdr:nvSpPr>
      <xdr:spPr bwMode="auto">
        <a:xfrm>
          <a:off x="4095750" y="54006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161925</xdr:colOff>
      <xdr:row>15</xdr:row>
      <xdr:rowOff>1295400</xdr:rowOff>
    </xdr:from>
    <xdr:to>
      <xdr:col>13</xdr:col>
      <xdr:colOff>200025</xdr:colOff>
      <xdr:row>15</xdr:row>
      <xdr:rowOff>1457325</xdr:rowOff>
    </xdr:to>
    <xdr:sp macro="" textlink="">
      <xdr:nvSpPr>
        <xdr:cNvPr id="128" name="Text Box 137">
          <a:extLst>
            <a:ext uri="{FF2B5EF4-FFF2-40B4-BE49-F238E27FC236}">
              <a16:creationId xmlns:a16="http://schemas.microsoft.com/office/drawing/2014/main" id="{A80E1552-1021-4011-8853-40604F2FB3AE}"/>
            </a:ext>
          </a:extLst>
        </xdr:cNvPr>
        <xdr:cNvSpPr txBox="1">
          <a:spLocks noChangeArrowheads="1"/>
        </xdr:cNvSpPr>
      </xdr:nvSpPr>
      <xdr:spPr bwMode="auto">
        <a:xfrm>
          <a:off x="3552825" y="64103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23.3m</a:t>
          </a:r>
        </a:p>
      </xdr:txBody>
    </xdr:sp>
    <xdr:clientData/>
  </xdr:twoCellAnchor>
  <xdr:twoCellAnchor>
    <xdr:from>
      <xdr:col>14</xdr:col>
      <xdr:colOff>76200</xdr:colOff>
      <xdr:row>15</xdr:row>
      <xdr:rowOff>1209675</xdr:rowOff>
    </xdr:from>
    <xdr:to>
      <xdr:col>15</xdr:col>
      <xdr:colOff>114300</xdr:colOff>
      <xdr:row>15</xdr:row>
      <xdr:rowOff>1371600</xdr:rowOff>
    </xdr:to>
    <xdr:sp macro="" textlink="">
      <xdr:nvSpPr>
        <xdr:cNvPr id="129" name="Text Box 138">
          <a:extLst>
            <a:ext uri="{FF2B5EF4-FFF2-40B4-BE49-F238E27FC236}">
              <a16:creationId xmlns:a16="http://schemas.microsoft.com/office/drawing/2014/main" id="{94A15C3D-C668-4B1F-99EB-38578575CDFD}"/>
            </a:ext>
          </a:extLst>
        </xdr:cNvPr>
        <xdr:cNvSpPr txBox="1">
          <a:spLocks noChangeArrowheads="1"/>
        </xdr:cNvSpPr>
      </xdr:nvSpPr>
      <xdr:spPr bwMode="auto">
        <a:xfrm>
          <a:off x="4095750" y="63246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21</xdr:col>
      <xdr:colOff>219075</xdr:colOff>
      <xdr:row>15</xdr:row>
      <xdr:rowOff>457200</xdr:rowOff>
    </xdr:from>
    <xdr:to>
      <xdr:col>23</xdr:col>
      <xdr:colOff>285750</xdr:colOff>
      <xdr:row>15</xdr:row>
      <xdr:rowOff>1152525</xdr:rowOff>
    </xdr:to>
    <xdr:pic>
      <xdr:nvPicPr>
        <xdr:cNvPr id="3802" name="Picture 139">
          <a:extLst>
            <a:ext uri="{FF2B5EF4-FFF2-40B4-BE49-F238E27FC236}">
              <a16:creationId xmlns:a16="http://schemas.microsoft.com/office/drawing/2014/main" id="{F5FD9752-E275-4E4D-A9A8-A45514B39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7212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3803" name="Group 142">
          <a:extLst>
            <a:ext uri="{FF2B5EF4-FFF2-40B4-BE49-F238E27FC236}">
              <a16:creationId xmlns:a16="http://schemas.microsoft.com/office/drawing/2014/main" id="{E3233735-A855-4816-BFCB-5A92CE847507}"/>
            </a:ext>
          </a:extLst>
        </xdr:cNvPr>
        <xdr:cNvGrpSpPr>
          <a:grpSpLocks/>
        </xdr:cNvGrpSpPr>
      </xdr:nvGrpSpPr>
      <xdr:grpSpPr bwMode="auto">
        <a:xfrm>
          <a:off x="2552700" y="7191375"/>
          <a:ext cx="276225" cy="171450"/>
          <a:chOff x="226" y="755"/>
          <a:chExt cx="29" cy="18"/>
        </a:xfrm>
      </xdr:grpSpPr>
      <xdr:sp macro="" textlink="">
        <xdr:nvSpPr>
          <xdr:cNvPr id="3808" name="Oval 143">
            <a:extLst>
              <a:ext uri="{FF2B5EF4-FFF2-40B4-BE49-F238E27FC236}">
                <a16:creationId xmlns:a16="http://schemas.microsoft.com/office/drawing/2014/main" id="{5200FC6C-FBA0-4633-AE11-2A8A4829F5E7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09" name="Line 144">
            <a:extLst>
              <a:ext uri="{FF2B5EF4-FFF2-40B4-BE49-F238E27FC236}">
                <a16:creationId xmlns:a16="http://schemas.microsoft.com/office/drawing/2014/main" id="{2182791C-8DEB-4DBE-A479-E57EBC5B7886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0" name="Freeform 145">
            <a:extLst>
              <a:ext uri="{FF2B5EF4-FFF2-40B4-BE49-F238E27FC236}">
                <a16:creationId xmlns:a16="http://schemas.microsoft.com/office/drawing/2014/main" id="{44C0661A-7AA1-44CF-9C67-22B75CC127DB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38100</xdr:rowOff>
    </xdr:from>
    <xdr:to>
      <xdr:col>15</xdr:col>
      <xdr:colOff>295275</xdr:colOff>
      <xdr:row>21</xdr:row>
      <xdr:rowOff>209550</xdr:rowOff>
    </xdr:to>
    <xdr:grpSp>
      <xdr:nvGrpSpPr>
        <xdr:cNvPr id="3804" name="Group 146">
          <a:extLst>
            <a:ext uri="{FF2B5EF4-FFF2-40B4-BE49-F238E27FC236}">
              <a16:creationId xmlns:a16="http://schemas.microsoft.com/office/drawing/2014/main" id="{A1B33EBA-D11E-4819-90E6-2AA0F287E5B8}"/>
            </a:ext>
          </a:extLst>
        </xdr:cNvPr>
        <xdr:cNvGrpSpPr>
          <a:grpSpLocks/>
        </xdr:cNvGrpSpPr>
      </xdr:nvGrpSpPr>
      <xdr:grpSpPr bwMode="auto">
        <a:xfrm>
          <a:off x="4752975" y="7877175"/>
          <a:ext cx="276225" cy="171450"/>
          <a:chOff x="226" y="755"/>
          <a:chExt cx="29" cy="18"/>
        </a:xfrm>
      </xdr:grpSpPr>
      <xdr:sp macro="" textlink="">
        <xdr:nvSpPr>
          <xdr:cNvPr id="3805" name="Oval 147">
            <a:extLst>
              <a:ext uri="{FF2B5EF4-FFF2-40B4-BE49-F238E27FC236}">
                <a16:creationId xmlns:a16="http://schemas.microsoft.com/office/drawing/2014/main" id="{7150FEEA-C38E-45ED-B440-A1F34BDC15BC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06" name="Line 148">
            <a:extLst>
              <a:ext uri="{FF2B5EF4-FFF2-40B4-BE49-F238E27FC236}">
                <a16:creationId xmlns:a16="http://schemas.microsoft.com/office/drawing/2014/main" id="{6F9ABEFE-DC91-4ABE-8419-523400CCD9C6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07" name="Freeform 149">
            <a:extLst>
              <a:ext uri="{FF2B5EF4-FFF2-40B4-BE49-F238E27FC236}">
                <a16:creationId xmlns:a16="http://schemas.microsoft.com/office/drawing/2014/main" id="{12A68FBB-8D30-4D66-9F30-421518BC02B3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A1AEB57-3A50-4961-BCA6-4FBA4FFCDED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11</xdr:col>
      <xdr:colOff>123825</xdr:colOff>
      <xdr:row>15</xdr:row>
      <xdr:rowOff>495300</xdr:rowOff>
    </xdr:from>
    <xdr:to>
      <xdr:col>14</xdr:col>
      <xdr:colOff>180975</xdr:colOff>
      <xdr:row>15</xdr:row>
      <xdr:rowOff>800100</xdr:rowOff>
    </xdr:to>
    <xdr:grpSp>
      <xdr:nvGrpSpPr>
        <xdr:cNvPr id="1860" name="Group 2">
          <a:extLst>
            <a:ext uri="{FF2B5EF4-FFF2-40B4-BE49-F238E27FC236}">
              <a16:creationId xmlns:a16="http://schemas.microsoft.com/office/drawing/2014/main" id="{A4762DA1-55DB-4AB6-9CD4-1D953B1E9655}"/>
            </a:ext>
          </a:extLst>
        </xdr:cNvPr>
        <xdr:cNvGrpSpPr>
          <a:grpSpLocks/>
        </xdr:cNvGrpSpPr>
      </xdr:nvGrpSpPr>
      <xdr:grpSpPr bwMode="auto">
        <a:xfrm>
          <a:off x="3200400" y="5610225"/>
          <a:ext cx="1000125" cy="304800"/>
          <a:chOff x="110" y="567"/>
          <a:chExt cx="105" cy="32"/>
        </a:xfrm>
      </xdr:grpSpPr>
      <xdr:sp macro="" textlink="">
        <xdr:nvSpPr>
          <xdr:cNvPr id="1988" name="Line 3">
            <a:extLst>
              <a:ext uri="{FF2B5EF4-FFF2-40B4-BE49-F238E27FC236}">
                <a16:creationId xmlns:a16="http://schemas.microsoft.com/office/drawing/2014/main" id="{BAF70E2A-AC54-4FEF-9551-0310E0A2A4CD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9" name="Freeform 4">
            <a:extLst>
              <a:ext uri="{FF2B5EF4-FFF2-40B4-BE49-F238E27FC236}">
                <a16:creationId xmlns:a16="http://schemas.microsoft.com/office/drawing/2014/main" id="{12E748C4-2CEA-4622-B25B-6C5EEA9C106C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90" name="Freeform 5">
            <a:extLst>
              <a:ext uri="{FF2B5EF4-FFF2-40B4-BE49-F238E27FC236}">
                <a16:creationId xmlns:a16="http://schemas.microsoft.com/office/drawing/2014/main" id="{6A3742A8-ADE5-4E3A-AD23-11F9CAA57500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91" name="Line 6">
            <a:extLst>
              <a:ext uri="{FF2B5EF4-FFF2-40B4-BE49-F238E27FC236}">
                <a16:creationId xmlns:a16="http://schemas.microsoft.com/office/drawing/2014/main" id="{9127B589-FA53-48E4-8FBB-E52DAC8496D2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2" name="Freeform 7">
            <a:extLst>
              <a:ext uri="{FF2B5EF4-FFF2-40B4-BE49-F238E27FC236}">
                <a16:creationId xmlns:a16="http://schemas.microsoft.com/office/drawing/2014/main" id="{929FFBEA-269A-4D5A-9EF9-34C9339BAED6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93" name="Freeform 8">
            <a:extLst>
              <a:ext uri="{FF2B5EF4-FFF2-40B4-BE49-F238E27FC236}">
                <a16:creationId xmlns:a16="http://schemas.microsoft.com/office/drawing/2014/main" id="{042875BA-96D9-42C2-ABD5-E8A94843092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94" name="Line 9">
            <a:extLst>
              <a:ext uri="{FF2B5EF4-FFF2-40B4-BE49-F238E27FC236}">
                <a16:creationId xmlns:a16="http://schemas.microsoft.com/office/drawing/2014/main" id="{A6378A0A-761C-41D4-9E46-0226C8717AC6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" name="Freeform 10">
            <a:extLst>
              <a:ext uri="{FF2B5EF4-FFF2-40B4-BE49-F238E27FC236}">
                <a16:creationId xmlns:a16="http://schemas.microsoft.com/office/drawing/2014/main" id="{A8D99ECD-9ADC-4121-AD68-F9C096BEEFC9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171450</xdr:colOff>
      <xdr:row>15</xdr:row>
      <xdr:rowOff>647700</xdr:rowOff>
    </xdr:from>
    <xdr:to>
      <xdr:col>16</xdr:col>
      <xdr:colOff>123825</xdr:colOff>
      <xdr:row>15</xdr:row>
      <xdr:rowOff>800100</xdr:rowOff>
    </xdr:to>
    <xdr:grpSp>
      <xdr:nvGrpSpPr>
        <xdr:cNvPr id="1861" name="Group 11">
          <a:extLst>
            <a:ext uri="{FF2B5EF4-FFF2-40B4-BE49-F238E27FC236}">
              <a16:creationId xmlns:a16="http://schemas.microsoft.com/office/drawing/2014/main" id="{417156EE-72A5-414C-858D-A22B9955411F}"/>
            </a:ext>
          </a:extLst>
        </xdr:cNvPr>
        <xdr:cNvGrpSpPr>
          <a:grpSpLocks/>
        </xdr:cNvGrpSpPr>
      </xdr:nvGrpSpPr>
      <xdr:grpSpPr bwMode="auto">
        <a:xfrm>
          <a:off x="4505325" y="5762625"/>
          <a:ext cx="266700" cy="152400"/>
          <a:chOff x="248" y="601"/>
          <a:chExt cx="28" cy="16"/>
        </a:xfrm>
      </xdr:grpSpPr>
      <xdr:sp macro="" textlink="">
        <xdr:nvSpPr>
          <xdr:cNvPr id="1984" name="Line 12">
            <a:extLst>
              <a:ext uri="{FF2B5EF4-FFF2-40B4-BE49-F238E27FC236}">
                <a16:creationId xmlns:a16="http://schemas.microsoft.com/office/drawing/2014/main" id="{7290ED7B-32A6-4411-A574-EAFE828FA17E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5" name="Freeform 13">
            <a:extLst>
              <a:ext uri="{FF2B5EF4-FFF2-40B4-BE49-F238E27FC236}">
                <a16:creationId xmlns:a16="http://schemas.microsoft.com/office/drawing/2014/main" id="{278E1AC4-D5CE-499A-A739-336D80976B47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6" name="Line 14">
            <a:extLst>
              <a:ext uri="{FF2B5EF4-FFF2-40B4-BE49-F238E27FC236}">
                <a16:creationId xmlns:a16="http://schemas.microsoft.com/office/drawing/2014/main" id="{BD729BEA-2F8E-40F7-918F-D6F093828843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7" name="Freeform 15">
            <a:extLst>
              <a:ext uri="{FF2B5EF4-FFF2-40B4-BE49-F238E27FC236}">
                <a16:creationId xmlns:a16="http://schemas.microsoft.com/office/drawing/2014/main" id="{CED9CF0D-85F9-4AF0-896A-245EB8B04AEC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18</xdr:col>
      <xdr:colOff>0</xdr:colOff>
      <xdr:row>16</xdr:row>
      <xdr:rowOff>142875</xdr:rowOff>
    </xdr:to>
    <xdr:grpSp>
      <xdr:nvGrpSpPr>
        <xdr:cNvPr id="1862" name="Group 20">
          <a:extLst>
            <a:ext uri="{FF2B5EF4-FFF2-40B4-BE49-F238E27FC236}">
              <a16:creationId xmlns:a16="http://schemas.microsoft.com/office/drawing/2014/main" id="{C11444E5-58EF-4771-8BA1-2DCA97B057D0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771900" cy="47625"/>
          <a:chOff x="158" y="715"/>
          <a:chExt cx="33" cy="5"/>
        </a:xfrm>
      </xdr:grpSpPr>
      <xdr:sp macro="" textlink="">
        <xdr:nvSpPr>
          <xdr:cNvPr id="1982" name="Line 21">
            <a:extLst>
              <a:ext uri="{FF2B5EF4-FFF2-40B4-BE49-F238E27FC236}">
                <a16:creationId xmlns:a16="http://schemas.microsoft.com/office/drawing/2014/main" id="{A09A3321-7174-4ABE-B675-287BB4F3DB7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3" name="Line 22">
            <a:extLst>
              <a:ext uri="{FF2B5EF4-FFF2-40B4-BE49-F238E27FC236}">
                <a16:creationId xmlns:a16="http://schemas.microsoft.com/office/drawing/2014/main" id="{72F70A57-E52B-4809-B2A5-C6E2DE0BAF7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1863" name="Group 23">
          <a:extLst>
            <a:ext uri="{FF2B5EF4-FFF2-40B4-BE49-F238E27FC236}">
              <a16:creationId xmlns:a16="http://schemas.microsoft.com/office/drawing/2014/main" id="{1347BFCE-26A9-4670-A43A-EAE266C21239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2514600" cy="47625"/>
          <a:chOff x="158" y="715"/>
          <a:chExt cx="33" cy="5"/>
        </a:xfrm>
      </xdr:grpSpPr>
      <xdr:sp macro="" textlink="">
        <xdr:nvSpPr>
          <xdr:cNvPr id="1980" name="Line 24">
            <a:extLst>
              <a:ext uri="{FF2B5EF4-FFF2-40B4-BE49-F238E27FC236}">
                <a16:creationId xmlns:a16="http://schemas.microsoft.com/office/drawing/2014/main" id="{C82B5378-BBF9-47C0-8DED-714D431C8E2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1" name="Line 25">
            <a:extLst>
              <a:ext uri="{FF2B5EF4-FFF2-40B4-BE49-F238E27FC236}">
                <a16:creationId xmlns:a16="http://schemas.microsoft.com/office/drawing/2014/main" id="{6E061C16-AC54-4343-9EED-76A47B5290E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1864" name="Group 26">
          <a:extLst>
            <a:ext uri="{FF2B5EF4-FFF2-40B4-BE49-F238E27FC236}">
              <a16:creationId xmlns:a16="http://schemas.microsoft.com/office/drawing/2014/main" id="{039F03E6-B7B2-42CC-BEB1-DAAE48BFE652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1978" name="Line 27">
            <a:extLst>
              <a:ext uri="{FF2B5EF4-FFF2-40B4-BE49-F238E27FC236}">
                <a16:creationId xmlns:a16="http://schemas.microsoft.com/office/drawing/2014/main" id="{79DDBCE7-1260-486C-B149-D7A23E82F48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9" name="Line 28">
            <a:extLst>
              <a:ext uri="{FF2B5EF4-FFF2-40B4-BE49-F238E27FC236}">
                <a16:creationId xmlns:a16="http://schemas.microsoft.com/office/drawing/2014/main" id="{96CE5EC2-D281-4042-BB62-525169A8722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247650</xdr:colOff>
      <xdr:row>15</xdr:row>
      <xdr:rowOff>323850</xdr:rowOff>
    </xdr:from>
    <xdr:to>
      <xdr:col>14</xdr:col>
      <xdr:colOff>38100</xdr:colOff>
      <xdr:row>15</xdr:row>
      <xdr:rowOff>381000</xdr:rowOff>
    </xdr:to>
    <xdr:grpSp>
      <xdr:nvGrpSpPr>
        <xdr:cNvPr id="1865" name="Group 29">
          <a:extLst>
            <a:ext uri="{FF2B5EF4-FFF2-40B4-BE49-F238E27FC236}">
              <a16:creationId xmlns:a16="http://schemas.microsoft.com/office/drawing/2014/main" id="{A70FFAE5-6F7D-4D36-A21D-CC324C8EA39B}"/>
            </a:ext>
          </a:extLst>
        </xdr:cNvPr>
        <xdr:cNvGrpSpPr>
          <a:grpSpLocks/>
        </xdr:cNvGrpSpPr>
      </xdr:nvGrpSpPr>
      <xdr:grpSpPr bwMode="auto">
        <a:xfrm>
          <a:off x="3324225" y="5438775"/>
          <a:ext cx="733425" cy="57150"/>
          <a:chOff x="123" y="549"/>
          <a:chExt cx="77" cy="6"/>
        </a:xfrm>
      </xdr:grpSpPr>
      <xdr:sp macro="" textlink="">
        <xdr:nvSpPr>
          <xdr:cNvPr id="1975" name="Line 30">
            <a:extLst>
              <a:ext uri="{FF2B5EF4-FFF2-40B4-BE49-F238E27FC236}">
                <a16:creationId xmlns:a16="http://schemas.microsoft.com/office/drawing/2014/main" id="{9D497FCC-D85B-491F-9F5F-3D287685D9D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6" name="Freeform 31">
            <a:extLst>
              <a:ext uri="{FF2B5EF4-FFF2-40B4-BE49-F238E27FC236}">
                <a16:creationId xmlns:a16="http://schemas.microsoft.com/office/drawing/2014/main" id="{8C3E626D-EBE9-46D1-B75C-AD81775676E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77" name="Freeform 32">
            <a:extLst>
              <a:ext uri="{FF2B5EF4-FFF2-40B4-BE49-F238E27FC236}">
                <a16:creationId xmlns:a16="http://schemas.microsoft.com/office/drawing/2014/main" id="{C7B9BA55-74D8-43EE-BFDB-CB9DF814B1F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123825</xdr:colOff>
      <xdr:row>15</xdr:row>
      <xdr:rowOff>866775</xdr:rowOff>
    </xdr:from>
    <xdr:to>
      <xdr:col>14</xdr:col>
      <xdr:colOff>180975</xdr:colOff>
      <xdr:row>15</xdr:row>
      <xdr:rowOff>1162050</xdr:rowOff>
    </xdr:to>
    <xdr:grpSp>
      <xdr:nvGrpSpPr>
        <xdr:cNvPr id="1866" name="Group 141">
          <a:extLst>
            <a:ext uri="{FF2B5EF4-FFF2-40B4-BE49-F238E27FC236}">
              <a16:creationId xmlns:a16="http://schemas.microsoft.com/office/drawing/2014/main" id="{86B4B404-647F-437C-9FAD-34CF7A2A507B}"/>
            </a:ext>
          </a:extLst>
        </xdr:cNvPr>
        <xdr:cNvGrpSpPr>
          <a:grpSpLocks/>
        </xdr:cNvGrpSpPr>
      </xdr:nvGrpSpPr>
      <xdr:grpSpPr bwMode="auto">
        <a:xfrm>
          <a:off x="3200400" y="5981700"/>
          <a:ext cx="1000125" cy="295275"/>
          <a:chOff x="336" y="628"/>
          <a:chExt cx="105" cy="31"/>
        </a:xfrm>
      </xdr:grpSpPr>
      <xdr:sp macro="" textlink="">
        <xdr:nvSpPr>
          <xdr:cNvPr id="1967" name="Line 34">
            <a:extLst>
              <a:ext uri="{FF2B5EF4-FFF2-40B4-BE49-F238E27FC236}">
                <a16:creationId xmlns:a16="http://schemas.microsoft.com/office/drawing/2014/main" id="{D6811DD8-FDB6-4498-89D5-C15B7E18E6F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3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8" name="Freeform 35">
            <a:extLst>
              <a:ext uri="{FF2B5EF4-FFF2-40B4-BE49-F238E27FC236}">
                <a16:creationId xmlns:a16="http://schemas.microsoft.com/office/drawing/2014/main" id="{8469A7DE-7E7C-4D7D-9602-7E19E1A996D8}"/>
              </a:ext>
            </a:extLst>
          </xdr:cNvPr>
          <xdr:cNvSpPr>
            <a:spLocks/>
          </xdr:cNvSpPr>
        </xdr:nvSpPr>
        <xdr:spPr bwMode="auto">
          <a:xfrm rot="10800000">
            <a:off x="336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69" name="Freeform 36">
            <a:extLst>
              <a:ext uri="{FF2B5EF4-FFF2-40B4-BE49-F238E27FC236}">
                <a16:creationId xmlns:a16="http://schemas.microsoft.com/office/drawing/2014/main" id="{78C91184-ADDB-40AE-BAC3-10B0AAC1262A}"/>
              </a:ext>
            </a:extLst>
          </xdr:cNvPr>
          <xdr:cNvSpPr>
            <a:spLocks/>
          </xdr:cNvSpPr>
        </xdr:nvSpPr>
        <xdr:spPr bwMode="auto">
          <a:xfrm rot="10800000">
            <a:off x="40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70" name="Line 37">
            <a:extLst>
              <a:ext uri="{FF2B5EF4-FFF2-40B4-BE49-F238E27FC236}">
                <a16:creationId xmlns:a16="http://schemas.microsoft.com/office/drawing/2014/main" id="{1D29CA11-6447-49A4-ACFE-B630218F02F5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40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1" name="Freeform 38">
            <a:extLst>
              <a:ext uri="{FF2B5EF4-FFF2-40B4-BE49-F238E27FC236}">
                <a16:creationId xmlns:a16="http://schemas.microsoft.com/office/drawing/2014/main" id="{DB2A6C49-8892-4E35-8F06-BE2F4981416A}"/>
              </a:ext>
            </a:extLst>
          </xdr:cNvPr>
          <xdr:cNvSpPr>
            <a:spLocks/>
          </xdr:cNvSpPr>
        </xdr:nvSpPr>
        <xdr:spPr bwMode="auto">
          <a:xfrm rot="10800000">
            <a:off x="40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72" name="Freeform 39">
            <a:extLst>
              <a:ext uri="{FF2B5EF4-FFF2-40B4-BE49-F238E27FC236}">
                <a16:creationId xmlns:a16="http://schemas.microsoft.com/office/drawing/2014/main" id="{34716ACA-D721-4F34-AD30-5E108BD4F879}"/>
              </a:ext>
            </a:extLst>
          </xdr:cNvPr>
          <xdr:cNvSpPr>
            <a:spLocks/>
          </xdr:cNvSpPr>
        </xdr:nvSpPr>
        <xdr:spPr bwMode="auto">
          <a:xfrm rot="10800000">
            <a:off x="39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73" name="Line 40">
            <a:extLst>
              <a:ext uri="{FF2B5EF4-FFF2-40B4-BE49-F238E27FC236}">
                <a16:creationId xmlns:a16="http://schemas.microsoft.com/office/drawing/2014/main" id="{1A59AF02-05E4-4AD7-A53B-C9031FC1D37F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39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4" name="Freeform 41">
            <a:extLst>
              <a:ext uri="{FF2B5EF4-FFF2-40B4-BE49-F238E27FC236}">
                <a16:creationId xmlns:a16="http://schemas.microsoft.com/office/drawing/2014/main" id="{A0A9B4CF-43D3-4AED-822F-967B85D712C3}"/>
              </a:ext>
            </a:extLst>
          </xdr:cNvPr>
          <xdr:cNvSpPr>
            <a:spLocks/>
          </xdr:cNvSpPr>
        </xdr:nvSpPr>
        <xdr:spPr bwMode="auto">
          <a:xfrm rot="10800000">
            <a:off x="394" y="628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247650</xdr:colOff>
      <xdr:row>15</xdr:row>
      <xdr:rowOff>1247775</xdr:rowOff>
    </xdr:from>
    <xdr:to>
      <xdr:col>14</xdr:col>
      <xdr:colOff>38100</xdr:colOff>
      <xdr:row>15</xdr:row>
      <xdr:rowOff>1304925</xdr:rowOff>
    </xdr:to>
    <xdr:grpSp>
      <xdr:nvGrpSpPr>
        <xdr:cNvPr id="1867" name="Group 42">
          <a:extLst>
            <a:ext uri="{FF2B5EF4-FFF2-40B4-BE49-F238E27FC236}">
              <a16:creationId xmlns:a16="http://schemas.microsoft.com/office/drawing/2014/main" id="{CE84E26E-0459-47C9-B6C7-4241364AA3CD}"/>
            </a:ext>
          </a:extLst>
        </xdr:cNvPr>
        <xdr:cNvGrpSpPr>
          <a:grpSpLocks/>
        </xdr:cNvGrpSpPr>
      </xdr:nvGrpSpPr>
      <xdr:grpSpPr bwMode="auto">
        <a:xfrm>
          <a:off x="3324225" y="6362700"/>
          <a:ext cx="733425" cy="57150"/>
          <a:chOff x="123" y="549"/>
          <a:chExt cx="77" cy="6"/>
        </a:xfrm>
      </xdr:grpSpPr>
      <xdr:sp macro="" textlink="">
        <xdr:nvSpPr>
          <xdr:cNvPr id="1964" name="Line 43">
            <a:extLst>
              <a:ext uri="{FF2B5EF4-FFF2-40B4-BE49-F238E27FC236}">
                <a16:creationId xmlns:a16="http://schemas.microsoft.com/office/drawing/2014/main" id="{FB85687C-E07D-4BC5-85BB-074A3018C56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5" name="Freeform 44">
            <a:extLst>
              <a:ext uri="{FF2B5EF4-FFF2-40B4-BE49-F238E27FC236}">
                <a16:creationId xmlns:a16="http://schemas.microsoft.com/office/drawing/2014/main" id="{7520BBD2-5099-434B-8F5C-76E872BDED6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66" name="Freeform 45">
            <a:extLst>
              <a:ext uri="{FF2B5EF4-FFF2-40B4-BE49-F238E27FC236}">
                <a16:creationId xmlns:a16="http://schemas.microsoft.com/office/drawing/2014/main" id="{3E315890-C0E9-4E07-8CD1-FF8C4A2A46E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133350</xdr:colOff>
      <xdr:row>15</xdr:row>
      <xdr:rowOff>409575</xdr:rowOff>
    </xdr:from>
    <xdr:to>
      <xdr:col>4</xdr:col>
      <xdr:colOff>190500</xdr:colOff>
      <xdr:row>15</xdr:row>
      <xdr:rowOff>1143000</xdr:rowOff>
    </xdr:to>
    <xdr:grpSp>
      <xdr:nvGrpSpPr>
        <xdr:cNvPr id="1868" name="Group 46">
          <a:extLst>
            <a:ext uri="{FF2B5EF4-FFF2-40B4-BE49-F238E27FC236}">
              <a16:creationId xmlns:a16="http://schemas.microsoft.com/office/drawing/2014/main" id="{BD97622E-FAC1-474B-8E1F-08ADA47A9B11}"/>
            </a:ext>
          </a:extLst>
        </xdr:cNvPr>
        <xdr:cNvGrpSpPr>
          <a:grpSpLocks/>
        </xdr:cNvGrpSpPr>
      </xdr:nvGrpSpPr>
      <xdr:grpSpPr bwMode="auto">
        <a:xfrm rot="5400000">
          <a:off x="671512" y="5862638"/>
          <a:ext cx="733425" cy="57150"/>
          <a:chOff x="123" y="549"/>
          <a:chExt cx="77" cy="6"/>
        </a:xfrm>
      </xdr:grpSpPr>
      <xdr:sp macro="" textlink="">
        <xdr:nvSpPr>
          <xdr:cNvPr id="1961" name="Line 47">
            <a:extLst>
              <a:ext uri="{FF2B5EF4-FFF2-40B4-BE49-F238E27FC236}">
                <a16:creationId xmlns:a16="http://schemas.microsoft.com/office/drawing/2014/main" id="{77CD0AEF-CCE7-44DD-A4EF-B88AE48AF58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2" name="Freeform 48">
            <a:extLst>
              <a:ext uri="{FF2B5EF4-FFF2-40B4-BE49-F238E27FC236}">
                <a16:creationId xmlns:a16="http://schemas.microsoft.com/office/drawing/2014/main" id="{BF7A3947-8123-466F-93C1-542ABF2E7E1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63" name="Freeform 49">
            <a:extLst>
              <a:ext uri="{FF2B5EF4-FFF2-40B4-BE49-F238E27FC236}">
                <a16:creationId xmlns:a16="http://schemas.microsoft.com/office/drawing/2014/main" id="{F57256E4-A49F-42AE-A320-EEB9314789F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15</xdr:row>
      <xdr:rowOff>276225</xdr:rowOff>
    </xdr:from>
    <xdr:to>
      <xdr:col>5</xdr:col>
      <xdr:colOff>304800</xdr:colOff>
      <xdr:row>15</xdr:row>
      <xdr:rowOff>1276350</xdr:rowOff>
    </xdr:to>
    <xdr:grpSp>
      <xdr:nvGrpSpPr>
        <xdr:cNvPr id="1869" name="Group 140">
          <a:extLst>
            <a:ext uri="{FF2B5EF4-FFF2-40B4-BE49-F238E27FC236}">
              <a16:creationId xmlns:a16="http://schemas.microsoft.com/office/drawing/2014/main" id="{2BD1E53E-D014-40B5-A964-36BABFC64A0E}"/>
            </a:ext>
          </a:extLst>
        </xdr:cNvPr>
        <xdr:cNvGrpSpPr>
          <a:grpSpLocks/>
        </xdr:cNvGrpSpPr>
      </xdr:nvGrpSpPr>
      <xdr:grpSpPr bwMode="auto">
        <a:xfrm>
          <a:off x="1190625" y="5391150"/>
          <a:ext cx="304800" cy="1000125"/>
          <a:chOff x="125" y="566"/>
          <a:chExt cx="32" cy="105"/>
        </a:xfrm>
      </xdr:grpSpPr>
      <xdr:sp macro="" textlink="">
        <xdr:nvSpPr>
          <xdr:cNvPr id="1953" name="Line 51">
            <a:extLst>
              <a:ext uri="{FF2B5EF4-FFF2-40B4-BE49-F238E27FC236}">
                <a16:creationId xmlns:a16="http://schemas.microsoft.com/office/drawing/2014/main" id="{DDFE2436-B10B-42B4-AA38-0551E5A94CDC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89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54" name="Freeform 52">
            <a:extLst>
              <a:ext uri="{FF2B5EF4-FFF2-40B4-BE49-F238E27FC236}">
                <a16:creationId xmlns:a16="http://schemas.microsoft.com/office/drawing/2014/main" id="{227C0A05-DC2A-4679-BCC3-B80A0D61A59F}"/>
              </a:ext>
            </a:extLst>
          </xdr:cNvPr>
          <xdr:cNvSpPr>
            <a:spLocks/>
          </xdr:cNvSpPr>
        </xdr:nvSpPr>
        <xdr:spPr bwMode="auto">
          <a:xfrm rot="-5400000">
            <a:off x="137" y="56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5" name="Freeform 53">
            <a:extLst>
              <a:ext uri="{FF2B5EF4-FFF2-40B4-BE49-F238E27FC236}">
                <a16:creationId xmlns:a16="http://schemas.microsoft.com/office/drawing/2014/main" id="{6DD8D52F-0CB4-4E8C-8D9E-EDBFD479E706}"/>
              </a:ext>
            </a:extLst>
          </xdr:cNvPr>
          <xdr:cNvSpPr>
            <a:spLocks/>
          </xdr:cNvSpPr>
        </xdr:nvSpPr>
        <xdr:spPr bwMode="auto">
          <a:xfrm rot="-5400000">
            <a:off x="133" y="639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6" name="Line 54">
            <a:extLst>
              <a:ext uri="{FF2B5EF4-FFF2-40B4-BE49-F238E27FC236}">
                <a16:creationId xmlns:a16="http://schemas.microsoft.com/office/drawing/2014/main" id="{BCE353CE-988F-4BF6-B049-F61D76D1139D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1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57" name="Freeform 55">
            <a:extLst>
              <a:ext uri="{FF2B5EF4-FFF2-40B4-BE49-F238E27FC236}">
                <a16:creationId xmlns:a16="http://schemas.microsoft.com/office/drawing/2014/main" id="{29E5DFB8-63D6-4831-B154-F54ED2DE0F73}"/>
              </a:ext>
            </a:extLst>
          </xdr:cNvPr>
          <xdr:cNvSpPr>
            <a:spLocks/>
          </xdr:cNvSpPr>
        </xdr:nvSpPr>
        <xdr:spPr bwMode="auto">
          <a:xfrm rot="-5400000">
            <a:off x="125" y="63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8" name="Freeform 56">
            <a:extLst>
              <a:ext uri="{FF2B5EF4-FFF2-40B4-BE49-F238E27FC236}">
                <a16:creationId xmlns:a16="http://schemas.microsoft.com/office/drawing/2014/main" id="{1C4FA548-FAE0-4501-85BF-E6DB0D73FBD8}"/>
              </a:ext>
            </a:extLst>
          </xdr:cNvPr>
          <xdr:cNvSpPr>
            <a:spLocks/>
          </xdr:cNvSpPr>
        </xdr:nvSpPr>
        <xdr:spPr bwMode="auto">
          <a:xfrm rot="-5400000">
            <a:off x="141" y="628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9" name="Line 57">
            <a:extLst>
              <a:ext uri="{FF2B5EF4-FFF2-40B4-BE49-F238E27FC236}">
                <a16:creationId xmlns:a16="http://schemas.microsoft.com/office/drawing/2014/main" id="{8931971A-B7A8-479E-98C7-7FBC049BC21E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152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0" name="Freeform 58">
            <a:extLst>
              <a:ext uri="{FF2B5EF4-FFF2-40B4-BE49-F238E27FC236}">
                <a16:creationId xmlns:a16="http://schemas.microsoft.com/office/drawing/2014/main" id="{B39F3260-EE5D-484D-8F3C-55DDF3A6889A}"/>
              </a:ext>
            </a:extLst>
          </xdr:cNvPr>
          <xdr:cNvSpPr>
            <a:spLocks/>
          </xdr:cNvSpPr>
        </xdr:nvSpPr>
        <xdr:spPr bwMode="auto">
          <a:xfrm rot="-5400000">
            <a:off x="150" y="62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133350</xdr:colOff>
      <xdr:row>15</xdr:row>
      <xdr:rowOff>409575</xdr:rowOff>
    </xdr:from>
    <xdr:to>
      <xdr:col>7</xdr:col>
      <xdr:colOff>190500</xdr:colOff>
      <xdr:row>15</xdr:row>
      <xdr:rowOff>1143000</xdr:rowOff>
    </xdr:to>
    <xdr:grpSp>
      <xdr:nvGrpSpPr>
        <xdr:cNvPr id="1870" name="Group 59">
          <a:extLst>
            <a:ext uri="{FF2B5EF4-FFF2-40B4-BE49-F238E27FC236}">
              <a16:creationId xmlns:a16="http://schemas.microsoft.com/office/drawing/2014/main" id="{74582B9D-6693-4817-8468-3073B05B2B62}"/>
            </a:ext>
          </a:extLst>
        </xdr:cNvPr>
        <xdr:cNvGrpSpPr>
          <a:grpSpLocks/>
        </xdr:cNvGrpSpPr>
      </xdr:nvGrpSpPr>
      <xdr:grpSpPr bwMode="auto">
        <a:xfrm rot="5400000">
          <a:off x="1614487" y="5862638"/>
          <a:ext cx="733425" cy="57150"/>
          <a:chOff x="123" y="549"/>
          <a:chExt cx="77" cy="6"/>
        </a:xfrm>
      </xdr:grpSpPr>
      <xdr:sp macro="" textlink="">
        <xdr:nvSpPr>
          <xdr:cNvPr id="1950" name="Line 60">
            <a:extLst>
              <a:ext uri="{FF2B5EF4-FFF2-40B4-BE49-F238E27FC236}">
                <a16:creationId xmlns:a16="http://schemas.microsoft.com/office/drawing/2014/main" id="{CBFCCB4A-1923-419E-8272-B2321422CC2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51" name="Freeform 61">
            <a:extLst>
              <a:ext uri="{FF2B5EF4-FFF2-40B4-BE49-F238E27FC236}">
                <a16:creationId xmlns:a16="http://schemas.microsoft.com/office/drawing/2014/main" id="{F5AEAB54-7FD2-4F05-AA37-D9984B42440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52" name="Freeform 62">
            <a:extLst>
              <a:ext uri="{FF2B5EF4-FFF2-40B4-BE49-F238E27FC236}">
                <a16:creationId xmlns:a16="http://schemas.microsoft.com/office/drawing/2014/main" id="{CA4847C0-45D6-437E-96BD-3F7C1B2C1B8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38100</xdr:colOff>
      <xdr:row>15</xdr:row>
      <xdr:rowOff>285750</xdr:rowOff>
    </xdr:from>
    <xdr:to>
      <xdr:col>7</xdr:col>
      <xdr:colOff>28575</xdr:colOff>
      <xdr:row>15</xdr:row>
      <xdr:rowOff>1285875</xdr:rowOff>
    </xdr:to>
    <xdr:grpSp>
      <xdr:nvGrpSpPr>
        <xdr:cNvPr id="1871" name="Group 63">
          <a:extLst>
            <a:ext uri="{FF2B5EF4-FFF2-40B4-BE49-F238E27FC236}">
              <a16:creationId xmlns:a16="http://schemas.microsoft.com/office/drawing/2014/main" id="{625EC107-A3AC-4151-8B78-728F54233507}"/>
            </a:ext>
          </a:extLst>
        </xdr:cNvPr>
        <xdr:cNvGrpSpPr>
          <a:grpSpLocks/>
        </xdr:cNvGrpSpPr>
      </xdr:nvGrpSpPr>
      <xdr:grpSpPr bwMode="auto">
        <a:xfrm rot="5400000">
          <a:off x="1195387" y="5748338"/>
          <a:ext cx="1000125" cy="304800"/>
          <a:chOff x="110" y="567"/>
          <a:chExt cx="105" cy="32"/>
        </a:xfrm>
      </xdr:grpSpPr>
      <xdr:sp macro="" textlink="">
        <xdr:nvSpPr>
          <xdr:cNvPr id="1942" name="Line 64">
            <a:extLst>
              <a:ext uri="{FF2B5EF4-FFF2-40B4-BE49-F238E27FC236}">
                <a16:creationId xmlns:a16="http://schemas.microsoft.com/office/drawing/2014/main" id="{D5260E5B-6725-4613-8751-CF0B5F11AE08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3" name="Freeform 65">
            <a:extLst>
              <a:ext uri="{FF2B5EF4-FFF2-40B4-BE49-F238E27FC236}">
                <a16:creationId xmlns:a16="http://schemas.microsoft.com/office/drawing/2014/main" id="{D2DE00FB-6230-43E6-BCE7-9C69193A2182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44" name="Freeform 66">
            <a:extLst>
              <a:ext uri="{FF2B5EF4-FFF2-40B4-BE49-F238E27FC236}">
                <a16:creationId xmlns:a16="http://schemas.microsoft.com/office/drawing/2014/main" id="{7BA1FF1E-3304-4384-87E1-65DE32CDE30C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45" name="Line 67">
            <a:extLst>
              <a:ext uri="{FF2B5EF4-FFF2-40B4-BE49-F238E27FC236}">
                <a16:creationId xmlns:a16="http://schemas.microsoft.com/office/drawing/2014/main" id="{E4A3364B-7E83-4B16-8642-3D860368624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6" name="Freeform 68">
            <a:extLst>
              <a:ext uri="{FF2B5EF4-FFF2-40B4-BE49-F238E27FC236}">
                <a16:creationId xmlns:a16="http://schemas.microsoft.com/office/drawing/2014/main" id="{EBCAD3A3-D1D8-48C3-A14A-B87C3F01FD2D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47" name="Freeform 69">
            <a:extLst>
              <a:ext uri="{FF2B5EF4-FFF2-40B4-BE49-F238E27FC236}">
                <a16:creationId xmlns:a16="http://schemas.microsoft.com/office/drawing/2014/main" id="{5F5333C2-D356-4941-BAD2-A3DF93D345AF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48" name="Line 70">
            <a:extLst>
              <a:ext uri="{FF2B5EF4-FFF2-40B4-BE49-F238E27FC236}">
                <a16:creationId xmlns:a16="http://schemas.microsoft.com/office/drawing/2014/main" id="{6AB70C8E-F926-40D3-ACD8-543899484683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9" name="Freeform 71">
            <a:extLst>
              <a:ext uri="{FF2B5EF4-FFF2-40B4-BE49-F238E27FC236}">
                <a16:creationId xmlns:a16="http://schemas.microsoft.com/office/drawing/2014/main" id="{60B33F57-7439-47BC-BA3F-0AAA0CF48391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190500</xdr:colOff>
      <xdr:row>15</xdr:row>
      <xdr:rowOff>857250</xdr:rowOff>
    </xdr:from>
    <xdr:to>
      <xdr:col>17</xdr:col>
      <xdr:colOff>142875</xdr:colOff>
      <xdr:row>15</xdr:row>
      <xdr:rowOff>1009650</xdr:rowOff>
    </xdr:to>
    <xdr:grpSp>
      <xdr:nvGrpSpPr>
        <xdr:cNvPr id="1872" name="Group 72">
          <a:extLst>
            <a:ext uri="{FF2B5EF4-FFF2-40B4-BE49-F238E27FC236}">
              <a16:creationId xmlns:a16="http://schemas.microsoft.com/office/drawing/2014/main" id="{9E2BC673-DFF8-43B8-A6A4-F7A27D5B17A3}"/>
            </a:ext>
          </a:extLst>
        </xdr:cNvPr>
        <xdr:cNvGrpSpPr>
          <a:grpSpLocks/>
        </xdr:cNvGrpSpPr>
      </xdr:nvGrpSpPr>
      <xdr:grpSpPr bwMode="auto">
        <a:xfrm rot="10800000">
          <a:off x="4838700" y="5972175"/>
          <a:ext cx="266700" cy="152400"/>
          <a:chOff x="248" y="601"/>
          <a:chExt cx="28" cy="16"/>
        </a:xfrm>
      </xdr:grpSpPr>
      <xdr:sp macro="" textlink="">
        <xdr:nvSpPr>
          <xdr:cNvPr id="1938" name="Line 73">
            <a:extLst>
              <a:ext uri="{FF2B5EF4-FFF2-40B4-BE49-F238E27FC236}">
                <a16:creationId xmlns:a16="http://schemas.microsoft.com/office/drawing/2014/main" id="{CEA9FC79-6DE3-47FC-B914-04083ECB6911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9" name="Freeform 74">
            <a:extLst>
              <a:ext uri="{FF2B5EF4-FFF2-40B4-BE49-F238E27FC236}">
                <a16:creationId xmlns:a16="http://schemas.microsoft.com/office/drawing/2014/main" id="{77C412A9-DB9B-4028-BA82-E80CF6EF6A48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40" name="Line 75">
            <a:extLst>
              <a:ext uri="{FF2B5EF4-FFF2-40B4-BE49-F238E27FC236}">
                <a16:creationId xmlns:a16="http://schemas.microsoft.com/office/drawing/2014/main" id="{22D8B65F-509C-460D-8248-A4B1BDC3EA0A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1" name="Freeform 76">
            <a:extLst>
              <a:ext uri="{FF2B5EF4-FFF2-40B4-BE49-F238E27FC236}">
                <a16:creationId xmlns:a16="http://schemas.microsoft.com/office/drawing/2014/main" id="{65EF6658-9C0F-40B2-A4ED-2146C00E9060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228600</xdr:colOff>
      <xdr:row>15</xdr:row>
      <xdr:rowOff>466725</xdr:rowOff>
    </xdr:from>
    <xdr:to>
      <xdr:col>10</xdr:col>
      <xdr:colOff>76200</xdr:colOff>
      <xdr:row>15</xdr:row>
      <xdr:rowOff>723900</xdr:rowOff>
    </xdr:to>
    <xdr:grpSp>
      <xdr:nvGrpSpPr>
        <xdr:cNvPr id="1873" name="Group 77">
          <a:extLst>
            <a:ext uri="{FF2B5EF4-FFF2-40B4-BE49-F238E27FC236}">
              <a16:creationId xmlns:a16="http://schemas.microsoft.com/office/drawing/2014/main" id="{57B5BB4A-1124-43F7-A003-848169A303F1}"/>
            </a:ext>
          </a:extLst>
        </xdr:cNvPr>
        <xdr:cNvGrpSpPr>
          <a:grpSpLocks/>
        </xdr:cNvGrpSpPr>
      </xdr:nvGrpSpPr>
      <xdr:grpSpPr bwMode="auto">
        <a:xfrm>
          <a:off x="2676525" y="5581650"/>
          <a:ext cx="161925" cy="257175"/>
          <a:chOff x="506" y="578"/>
          <a:chExt cx="17" cy="27"/>
        </a:xfrm>
      </xdr:grpSpPr>
      <xdr:sp macro="" textlink="">
        <xdr:nvSpPr>
          <xdr:cNvPr id="1934" name="Freeform 78">
            <a:extLst>
              <a:ext uri="{FF2B5EF4-FFF2-40B4-BE49-F238E27FC236}">
                <a16:creationId xmlns:a16="http://schemas.microsoft.com/office/drawing/2014/main" id="{C9B3A2CE-B4B8-4BD5-9F89-FAFDB82DFE20}"/>
              </a:ext>
            </a:extLst>
          </xdr:cNvPr>
          <xdr:cNvSpPr>
            <a:spLocks/>
          </xdr:cNvSpPr>
        </xdr:nvSpPr>
        <xdr:spPr bwMode="auto">
          <a:xfrm rot="5374774">
            <a:off x="514" y="592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35" name="Line 79">
            <a:extLst>
              <a:ext uri="{FF2B5EF4-FFF2-40B4-BE49-F238E27FC236}">
                <a16:creationId xmlns:a16="http://schemas.microsoft.com/office/drawing/2014/main" id="{D45EBEF7-A797-4BD4-8461-E08052EB316A}"/>
              </a:ext>
            </a:extLst>
          </xdr:cNvPr>
          <xdr:cNvSpPr>
            <a:spLocks noChangeShapeType="1"/>
          </xdr:cNvSpPr>
        </xdr:nvSpPr>
        <xdr:spPr bwMode="auto">
          <a:xfrm rot="5374774">
            <a:off x="511" y="597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6" name="Freeform 80">
            <a:extLst>
              <a:ext uri="{FF2B5EF4-FFF2-40B4-BE49-F238E27FC236}">
                <a16:creationId xmlns:a16="http://schemas.microsoft.com/office/drawing/2014/main" id="{0BAF78D6-C17F-4327-A1DC-D2F5014ECD4D}"/>
              </a:ext>
            </a:extLst>
          </xdr:cNvPr>
          <xdr:cNvSpPr>
            <a:spLocks/>
          </xdr:cNvSpPr>
        </xdr:nvSpPr>
        <xdr:spPr bwMode="auto">
          <a:xfrm rot="5374774">
            <a:off x="505" y="598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37" name="Line 81">
            <a:extLst>
              <a:ext uri="{FF2B5EF4-FFF2-40B4-BE49-F238E27FC236}">
                <a16:creationId xmlns:a16="http://schemas.microsoft.com/office/drawing/2014/main" id="{4A3EED33-4023-4884-9964-03E83AD55AF4}"/>
              </a:ext>
            </a:extLst>
          </xdr:cNvPr>
          <xdr:cNvSpPr>
            <a:spLocks noChangeShapeType="1"/>
          </xdr:cNvSpPr>
        </xdr:nvSpPr>
        <xdr:spPr bwMode="auto">
          <a:xfrm>
            <a:off x="523" y="57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238125</xdr:colOff>
      <xdr:row>15</xdr:row>
      <xdr:rowOff>847725</xdr:rowOff>
    </xdr:from>
    <xdr:to>
      <xdr:col>9</xdr:col>
      <xdr:colOff>85725</xdr:colOff>
      <xdr:row>15</xdr:row>
      <xdr:rowOff>1104900</xdr:rowOff>
    </xdr:to>
    <xdr:grpSp>
      <xdr:nvGrpSpPr>
        <xdr:cNvPr id="1874" name="Group 82">
          <a:extLst>
            <a:ext uri="{FF2B5EF4-FFF2-40B4-BE49-F238E27FC236}">
              <a16:creationId xmlns:a16="http://schemas.microsoft.com/office/drawing/2014/main" id="{4B72593A-F54D-4329-9095-4DDB4AEAC664}"/>
            </a:ext>
          </a:extLst>
        </xdr:cNvPr>
        <xdr:cNvGrpSpPr>
          <a:grpSpLocks/>
        </xdr:cNvGrpSpPr>
      </xdr:nvGrpSpPr>
      <xdr:grpSpPr bwMode="auto">
        <a:xfrm>
          <a:off x="2371725" y="5962650"/>
          <a:ext cx="161925" cy="257175"/>
          <a:chOff x="471" y="616"/>
          <a:chExt cx="17" cy="27"/>
        </a:xfrm>
      </xdr:grpSpPr>
      <xdr:sp macro="" textlink="">
        <xdr:nvSpPr>
          <xdr:cNvPr id="1930" name="Freeform 83">
            <a:extLst>
              <a:ext uri="{FF2B5EF4-FFF2-40B4-BE49-F238E27FC236}">
                <a16:creationId xmlns:a16="http://schemas.microsoft.com/office/drawing/2014/main" id="{222F42DE-55D9-4CB3-BED5-39FF581221B8}"/>
              </a:ext>
            </a:extLst>
          </xdr:cNvPr>
          <xdr:cNvSpPr>
            <a:spLocks/>
          </xdr:cNvSpPr>
        </xdr:nvSpPr>
        <xdr:spPr bwMode="auto">
          <a:xfrm rot="-5425225">
            <a:off x="471" y="620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31" name="Line 84">
            <a:extLst>
              <a:ext uri="{FF2B5EF4-FFF2-40B4-BE49-F238E27FC236}">
                <a16:creationId xmlns:a16="http://schemas.microsoft.com/office/drawing/2014/main" id="{380FF211-01BD-4D44-B70A-A5C82E11B820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2" name="Freeform 85">
            <a:extLst>
              <a:ext uri="{FF2B5EF4-FFF2-40B4-BE49-F238E27FC236}">
                <a16:creationId xmlns:a16="http://schemas.microsoft.com/office/drawing/2014/main" id="{53384CC7-CF7C-43E8-AEA8-BD14AA15064C}"/>
              </a:ext>
            </a:extLst>
          </xdr:cNvPr>
          <xdr:cNvSpPr>
            <a:spLocks/>
          </xdr:cNvSpPr>
        </xdr:nvSpPr>
        <xdr:spPr bwMode="auto">
          <a:xfrm rot="-5425225">
            <a:off x="481" y="617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33" name="Line 86">
            <a:extLst>
              <a:ext uri="{FF2B5EF4-FFF2-40B4-BE49-F238E27FC236}">
                <a16:creationId xmlns:a16="http://schemas.microsoft.com/office/drawing/2014/main" id="{1FAA2B09-E114-410D-ABE5-C5D07981CA6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20</xdr:row>
      <xdr:rowOff>47625</xdr:rowOff>
    </xdr:from>
    <xdr:to>
      <xdr:col>15</xdr:col>
      <xdr:colOff>0</xdr:colOff>
      <xdr:row>20</xdr:row>
      <xdr:rowOff>190500</xdr:rowOff>
    </xdr:to>
    <xdr:sp macro="" textlink="">
      <xdr:nvSpPr>
        <xdr:cNvPr id="1875" name="Freeform 91">
          <a:extLst>
            <a:ext uri="{FF2B5EF4-FFF2-40B4-BE49-F238E27FC236}">
              <a16:creationId xmlns:a16="http://schemas.microsoft.com/office/drawing/2014/main" id="{6177A20E-93EA-4E1D-A242-715D6DF840B1}"/>
            </a:ext>
          </a:extLst>
        </xdr:cNvPr>
        <xdr:cNvSpPr>
          <a:spLocks/>
        </xdr:cNvSpPr>
      </xdr:nvSpPr>
      <xdr:spPr bwMode="auto">
        <a:xfrm>
          <a:off x="4038600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47625</xdr:rowOff>
    </xdr:from>
    <xdr:to>
      <xdr:col>12</xdr:col>
      <xdr:colOff>276225</xdr:colOff>
      <xdr:row>19</xdr:row>
      <xdr:rowOff>200025</xdr:rowOff>
    </xdr:to>
    <xdr:grpSp>
      <xdr:nvGrpSpPr>
        <xdr:cNvPr id="1876" name="Group 92">
          <a:extLst>
            <a:ext uri="{FF2B5EF4-FFF2-40B4-BE49-F238E27FC236}">
              <a16:creationId xmlns:a16="http://schemas.microsoft.com/office/drawing/2014/main" id="{6EDF4154-105E-4A49-BABB-1D96CD8A77EA}"/>
            </a:ext>
          </a:extLst>
        </xdr:cNvPr>
        <xdr:cNvGrpSpPr>
          <a:grpSpLocks/>
        </xdr:cNvGrpSpPr>
      </xdr:nvGrpSpPr>
      <xdr:grpSpPr bwMode="auto">
        <a:xfrm>
          <a:off x="3448050" y="7429500"/>
          <a:ext cx="219075" cy="152400"/>
          <a:chOff x="132" y="708"/>
          <a:chExt cx="20" cy="14"/>
        </a:xfrm>
      </xdr:grpSpPr>
      <xdr:sp macro="" textlink="">
        <xdr:nvSpPr>
          <xdr:cNvPr id="1926" name="Line 93">
            <a:extLst>
              <a:ext uri="{FF2B5EF4-FFF2-40B4-BE49-F238E27FC236}">
                <a16:creationId xmlns:a16="http://schemas.microsoft.com/office/drawing/2014/main" id="{B8B64F22-35CE-4AB1-85C7-5EBF6EF632F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7" name="Line 94">
            <a:extLst>
              <a:ext uri="{FF2B5EF4-FFF2-40B4-BE49-F238E27FC236}">
                <a16:creationId xmlns:a16="http://schemas.microsoft.com/office/drawing/2014/main" id="{E6D9BFF8-9A88-4E6D-A56F-30C8192112F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8" name="Line 95">
            <a:extLst>
              <a:ext uri="{FF2B5EF4-FFF2-40B4-BE49-F238E27FC236}">
                <a16:creationId xmlns:a16="http://schemas.microsoft.com/office/drawing/2014/main" id="{192B7B6B-863B-492C-BF70-19447D714ED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9" name="Line 96">
            <a:extLst>
              <a:ext uri="{FF2B5EF4-FFF2-40B4-BE49-F238E27FC236}">
                <a16:creationId xmlns:a16="http://schemas.microsoft.com/office/drawing/2014/main" id="{0E4EA5B3-BB71-4525-9D35-77202ECA6DE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104775</xdr:rowOff>
    </xdr:from>
    <xdr:to>
      <xdr:col>18</xdr:col>
      <xdr:colOff>9525</xdr:colOff>
      <xdr:row>19</xdr:row>
      <xdr:rowOff>152400</xdr:rowOff>
    </xdr:to>
    <xdr:grpSp>
      <xdr:nvGrpSpPr>
        <xdr:cNvPr id="1877" name="Group 97">
          <a:extLst>
            <a:ext uri="{FF2B5EF4-FFF2-40B4-BE49-F238E27FC236}">
              <a16:creationId xmlns:a16="http://schemas.microsoft.com/office/drawing/2014/main" id="{653B778A-0C70-43AE-B149-480A8E8D0ADB}"/>
            </a:ext>
          </a:extLst>
        </xdr:cNvPr>
        <xdr:cNvGrpSpPr>
          <a:grpSpLocks/>
        </xdr:cNvGrpSpPr>
      </xdr:nvGrpSpPr>
      <xdr:grpSpPr bwMode="auto">
        <a:xfrm>
          <a:off x="3714750" y="7486650"/>
          <a:ext cx="1571625" cy="47625"/>
          <a:chOff x="158" y="715"/>
          <a:chExt cx="33" cy="5"/>
        </a:xfrm>
      </xdr:grpSpPr>
      <xdr:sp macro="" textlink="">
        <xdr:nvSpPr>
          <xdr:cNvPr id="1924" name="Line 98">
            <a:extLst>
              <a:ext uri="{FF2B5EF4-FFF2-40B4-BE49-F238E27FC236}">
                <a16:creationId xmlns:a16="http://schemas.microsoft.com/office/drawing/2014/main" id="{D8152BEF-4FBA-43B3-B7E2-B100C39C9DB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5" name="Line 99">
            <a:extLst>
              <a:ext uri="{FF2B5EF4-FFF2-40B4-BE49-F238E27FC236}">
                <a16:creationId xmlns:a16="http://schemas.microsoft.com/office/drawing/2014/main" id="{80E2DA61-106B-4DBC-8D2C-84033360610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9525</xdr:colOff>
      <xdr:row>20</xdr:row>
      <xdr:rowOff>104775</xdr:rowOff>
    </xdr:from>
    <xdr:to>
      <xdr:col>18</xdr:col>
      <xdr:colOff>9525</xdr:colOff>
      <xdr:row>20</xdr:row>
      <xdr:rowOff>152400</xdr:rowOff>
    </xdr:to>
    <xdr:grpSp>
      <xdr:nvGrpSpPr>
        <xdr:cNvPr id="1878" name="Group 100">
          <a:extLst>
            <a:ext uri="{FF2B5EF4-FFF2-40B4-BE49-F238E27FC236}">
              <a16:creationId xmlns:a16="http://schemas.microsoft.com/office/drawing/2014/main" id="{535F0617-F68C-4024-AD85-9725915FC868}"/>
            </a:ext>
          </a:extLst>
        </xdr:cNvPr>
        <xdr:cNvGrpSpPr>
          <a:grpSpLocks/>
        </xdr:cNvGrpSpPr>
      </xdr:nvGrpSpPr>
      <xdr:grpSpPr bwMode="auto">
        <a:xfrm>
          <a:off x="4972050" y="7715250"/>
          <a:ext cx="314325" cy="47625"/>
          <a:chOff x="158" y="715"/>
          <a:chExt cx="33" cy="5"/>
        </a:xfrm>
      </xdr:grpSpPr>
      <xdr:sp macro="" textlink="">
        <xdr:nvSpPr>
          <xdr:cNvPr id="1922" name="Line 101">
            <a:extLst>
              <a:ext uri="{FF2B5EF4-FFF2-40B4-BE49-F238E27FC236}">
                <a16:creationId xmlns:a16="http://schemas.microsoft.com/office/drawing/2014/main" id="{F63071CD-35A5-41D4-89A3-5636F44C10B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3" name="Line 102">
            <a:extLst>
              <a:ext uri="{FF2B5EF4-FFF2-40B4-BE49-F238E27FC236}">
                <a16:creationId xmlns:a16="http://schemas.microsoft.com/office/drawing/2014/main" id="{F8EA3F75-0779-45E4-AD04-799AF974A13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20</xdr:row>
      <xdr:rowOff>104775</xdr:rowOff>
    </xdr:from>
    <xdr:to>
      <xdr:col>16</xdr:col>
      <xdr:colOff>9525</xdr:colOff>
      <xdr:row>20</xdr:row>
      <xdr:rowOff>152400</xdr:rowOff>
    </xdr:to>
    <xdr:grpSp>
      <xdr:nvGrpSpPr>
        <xdr:cNvPr id="1879" name="Group 103">
          <a:extLst>
            <a:ext uri="{FF2B5EF4-FFF2-40B4-BE49-F238E27FC236}">
              <a16:creationId xmlns:a16="http://schemas.microsoft.com/office/drawing/2014/main" id="{B528BEEE-8DFB-49B3-B398-B507A499350C}"/>
            </a:ext>
          </a:extLst>
        </xdr:cNvPr>
        <xdr:cNvGrpSpPr>
          <a:grpSpLocks/>
        </xdr:cNvGrpSpPr>
      </xdr:nvGrpSpPr>
      <xdr:grpSpPr bwMode="auto">
        <a:xfrm>
          <a:off x="4343400" y="7715250"/>
          <a:ext cx="314325" cy="47625"/>
          <a:chOff x="158" y="715"/>
          <a:chExt cx="33" cy="5"/>
        </a:xfrm>
      </xdr:grpSpPr>
      <xdr:sp macro="" textlink="">
        <xdr:nvSpPr>
          <xdr:cNvPr id="1920" name="Line 104">
            <a:extLst>
              <a:ext uri="{FF2B5EF4-FFF2-40B4-BE49-F238E27FC236}">
                <a16:creationId xmlns:a16="http://schemas.microsoft.com/office/drawing/2014/main" id="{60D6EF8C-D897-4B19-A2BB-8934E74C76C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1" name="Line 105">
            <a:extLst>
              <a:ext uri="{FF2B5EF4-FFF2-40B4-BE49-F238E27FC236}">
                <a16:creationId xmlns:a16="http://schemas.microsoft.com/office/drawing/2014/main" id="{46186453-78FA-42E9-B7AE-B096831A9C3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114300</xdr:rowOff>
    </xdr:from>
    <xdr:to>
      <xdr:col>11</xdr:col>
      <xdr:colOff>9525</xdr:colOff>
      <xdr:row>19</xdr:row>
      <xdr:rowOff>161925</xdr:rowOff>
    </xdr:to>
    <xdr:grpSp>
      <xdr:nvGrpSpPr>
        <xdr:cNvPr id="1880" name="Group 106">
          <a:extLst>
            <a:ext uri="{FF2B5EF4-FFF2-40B4-BE49-F238E27FC236}">
              <a16:creationId xmlns:a16="http://schemas.microsoft.com/office/drawing/2014/main" id="{D8269BA9-C53E-468D-863B-2DFB9C6B5234}"/>
            </a:ext>
          </a:extLst>
        </xdr:cNvPr>
        <xdr:cNvGrpSpPr>
          <a:grpSpLocks/>
        </xdr:cNvGrpSpPr>
      </xdr:nvGrpSpPr>
      <xdr:grpSpPr bwMode="auto">
        <a:xfrm>
          <a:off x="885825" y="7496175"/>
          <a:ext cx="2200275" cy="47625"/>
          <a:chOff x="158" y="715"/>
          <a:chExt cx="33" cy="5"/>
        </a:xfrm>
      </xdr:grpSpPr>
      <xdr:sp macro="" textlink="">
        <xdr:nvSpPr>
          <xdr:cNvPr id="1918" name="Line 107">
            <a:extLst>
              <a:ext uri="{FF2B5EF4-FFF2-40B4-BE49-F238E27FC236}">
                <a16:creationId xmlns:a16="http://schemas.microsoft.com/office/drawing/2014/main" id="{B67D6390-B048-40F6-9D8D-566601403CC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9" name="Line 108">
            <a:extLst>
              <a:ext uri="{FF2B5EF4-FFF2-40B4-BE49-F238E27FC236}">
                <a16:creationId xmlns:a16="http://schemas.microsoft.com/office/drawing/2014/main" id="{CBA82127-3D0A-4244-A042-948B8CCFEEF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19</xdr:row>
      <xdr:rowOff>133350</xdr:rowOff>
    </xdr:from>
    <xdr:to>
      <xdr:col>12</xdr:col>
      <xdr:colOff>9525</xdr:colOff>
      <xdr:row>19</xdr:row>
      <xdr:rowOff>133350</xdr:rowOff>
    </xdr:to>
    <xdr:sp macro="" textlink="">
      <xdr:nvSpPr>
        <xdr:cNvPr id="1881" name="Line 109">
          <a:extLst>
            <a:ext uri="{FF2B5EF4-FFF2-40B4-BE49-F238E27FC236}">
              <a16:creationId xmlns:a16="http://schemas.microsoft.com/office/drawing/2014/main" id="{8E0BBC44-F003-40D3-908A-F5266DB96D8F}"/>
            </a:ext>
          </a:extLst>
        </xdr:cNvPr>
        <xdr:cNvSpPr>
          <a:spLocks noChangeShapeType="1"/>
        </xdr:cNvSpPr>
      </xdr:nvSpPr>
      <xdr:spPr bwMode="auto">
        <a:xfrm>
          <a:off x="3086100" y="751522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20</xdr:row>
      <xdr:rowOff>133350</xdr:rowOff>
    </xdr:from>
    <xdr:to>
      <xdr:col>14</xdr:col>
      <xdr:colOff>9525</xdr:colOff>
      <xdr:row>20</xdr:row>
      <xdr:rowOff>133350</xdr:rowOff>
    </xdr:to>
    <xdr:sp macro="" textlink="">
      <xdr:nvSpPr>
        <xdr:cNvPr id="1882" name="Line 110">
          <a:extLst>
            <a:ext uri="{FF2B5EF4-FFF2-40B4-BE49-F238E27FC236}">
              <a16:creationId xmlns:a16="http://schemas.microsoft.com/office/drawing/2014/main" id="{B08211E0-688F-4DE0-913C-337A75F9F2DF}"/>
            </a:ext>
          </a:extLst>
        </xdr:cNvPr>
        <xdr:cNvSpPr>
          <a:spLocks noChangeShapeType="1"/>
        </xdr:cNvSpPr>
      </xdr:nvSpPr>
      <xdr:spPr bwMode="auto">
        <a:xfrm>
          <a:off x="3086100" y="774382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20</xdr:row>
      <xdr:rowOff>104775</xdr:rowOff>
    </xdr:from>
    <xdr:to>
      <xdr:col>11</xdr:col>
      <xdr:colOff>9525</xdr:colOff>
      <xdr:row>20</xdr:row>
      <xdr:rowOff>152400</xdr:rowOff>
    </xdr:to>
    <xdr:grpSp>
      <xdr:nvGrpSpPr>
        <xdr:cNvPr id="1883" name="Group 111">
          <a:extLst>
            <a:ext uri="{FF2B5EF4-FFF2-40B4-BE49-F238E27FC236}">
              <a16:creationId xmlns:a16="http://schemas.microsoft.com/office/drawing/2014/main" id="{90A96D5E-FABC-4F85-BF3C-651083460712}"/>
            </a:ext>
          </a:extLst>
        </xdr:cNvPr>
        <xdr:cNvGrpSpPr>
          <a:grpSpLocks/>
        </xdr:cNvGrpSpPr>
      </xdr:nvGrpSpPr>
      <xdr:grpSpPr bwMode="auto">
        <a:xfrm>
          <a:off x="885825" y="7715250"/>
          <a:ext cx="2200275" cy="47625"/>
          <a:chOff x="158" y="715"/>
          <a:chExt cx="33" cy="5"/>
        </a:xfrm>
      </xdr:grpSpPr>
      <xdr:sp macro="" textlink="">
        <xdr:nvSpPr>
          <xdr:cNvPr id="1916" name="Line 112">
            <a:extLst>
              <a:ext uri="{FF2B5EF4-FFF2-40B4-BE49-F238E27FC236}">
                <a16:creationId xmlns:a16="http://schemas.microsoft.com/office/drawing/2014/main" id="{F66D6313-4BFE-4E0C-9684-9951799788C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7" name="Line 113">
            <a:extLst>
              <a:ext uri="{FF2B5EF4-FFF2-40B4-BE49-F238E27FC236}">
                <a16:creationId xmlns:a16="http://schemas.microsoft.com/office/drawing/2014/main" id="{3C45CD3B-B870-46A1-AEE5-127F7296A48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180975</xdr:colOff>
      <xdr:row>7</xdr:row>
      <xdr:rowOff>219075</xdr:rowOff>
    </xdr:from>
    <xdr:to>
      <xdr:col>6</xdr:col>
      <xdr:colOff>114300</xdr:colOff>
      <xdr:row>7</xdr:row>
      <xdr:rowOff>1390650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6136E52E-2129-4542-AB91-565C93300554}"/>
            </a:ext>
          </a:extLst>
        </xdr:cNvPr>
        <xdr:cNvSpPr txBox="1">
          <a:spLocks noChangeArrowheads="1"/>
        </xdr:cNvSpPr>
      </xdr:nvSpPr>
      <xdr:spPr bwMode="auto">
        <a:xfrm>
          <a:off x="1371600" y="1857375"/>
          <a:ext cx="247650" cy="11715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広島呉道路</a:t>
          </a:r>
        </a:p>
      </xdr:txBody>
    </xdr:sp>
    <xdr:clientData/>
  </xdr:twoCellAnchor>
  <xdr:twoCellAnchor>
    <xdr:from>
      <xdr:col>18</xdr:col>
      <xdr:colOff>266700</xdr:colOff>
      <xdr:row>7</xdr:row>
      <xdr:rowOff>28575</xdr:rowOff>
    </xdr:from>
    <xdr:to>
      <xdr:col>19</xdr:col>
      <xdr:colOff>200025</xdr:colOff>
      <xdr:row>7</xdr:row>
      <xdr:rowOff>1619250</xdr:rowOff>
    </xdr:to>
    <xdr:sp macro="" textlink="">
      <xdr:nvSpPr>
        <xdr:cNvPr id="1139" name="Text Box 115">
          <a:extLst>
            <a:ext uri="{FF2B5EF4-FFF2-40B4-BE49-F238E27FC236}">
              <a16:creationId xmlns:a16="http://schemas.microsoft.com/office/drawing/2014/main" id="{8BB1DDC2-0291-4FAE-97F6-53FD710ABA3F}"/>
            </a:ext>
          </a:extLst>
        </xdr:cNvPr>
        <xdr:cNvSpPr txBox="1">
          <a:spLocks noChangeArrowheads="1"/>
        </xdr:cNvSpPr>
      </xdr:nvSpPr>
      <xdr:spPr bwMode="auto">
        <a:xfrm>
          <a:off x="5543550" y="1666875"/>
          <a:ext cx="247650" cy="1590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本通り４丁目</a:t>
          </a:r>
        </a:p>
      </xdr:txBody>
    </xdr:sp>
    <xdr:clientData/>
  </xdr:twoCellAnchor>
  <xdr:twoCellAnchor>
    <xdr:from>
      <xdr:col>4</xdr:col>
      <xdr:colOff>9525</xdr:colOff>
      <xdr:row>16</xdr:row>
      <xdr:rowOff>123825</xdr:rowOff>
    </xdr:from>
    <xdr:to>
      <xdr:col>5</xdr:col>
      <xdr:colOff>9525</xdr:colOff>
      <xdr:row>16</xdr:row>
      <xdr:rowOff>123825</xdr:rowOff>
    </xdr:to>
    <xdr:sp macro="" textlink="">
      <xdr:nvSpPr>
        <xdr:cNvPr id="1886" name="Line 116">
          <a:extLst>
            <a:ext uri="{FF2B5EF4-FFF2-40B4-BE49-F238E27FC236}">
              <a16:creationId xmlns:a16="http://schemas.microsoft.com/office/drawing/2014/main" id="{4441867A-F930-48B5-86EE-AE2C31D93BB1}"/>
            </a:ext>
          </a:extLst>
        </xdr:cNvPr>
        <xdr:cNvSpPr>
          <a:spLocks noChangeShapeType="1"/>
        </xdr:cNvSpPr>
      </xdr:nvSpPr>
      <xdr:spPr bwMode="auto">
        <a:xfrm>
          <a:off x="885825" y="6819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887" name="Line 117">
          <a:extLst>
            <a:ext uri="{FF2B5EF4-FFF2-40B4-BE49-F238E27FC236}">
              <a16:creationId xmlns:a16="http://schemas.microsoft.com/office/drawing/2014/main" id="{560B1B37-E3C0-4830-B953-D39F1C0D96B6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888" name="Group 118">
          <a:extLst>
            <a:ext uri="{FF2B5EF4-FFF2-40B4-BE49-F238E27FC236}">
              <a16:creationId xmlns:a16="http://schemas.microsoft.com/office/drawing/2014/main" id="{F646C6E5-F121-4F9C-A484-7746D6D9E9C0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912" name="Line 119">
            <a:extLst>
              <a:ext uri="{FF2B5EF4-FFF2-40B4-BE49-F238E27FC236}">
                <a16:creationId xmlns:a16="http://schemas.microsoft.com/office/drawing/2014/main" id="{ADC6FAE7-ABE3-4C2E-8C15-553DFE4DFCB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3" name="Line 120">
            <a:extLst>
              <a:ext uri="{FF2B5EF4-FFF2-40B4-BE49-F238E27FC236}">
                <a16:creationId xmlns:a16="http://schemas.microsoft.com/office/drawing/2014/main" id="{00D4F6FB-FB02-4C4C-827D-4A8FB4FBD36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4" name="Line 121">
            <a:extLst>
              <a:ext uri="{FF2B5EF4-FFF2-40B4-BE49-F238E27FC236}">
                <a16:creationId xmlns:a16="http://schemas.microsoft.com/office/drawing/2014/main" id="{614F514F-CC54-4803-8B16-E5B270E9517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5" name="Line 122">
            <a:extLst>
              <a:ext uri="{FF2B5EF4-FFF2-40B4-BE49-F238E27FC236}">
                <a16:creationId xmlns:a16="http://schemas.microsoft.com/office/drawing/2014/main" id="{95997685-791D-48C3-8729-6BF46FC99CD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17</xdr:row>
      <xdr:rowOff>47625</xdr:rowOff>
    </xdr:from>
    <xdr:to>
      <xdr:col>7</xdr:col>
      <xdr:colOff>295275</xdr:colOff>
      <xdr:row>17</xdr:row>
      <xdr:rowOff>190500</xdr:rowOff>
    </xdr:to>
    <xdr:sp macro="" textlink="">
      <xdr:nvSpPr>
        <xdr:cNvPr id="1889" name="Freeform 123">
          <a:extLst>
            <a:ext uri="{FF2B5EF4-FFF2-40B4-BE49-F238E27FC236}">
              <a16:creationId xmlns:a16="http://schemas.microsoft.com/office/drawing/2014/main" id="{5EF62A6E-2B77-43C0-840E-6B628299602A}"/>
            </a:ext>
          </a:extLst>
        </xdr:cNvPr>
        <xdr:cNvSpPr>
          <a:spLocks/>
        </xdr:cNvSpPr>
      </xdr:nvSpPr>
      <xdr:spPr bwMode="auto">
        <a:xfrm>
          <a:off x="1819275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17</xdr:row>
      <xdr:rowOff>57150</xdr:rowOff>
    </xdr:from>
    <xdr:to>
      <xdr:col>9</xdr:col>
      <xdr:colOff>295275</xdr:colOff>
      <xdr:row>17</xdr:row>
      <xdr:rowOff>200025</xdr:rowOff>
    </xdr:to>
    <xdr:sp macro="" textlink="">
      <xdr:nvSpPr>
        <xdr:cNvPr id="1890" name="Freeform 124">
          <a:extLst>
            <a:ext uri="{FF2B5EF4-FFF2-40B4-BE49-F238E27FC236}">
              <a16:creationId xmlns:a16="http://schemas.microsoft.com/office/drawing/2014/main" id="{507853A3-6905-4503-BE0D-6DFFD09B24FD}"/>
            </a:ext>
          </a:extLst>
        </xdr:cNvPr>
        <xdr:cNvSpPr>
          <a:spLocks/>
        </xdr:cNvSpPr>
      </xdr:nvSpPr>
      <xdr:spPr bwMode="auto">
        <a:xfrm>
          <a:off x="2447925" y="698182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20</xdr:row>
      <xdr:rowOff>57150</xdr:rowOff>
    </xdr:from>
    <xdr:to>
      <xdr:col>16</xdr:col>
      <xdr:colOff>304800</xdr:colOff>
      <xdr:row>20</xdr:row>
      <xdr:rowOff>200025</xdr:rowOff>
    </xdr:to>
    <xdr:sp macro="" textlink="">
      <xdr:nvSpPr>
        <xdr:cNvPr id="1891" name="Freeform 125">
          <a:extLst>
            <a:ext uri="{FF2B5EF4-FFF2-40B4-BE49-F238E27FC236}">
              <a16:creationId xmlns:a16="http://schemas.microsoft.com/office/drawing/2014/main" id="{598C3182-E01C-436D-BB0F-1219156274CA}"/>
            </a:ext>
          </a:extLst>
        </xdr:cNvPr>
        <xdr:cNvSpPr>
          <a:spLocks/>
        </xdr:cNvSpPr>
      </xdr:nvSpPr>
      <xdr:spPr bwMode="auto">
        <a:xfrm>
          <a:off x="4657725" y="766762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114300</xdr:colOff>
      <xdr:row>3</xdr:row>
      <xdr:rowOff>9525</xdr:rowOff>
    </xdr:from>
    <xdr:to>
      <xdr:col>18</xdr:col>
      <xdr:colOff>266700</xdr:colOff>
      <xdr:row>11</xdr:row>
      <xdr:rowOff>38100</xdr:rowOff>
    </xdr:to>
    <xdr:pic>
      <xdr:nvPicPr>
        <xdr:cNvPr id="1892" name="Picture 126">
          <a:extLst>
            <a:ext uri="{FF2B5EF4-FFF2-40B4-BE49-F238E27FC236}">
              <a16:creationId xmlns:a16="http://schemas.microsoft.com/office/drawing/2014/main" id="{D6A7B551-81B6-4B47-84A7-0E74CD09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733425"/>
          <a:ext cx="3924300" cy="350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15</xdr:row>
      <xdr:rowOff>171450</xdr:rowOff>
    </xdr:from>
    <xdr:to>
      <xdr:col>13</xdr:col>
      <xdr:colOff>190500</xdr:colOff>
      <xdr:row>15</xdr:row>
      <xdr:rowOff>333375</xdr:rowOff>
    </xdr:to>
    <xdr:sp macro="" textlink="">
      <xdr:nvSpPr>
        <xdr:cNvPr id="1152" name="Text Box 128">
          <a:extLst>
            <a:ext uri="{FF2B5EF4-FFF2-40B4-BE49-F238E27FC236}">
              <a16:creationId xmlns:a16="http://schemas.microsoft.com/office/drawing/2014/main" id="{BE4948BE-CD90-40C1-AFE2-A6AA2E686592}"/>
            </a:ext>
          </a:extLst>
        </xdr:cNvPr>
        <xdr:cNvSpPr txBox="1">
          <a:spLocks noChangeArrowheads="1"/>
        </xdr:cNvSpPr>
      </xdr:nvSpPr>
      <xdr:spPr bwMode="auto">
        <a:xfrm>
          <a:off x="3543300" y="52863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24.8m</a:t>
          </a:r>
        </a:p>
      </xdr:txBody>
    </xdr:sp>
    <xdr:clientData/>
  </xdr:twoCellAnchor>
  <xdr:twoCellAnchor>
    <xdr:from>
      <xdr:col>0</xdr:col>
      <xdr:colOff>76200</xdr:colOff>
      <xdr:row>9</xdr:row>
      <xdr:rowOff>219075</xdr:rowOff>
    </xdr:from>
    <xdr:to>
      <xdr:col>7</xdr:col>
      <xdr:colOff>304800</xdr:colOff>
      <xdr:row>13</xdr:row>
      <xdr:rowOff>38100</xdr:rowOff>
    </xdr:to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46362CC9-7EA8-4BBE-AD8E-E4A38C9E031B}"/>
            </a:ext>
          </a:extLst>
        </xdr:cNvPr>
        <xdr:cNvSpPr txBox="1">
          <a:spLocks noChangeArrowheads="1"/>
        </xdr:cNvSpPr>
      </xdr:nvSpPr>
      <xdr:spPr bwMode="auto">
        <a:xfrm>
          <a:off x="76200" y="3962400"/>
          <a:ext cx="2047875" cy="7334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1895" name="Picture 131">
          <a:extLst>
            <a:ext uri="{FF2B5EF4-FFF2-40B4-BE49-F238E27FC236}">
              <a16:creationId xmlns:a16="http://schemas.microsoft.com/office/drawing/2014/main" id="{60926736-3530-437D-AB98-DC6FA337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286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15</xdr:row>
      <xdr:rowOff>1200150</xdr:rowOff>
    </xdr:from>
    <xdr:to>
      <xdr:col>5</xdr:col>
      <xdr:colOff>38100</xdr:colOff>
      <xdr:row>15</xdr:row>
      <xdr:rowOff>1362075</xdr:rowOff>
    </xdr:to>
    <xdr:sp macro="" textlink="">
      <xdr:nvSpPr>
        <xdr:cNvPr id="1156" name="Text Box 132">
          <a:extLst>
            <a:ext uri="{FF2B5EF4-FFF2-40B4-BE49-F238E27FC236}">
              <a16:creationId xmlns:a16="http://schemas.microsoft.com/office/drawing/2014/main" id="{C313FA0D-FB10-42F9-B2D4-D14CD24EE571}"/>
            </a:ext>
          </a:extLst>
        </xdr:cNvPr>
        <xdr:cNvSpPr txBox="1">
          <a:spLocks noChangeArrowheads="1"/>
        </xdr:cNvSpPr>
      </xdr:nvSpPr>
      <xdr:spPr bwMode="auto">
        <a:xfrm>
          <a:off x="876300" y="63150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19.7m</a:t>
          </a:r>
        </a:p>
      </xdr:txBody>
    </xdr:sp>
    <xdr:clientData/>
  </xdr:twoCellAnchor>
  <xdr:twoCellAnchor>
    <xdr:from>
      <xdr:col>6</xdr:col>
      <xdr:colOff>295275</xdr:colOff>
      <xdr:row>15</xdr:row>
      <xdr:rowOff>1200150</xdr:rowOff>
    </xdr:from>
    <xdr:to>
      <xdr:col>8</xdr:col>
      <xdr:colOff>19050</xdr:colOff>
      <xdr:row>15</xdr:row>
      <xdr:rowOff>1362075</xdr:rowOff>
    </xdr:to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99649279-8BF5-4B77-982F-C73975841241}"/>
            </a:ext>
          </a:extLst>
        </xdr:cNvPr>
        <xdr:cNvSpPr txBox="1">
          <a:spLocks noChangeArrowheads="1"/>
        </xdr:cNvSpPr>
      </xdr:nvSpPr>
      <xdr:spPr bwMode="auto">
        <a:xfrm>
          <a:off x="1800225" y="63150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17.8m</a:t>
          </a:r>
        </a:p>
      </xdr:txBody>
    </xdr:sp>
    <xdr:clientData/>
  </xdr:twoCellAnchor>
  <xdr:twoCellAnchor>
    <xdr:from>
      <xdr:col>7</xdr:col>
      <xdr:colOff>47625</xdr:colOff>
      <xdr:row>15</xdr:row>
      <xdr:rowOff>228600</xdr:rowOff>
    </xdr:from>
    <xdr:to>
      <xdr:col>8</xdr:col>
      <xdr:colOff>85725</xdr:colOff>
      <xdr:row>15</xdr:row>
      <xdr:rowOff>390525</xdr:rowOff>
    </xdr:to>
    <xdr:sp macro="" textlink="">
      <xdr:nvSpPr>
        <xdr:cNvPr id="1158" name="Text Box 134">
          <a:extLst>
            <a:ext uri="{FF2B5EF4-FFF2-40B4-BE49-F238E27FC236}">
              <a16:creationId xmlns:a16="http://schemas.microsoft.com/office/drawing/2014/main" id="{B6482B8B-DF8B-48CC-B98D-579817F829D3}"/>
            </a:ext>
          </a:extLst>
        </xdr:cNvPr>
        <xdr:cNvSpPr txBox="1">
          <a:spLocks noChangeArrowheads="1"/>
        </xdr:cNvSpPr>
      </xdr:nvSpPr>
      <xdr:spPr bwMode="auto">
        <a:xfrm>
          <a:off x="1866900" y="53435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4</xdr:col>
      <xdr:colOff>47625</xdr:colOff>
      <xdr:row>15</xdr:row>
      <xdr:rowOff>238125</xdr:rowOff>
    </xdr:from>
    <xdr:to>
      <xdr:col>5</xdr:col>
      <xdr:colOff>85725</xdr:colOff>
      <xdr:row>15</xdr:row>
      <xdr:rowOff>400050</xdr:rowOff>
    </xdr:to>
    <xdr:sp macro="" textlink="">
      <xdr:nvSpPr>
        <xdr:cNvPr id="1159" name="Text Box 135">
          <a:extLst>
            <a:ext uri="{FF2B5EF4-FFF2-40B4-BE49-F238E27FC236}">
              <a16:creationId xmlns:a16="http://schemas.microsoft.com/office/drawing/2014/main" id="{28DC4BB6-0EAE-44B2-8934-BF5E11C07C90}"/>
            </a:ext>
          </a:extLst>
        </xdr:cNvPr>
        <xdr:cNvSpPr txBox="1">
          <a:spLocks noChangeArrowheads="1"/>
        </xdr:cNvSpPr>
      </xdr:nvSpPr>
      <xdr:spPr bwMode="auto">
        <a:xfrm>
          <a:off x="923925" y="53530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14</xdr:col>
      <xdr:colOff>76200</xdr:colOff>
      <xdr:row>15</xdr:row>
      <xdr:rowOff>285750</xdr:rowOff>
    </xdr:from>
    <xdr:to>
      <xdr:col>15</xdr:col>
      <xdr:colOff>114300</xdr:colOff>
      <xdr:row>15</xdr:row>
      <xdr:rowOff>447675</xdr:rowOff>
    </xdr:to>
    <xdr:sp macro="" textlink="">
      <xdr:nvSpPr>
        <xdr:cNvPr id="1160" name="Text Box 136">
          <a:extLst>
            <a:ext uri="{FF2B5EF4-FFF2-40B4-BE49-F238E27FC236}">
              <a16:creationId xmlns:a16="http://schemas.microsoft.com/office/drawing/2014/main" id="{40CF3FC6-30CF-49F2-9818-06E7F3FDD695}"/>
            </a:ext>
          </a:extLst>
        </xdr:cNvPr>
        <xdr:cNvSpPr txBox="1">
          <a:spLocks noChangeArrowheads="1"/>
        </xdr:cNvSpPr>
      </xdr:nvSpPr>
      <xdr:spPr bwMode="auto">
        <a:xfrm>
          <a:off x="4095750" y="54006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161925</xdr:colOff>
      <xdr:row>15</xdr:row>
      <xdr:rowOff>1295400</xdr:rowOff>
    </xdr:from>
    <xdr:to>
      <xdr:col>13</xdr:col>
      <xdr:colOff>200025</xdr:colOff>
      <xdr:row>15</xdr:row>
      <xdr:rowOff>1457325</xdr:rowOff>
    </xdr:to>
    <xdr:sp macro="" textlink="">
      <xdr:nvSpPr>
        <xdr:cNvPr id="1161" name="Text Box 137">
          <a:extLst>
            <a:ext uri="{FF2B5EF4-FFF2-40B4-BE49-F238E27FC236}">
              <a16:creationId xmlns:a16="http://schemas.microsoft.com/office/drawing/2014/main" id="{90B97008-7285-4862-ADB1-556005B5AD5E}"/>
            </a:ext>
          </a:extLst>
        </xdr:cNvPr>
        <xdr:cNvSpPr txBox="1">
          <a:spLocks noChangeArrowheads="1"/>
        </xdr:cNvSpPr>
      </xdr:nvSpPr>
      <xdr:spPr bwMode="auto">
        <a:xfrm>
          <a:off x="3552825" y="64103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23.3m</a:t>
          </a:r>
        </a:p>
      </xdr:txBody>
    </xdr:sp>
    <xdr:clientData/>
  </xdr:twoCellAnchor>
  <xdr:twoCellAnchor>
    <xdr:from>
      <xdr:col>14</xdr:col>
      <xdr:colOff>76200</xdr:colOff>
      <xdr:row>15</xdr:row>
      <xdr:rowOff>1209675</xdr:rowOff>
    </xdr:from>
    <xdr:to>
      <xdr:col>15</xdr:col>
      <xdr:colOff>114300</xdr:colOff>
      <xdr:row>15</xdr:row>
      <xdr:rowOff>1371600</xdr:rowOff>
    </xdr:to>
    <xdr:sp macro="" textlink="">
      <xdr:nvSpPr>
        <xdr:cNvPr id="1162" name="Text Box 138">
          <a:extLst>
            <a:ext uri="{FF2B5EF4-FFF2-40B4-BE49-F238E27FC236}">
              <a16:creationId xmlns:a16="http://schemas.microsoft.com/office/drawing/2014/main" id="{E3525996-746E-4465-8108-2C3451539B24}"/>
            </a:ext>
          </a:extLst>
        </xdr:cNvPr>
        <xdr:cNvSpPr txBox="1">
          <a:spLocks noChangeArrowheads="1"/>
        </xdr:cNvSpPr>
      </xdr:nvSpPr>
      <xdr:spPr bwMode="auto">
        <a:xfrm>
          <a:off x="4095750" y="632460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21</xdr:col>
      <xdr:colOff>219075</xdr:colOff>
      <xdr:row>15</xdr:row>
      <xdr:rowOff>457200</xdr:rowOff>
    </xdr:from>
    <xdr:to>
      <xdr:col>23</xdr:col>
      <xdr:colOff>285750</xdr:colOff>
      <xdr:row>15</xdr:row>
      <xdr:rowOff>1152525</xdr:rowOff>
    </xdr:to>
    <xdr:pic>
      <xdr:nvPicPr>
        <xdr:cNvPr id="1903" name="Picture 139">
          <a:extLst>
            <a:ext uri="{FF2B5EF4-FFF2-40B4-BE49-F238E27FC236}">
              <a16:creationId xmlns:a16="http://schemas.microsoft.com/office/drawing/2014/main" id="{D0B9D547-A381-42EB-B2DF-1898F7E8A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57212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1904" name="Group 142">
          <a:extLst>
            <a:ext uri="{FF2B5EF4-FFF2-40B4-BE49-F238E27FC236}">
              <a16:creationId xmlns:a16="http://schemas.microsoft.com/office/drawing/2014/main" id="{538B679B-B9E7-4E32-AEFF-80472BC0F5BB}"/>
            </a:ext>
          </a:extLst>
        </xdr:cNvPr>
        <xdr:cNvGrpSpPr>
          <a:grpSpLocks/>
        </xdr:cNvGrpSpPr>
      </xdr:nvGrpSpPr>
      <xdr:grpSpPr bwMode="auto">
        <a:xfrm>
          <a:off x="2152650" y="7191375"/>
          <a:ext cx="276225" cy="171450"/>
          <a:chOff x="226" y="755"/>
          <a:chExt cx="29" cy="18"/>
        </a:xfrm>
      </xdr:grpSpPr>
      <xdr:sp macro="" textlink="">
        <xdr:nvSpPr>
          <xdr:cNvPr id="1909" name="Oval 143">
            <a:extLst>
              <a:ext uri="{FF2B5EF4-FFF2-40B4-BE49-F238E27FC236}">
                <a16:creationId xmlns:a16="http://schemas.microsoft.com/office/drawing/2014/main" id="{BEB41355-CF88-4EB4-AE68-42846BF92241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10" name="Line 144">
            <a:extLst>
              <a:ext uri="{FF2B5EF4-FFF2-40B4-BE49-F238E27FC236}">
                <a16:creationId xmlns:a16="http://schemas.microsoft.com/office/drawing/2014/main" id="{900BDC76-09FE-4603-B301-B0448DD99F0F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1" name="Freeform 145">
            <a:extLst>
              <a:ext uri="{FF2B5EF4-FFF2-40B4-BE49-F238E27FC236}">
                <a16:creationId xmlns:a16="http://schemas.microsoft.com/office/drawing/2014/main" id="{D1B9A063-3EBD-4C75-A9E0-F00773C3ED8D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38100</xdr:rowOff>
    </xdr:from>
    <xdr:to>
      <xdr:col>15</xdr:col>
      <xdr:colOff>295275</xdr:colOff>
      <xdr:row>21</xdr:row>
      <xdr:rowOff>209550</xdr:rowOff>
    </xdr:to>
    <xdr:grpSp>
      <xdr:nvGrpSpPr>
        <xdr:cNvPr id="1905" name="Group 146">
          <a:extLst>
            <a:ext uri="{FF2B5EF4-FFF2-40B4-BE49-F238E27FC236}">
              <a16:creationId xmlns:a16="http://schemas.microsoft.com/office/drawing/2014/main" id="{59E0DCC9-8B14-4B87-9FAC-E87A60B77865}"/>
            </a:ext>
          </a:extLst>
        </xdr:cNvPr>
        <xdr:cNvGrpSpPr>
          <a:grpSpLocks/>
        </xdr:cNvGrpSpPr>
      </xdr:nvGrpSpPr>
      <xdr:grpSpPr bwMode="auto">
        <a:xfrm>
          <a:off x="4352925" y="7877175"/>
          <a:ext cx="276225" cy="171450"/>
          <a:chOff x="226" y="755"/>
          <a:chExt cx="29" cy="18"/>
        </a:xfrm>
      </xdr:grpSpPr>
      <xdr:sp macro="" textlink="">
        <xdr:nvSpPr>
          <xdr:cNvPr id="1906" name="Oval 147">
            <a:extLst>
              <a:ext uri="{FF2B5EF4-FFF2-40B4-BE49-F238E27FC236}">
                <a16:creationId xmlns:a16="http://schemas.microsoft.com/office/drawing/2014/main" id="{381DCF28-E598-429F-9480-84BB8022A914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07" name="Line 148">
            <a:extLst>
              <a:ext uri="{FF2B5EF4-FFF2-40B4-BE49-F238E27FC236}">
                <a16:creationId xmlns:a16="http://schemas.microsoft.com/office/drawing/2014/main" id="{0B942D0A-7535-4D9E-BC42-59EB7A6B82E4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8" name="Freeform 149">
            <a:extLst>
              <a:ext uri="{FF2B5EF4-FFF2-40B4-BE49-F238E27FC236}">
                <a16:creationId xmlns:a16="http://schemas.microsoft.com/office/drawing/2014/main" id="{63B77B8E-A8B1-48B1-BE2B-417B68D7E824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4</xdr:row>
      <xdr:rowOff>200025</xdr:rowOff>
    </xdr:from>
    <xdr:to>
      <xdr:col>19</xdr:col>
      <xdr:colOff>285750</xdr:colOff>
      <xdr:row>11</xdr:row>
      <xdr:rowOff>219075</xdr:rowOff>
    </xdr:to>
    <xdr:pic>
      <xdr:nvPicPr>
        <xdr:cNvPr id="2217" name="図 26" descr=".2011.01.20.184208-001.jpg">
          <a:extLst>
            <a:ext uri="{FF2B5EF4-FFF2-40B4-BE49-F238E27FC236}">
              <a16:creationId xmlns:a16="http://schemas.microsoft.com/office/drawing/2014/main" id="{B2AC8CCF-B75F-4DFE-BAAE-7E7ADB65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152525"/>
          <a:ext cx="4648200" cy="367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47541</xdr:colOff>
      <xdr:row>7</xdr:row>
      <xdr:rowOff>771525</xdr:rowOff>
    </xdr:from>
    <xdr:ext cx="385555" cy="92398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1AB7D463-D1AF-45A8-A20D-F78DD91176CC}"/>
            </a:ext>
          </a:extLst>
        </xdr:cNvPr>
        <xdr:cNvSpPr txBox="1"/>
      </xdr:nvSpPr>
      <xdr:spPr>
        <a:xfrm>
          <a:off x="47541" y="24098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wordArtVertRtl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9</xdr:col>
      <xdr:colOff>295275</xdr:colOff>
      <xdr:row>7</xdr:row>
      <xdr:rowOff>342900</xdr:rowOff>
    </xdr:from>
    <xdr:to>
      <xdr:col>14</xdr:col>
      <xdr:colOff>219075</xdr:colOff>
      <xdr:row>7</xdr:row>
      <xdr:rowOff>361952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430F4BCC-978F-4FAF-88B6-9138A036CA56}"/>
            </a:ext>
          </a:extLst>
        </xdr:cNvPr>
        <xdr:cNvCxnSpPr/>
      </xdr:nvCxnSpPr>
      <xdr:spPr>
        <a:xfrm flipV="1">
          <a:off x="2743200" y="1981200"/>
          <a:ext cx="1495425" cy="19052"/>
        </a:xfrm>
        <a:prstGeom prst="straightConnector1">
          <a:avLst/>
        </a:prstGeom>
        <a:ln>
          <a:headEnd type="triangle" w="sm" len="med"/>
          <a:tailEnd type="triangle" w="sm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7</xdr:row>
      <xdr:rowOff>704850</xdr:rowOff>
    </xdr:from>
    <xdr:to>
      <xdr:col>8</xdr:col>
      <xdr:colOff>85728</xdr:colOff>
      <xdr:row>7</xdr:row>
      <xdr:rowOff>1724027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A0EBE9E-14B4-462B-968C-F320B9D99B53}"/>
            </a:ext>
          </a:extLst>
        </xdr:cNvPr>
        <xdr:cNvCxnSpPr/>
      </xdr:nvCxnSpPr>
      <xdr:spPr>
        <a:xfrm rot="16200000" flipH="1">
          <a:off x="1662113" y="2805112"/>
          <a:ext cx="1019177" cy="95253"/>
        </a:xfrm>
        <a:prstGeom prst="straightConnector1">
          <a:avLst/>
        </a:prstGeom>
        <a:ln>
          <a:headEnd type="triangle" w="sm" len="med"/>
          <a:tailEnd type="triangle" w="sm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171450</xdr:colOff>
      <xdr:row>7</xdr:row>
      <xdr:rowOff>1447800</xdr:rowOff>
    </xdr:from>
    <xdr:ext cx="385555" cy="92398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35E44CA8-BB57-44B3-95C8-31CF9B43B874}"/>
            </a:ext>
          </a:extLst>
        </xdr:cNvPr>
        <xdr:cNvSpPr txBox="1"/>
      </xdr:nvSpPr>
      <xdr:spPr>
        <a:xfrm>
          <a:off x="3562350" y="30861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wordArtVertRtl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8</xdr:col>
      <xdr:colOff>28575</xdr:colOff>
      <xdr:row>7</xdr:row>
      <xdr:rowOff>1019175</xdr:rowOff>
    </xdr:from>
    <xdr:ext cx="595035" cy="264047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D3BBF6CA-EBFB-4E1B-8550-3599A7F18CC7}"/>
            </a:ext>
          </a:extLst>
        </xdr:cNvPr>
        <xdr:cNvSpPr txBox="1"/>
      </xdr:nvSpPr>
      <xdr:spPr>
        <a:xfrm>
          <a:off x="2162175" y="2657475"/>
          <a:ext cx="595035" cy="2640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kumimoji="1" lang="ja-JP" altLang="en-US" sz="800"/>
            <a:t>ピヨピヨ</a:t>
          </a:r>
        </a:p>
      </xdr:txBody>
    </xdr:sp>
    <xdr:clientData/>
  </xdr:oneCellAnchor>
  <xdr:oneCellAnchor>
    <xdr:from>
      <xdr:col>11</xdr:col>
      <xdr:colOff>152400</xdr:colOff>
      <xdr:row>7</xdr:row>
      <xdr:rowOff>342900</xdr:rowOff>
    </xdr:from>
    <xdr:ext cx="649032" cy="216057"/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37C50641-0C4D-4B6C-A9BB-3A929F945FB6}"/>
            </a:ext>
          </a:extLst>
        </xdr:cNvPr>
        <xdr:cNvSpPr txBox="1"/>
      </xdr:nvSpPr>
      <xdr:spPr>
        <a:xfrm>
          <a:off x="3228975" y="1981200"/>
          <a:ext cx="649032" cy="2160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kumimoji="1" lang="ja-JP" altLang="en-US" sz="800"/>
            <a:t>カッコー</a:t>
          </a:r>
        </a:p>
      </xdr:txBody>
    </xdr:sp>
    <xdr:clientData/>
  </xdr:oneCellAnchor>
  <xdr:oneCellAnchor>
    <xdr:from>
      <xdr:col>19</xdr:col>
      <xdr:colOff>266718</xdr:colOff>
      <xdr:row>7</xdr:row>
      <xdr:rowOff>800100</xdr:rowOff>
    </xdr:from>
    <xdr:ext cx="366277" cy="1657350"/>
    <xdr:sp macro="" textlink="">
      <xdr:nvSpPr>
        <xdr:cNvPr id="687" name="テキスト ボックス 686">
          <a:extLst>
            <a:ext uri="{FF2B5EF4-FFF2-40B4-BE49-F238E27FC236}">
              <a16:creationId xmlns:a16="http://schemas.microsoft.com/office/drawing/2014/main" id="{5A942785-4987-49F8-992F-45F4DF7E975B}"/>
            </a:ext>
          </a:extLst>
        </xdr:cNvPr>
        <xdr:cNvSpPr txBox="1"/>
      </xdr:nvSpPr>
      <xdr:spPr>
        <a:xfrm>
          <a:off x="5867418" y="2438400"/>
          <a:ext cx="366277" cy="1657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wordArtVertRtl" wrap="square" rtlCol="0" anchor="t">
          <a:noAutofit/>
        </a:bodyPr>
        <a:lstStyle/>
        <a:p>
          <a:r>
            <a:rPr kumimoji="1" lang="ja-JP" altLang="en-US" sz="1100"/>
            <a:t>至　呉市役所</a:t>
          </a:r>
        </a:p>
      </xdr:txBody>
    </xdr:sp>
    <xdr:clientData/>
  </xdr:oneCellAnchor>
  <xdr:oneCellAnchor>
    <xdr:from>
      <xdr:col>4</xdr:col>
      <xdr:colOff>47625</xdr:colOff>
      <xdr:row>7</xdr:row>
      <xdr:rowOff>314325</xdr:rowOff>
    </xdr:from>
    <xdr:ext cx="385555" cy="92398"/>
    <xdr:sp macro="" textlink="">
      <xdr:nvSpPr>
        <xdr:cNvPr id="689" name="テキスト ボックス 688">
          <a:extLst>
            <a:ext uri="{FF2B5EF4-FFF2-40B4-BE49-F238E27FC236}">
              <a16:creationId xmlns:a16="http://schemas.microsoft.com/office/drawing/2014/main" id="{B8A99AE5-4387-4B92-A345-4E97F046078A}"/>
            </a:ext>
          </a:extLst>
        </xdr:cNvPr>
        <xdr:cNvSpPr txBox="1"/>
      </xdr:nvSpPr>
      <xdr:spPr>
        <a:xfrm>
          <a:off x="923925" y="19526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wordArtVertRtl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3</xdr:col>
      <xdr:colOff>47193</xdr:colOff>
      <xdr:row>7</xdr:row>
      <xdr:rowOff>628650</xdr:rowOff>
    </xdr:from>
    <xdr:ext cx="432875" cy="1829796"/>
    <xdr:sp macro="" textlink="">
      <xdr:nvSpPr>
        <xdr:cNvPr id="690" name="テキスト ボックス 689">
          <a:extLst>
            <a:ext uri="{FF2B5EF4-FFF2-40B4-BE49-F238E27FC236}">
              <a16:creationId xmlns:a16="http://schemas.microsoft.com/office/drawing/2014/main" id="{853D2BE9-8DB8-4F95-BBA1-6B21197ACE26}"/>
            </a:ext>
          </a:extLst>
        </xdr:cNvPr>
        <xdr:cNvSpPr txBox="1"/>
      </xdr:nvSpPr>
      <xdr:spPr>
        <a:xfrm>
          <a:off x="856818" y="2266950"/>
          <a:ext cx="432875" cy="18297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wordArtVertRtl" wrap="none" rtlCol="0" anchor="t">
          <a:spAutoFit/>
        </a:bodyPr>
        <a:lstStyle/>
        <a:p>
          <a:r>
            <a:rPr kumimoji="1" lang="ja-JP" altLang="en-US" sz="1100"/>
            <a:t>至　広島呉道路</a:t>
          </a:r>
        </a:p>
      </xdr:txBody>
    </xdr:sp>
    <xdr:clientData/>
  </xdr:oneCellAnchor>
  <xdr:twoCellAnchor>
    <xdr:from>
      <xdr:col>21</xdr:col>
      <xdr:colOff>85725</xdr:colOff>
      <xdr:row>6</xdr:row>
      <xdr:rowOff>76200</xdr:rowOff>
    </xdr:from>
    <xdr:to>
      <xdr:col>23</xdr:col>
      <xdr:colOff>28575</xdr:colOff>
      <xdr:row>7</xdr:row>
      <xdr:rowOff>704850</xdr:rowOff>
    </xdr:to>
    <xdr:grpSp>
      <xdr:nvGrpSpPr>
        <xdr:cNvPr id="2227" name="Group 10042">
          <a:extLst>
            <a:ext uri="{FF2B5EF4-FFF2-40B4-BE49-F238E27FC236}">
              <a16:creationId xmlns:a16="http://schemas.microsoft.com/office/drawing/2014/main" id="{122BF1AD-7D03-48A8-B2A1-460EB8D59E89}"/>
            </a:ext>
          </a:extLst>
        </xdr:cNvPr>
        <xdr:cNvGrpSpPr>
          <a:grpSpLocks/>
        </xdr:cNvGrpSpPr>
      </xdr:nvGrpSpPr>
      <xdr:grpSpPr bwMode="auto">
        <a:xfrm rot="-2128141">
          <a:off x="6315075" y="1485900"/>
          <a:ext cx="571500" cy="857250"/>
          <a:chOff x="590" y="577"/>
          <a:chExt cx="60" cy="90"/>
        </a:xfrm>
      </xdr:grpSpPr>
      <xdr:cxnSp macro="">
        <xdr:nvCxnSpPr>
          <xdr:cNvPr id="2234" name="AutoShape 10043">
            <a:extLst>
              <a:ext uri="{FF2B5EF4-FFF2-40B4-BE49-F238E27FC236}">
                <a16:creationId xmlns:a16="http://schemas.microsoft.com/office/drawing/2014/main" id="{EC166ED2-413D-42F1-98AF-CE7994B232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20" y="577"/>
            <a:ext cx="0" cy="45"/>
          </a:xfrm>
          <a:prstGeom prst="straightConnector1">
            <a:avLst/>
          </a:prstGeom>
          <a:noFill/>
          <a:ln w="19050">
            <a:solidFill>
              <a:srgbClr val="000000"/>
            </a:solidFill>
            <a:round/>
            <a:headEnd type="stealth" w="lg" len="lg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235" name="Oval 10044">
            <a:extLst>
              <a:ext uri="{FF2B5EF4-FFF2-40B4-BE49-F238E27FC236}">
                <a16:creationId xmlns:a16="http://schemas.microsoft.com/office/drawing/2014/main" id="{BFA6BFFB-D920-4D39-B5F4-A13DBE809D28}"/>
              </a:ext>
            </a:extLst>
          </xdr:cNvPr>
          <xdr:cNvSpPr>
            <a:spLocks noChangeArrowheads="1"/>
          </xdr:cNvSpPr>
        </xdr:nvSpPr>
        <xdr:spPr bwMode="auto">
          <a:xfrm>
            <a:off x="605" y="622"/>
            <a:ext cx="30" cy="3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236" name="AutoShape 10045">
            <a:extLst>
              <a:ext uri="{FF2B5EF4-FFF2-40B4-BE49-F238E27FC236}">
                <a16:creationId xmlns:a16="http://schemas.microsoft.com/office/drawing/2014/main" id="{7AB5CE73-9391-49E7-98D8-7C8AB585CEF9}"/>
              </a:ext>
            </a:extLst>
          </xdr:cNvPr>
          <xdr:cNvCxnSpPr>
            <a:cxnSpLocks noChangeShapeType="1"/>
            <a:endCxn id="2235" idx="2"/>
          </xdr:cNvCxnSpPr>
        </xdr:nvCxnSpPr>
        <xdr:spPr bwMode="auto">
          <a:xfrm>
            <a:off x="590" y="637"/>
            <a:ext cx="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sm" len="lg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37" name="AutoShape 10046">
            <a:extLst>
              <a:ext uri="{FF2B5EF4-FFF2-40B4-BE49-F238E27FC236}">
                <a16:creationId xmlns:a16="http://schemas.microsoft.com/office/drawing/2014/main" id="{5169722B-AE3B-4C2F-B206-4EE7476A51EC}"/>
              </a:ext>
            </a:extLst>
          </xdr:cNvPr>
          <xdr:cNvCxnSpPr>
            <a:cxnSpLocks noChangeShapeType="1"/>
            <a:endCxn id="2235" idx="6"/>
          </xdr:cNvCxnSpPr>
        </xdr:nvCxnSpPr>
        <xdr:spPr bwMode="auto">
          <a:xfrm flipH="1">
            <a:off x="635" y="637"/>
            <a:ext cx="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sm" len="lg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38" name="AutoShape 10047">
            <a:extLst>
              <a:ext uri="{FF2B5EF4-FFF2-40B4-BE49-F238E27FC236}">
                <a16:creationId xmlns:a16="http://schemas.microsoft.com/office/drawing/2014/main" id="{60E5BB8D-B29A-45C5-9369-B2619162CBC0}"/>
              </a:ext>
            </a:extLst>
          </xdr:cNvPr>
          <xdr:cNvCxnSpPr>
            <a:cxnSpLocks noChangeShapeType="1"/>
            <a:endCxn id="2235" idx="4"/>
          </xdr:cNvCxnSpPr>
        </xdr:nvCxnSpPr>
        <xdr:spPr bwMode="auto">
          <a:xfrm flipV="1">
            <a:off x="620" y="652"/>
            <a:ext cx="0" cy="1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sm" len="lg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239" name="Oval 10048">
            <a:extLst>
              <a:ext uri="{FF2B5EF4-FFF2-40B4-BE49-F238E27FC236}">
                <a16:creationId xmlns:a16="http://schemas.microsoft.com/office/drawing/2014/main" id="{5F72C25D-ADAB-4491-8F5A-5983AD770A7C}"/>
              </a:ext>
            </a:extLst>
          </xdr:cNvPr>
          <xdr:cNvSpPr>
            <a:spLocks noChangeArrowheads="1"/>
          </xdr:cNvSpPr>
        </xdr:nvSpPr>
        <xdr:spPr bwMode="auto">
          <a:xfrm>
            <a:off x="611" y="628"/>
            <a:ext cx="18" cy="1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0" name="Rectangle 10049">
            <a:extLst>
              <a:ext uri="{FF2B5EF4-FFF2-40B4-BE49-F238E27FC236}">
                <a16:creationId xmlns:a16="http://schemas.microsoft.com/office/drawing/2014/main" id="{83DECC61-BD81-4402-9721-5A46F1E2D07D}"/>
              </a:ext>
            </a:extLst>
          </xdr:cNvPr>
          <xdr:cNvSpPr>
            <a:spLocks noChangeArrowheads="1"/>
          </xdr:cNvSpPr>
        </xdr:nvSpPr>
        <xdr:spPr bwMode="auto">
          <a:xfrm rot="2700000">
            <a:off x="615" y="604"/>
            <a:ext cx="10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41" name="Oval 10050">
            <a:extLst>
              <a:ext uri="{FF2B5EF4-FFF2-40B4-BE49-F238E27FC236}">
                <a16:creationId xmlns:a16="http://schemas.microsoft.com/office/drawing/2014/main" id="{3FD34F12-1BDA-45B3-AFFD-AE718C228F2E}"/>
              </a:ext>
            </a:extLst>
          </xdr:cNvPr>
          <xdr:cNvSpPr>
            <a:spLocks noChangeArrowheads="1"/>
          </xdr:cNvSpPr>
        </xdr:nvSpPr>
        <xdr:spPr bwMode="auto">
          <a:xfrm>
            <a:off x="615" y="632"/>
            <a:ext cx="10" cy="1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2" name="Line 10051">
            <a:extLst>
              <a:ext uri="{FF2B5EF4-FFF2-40B4-BE49-F238E27FC236}">
                <a16:creationId xmlns:a16="http://schemas.microsoft.com/office/drawing/2014/main" id="{7387A05C-0229-40DA-A6AC-D08613DA641C}"/>
              </a:ext>
            </a:extLst>
          </xdr:cNvPr>
          <xdr:cNvSpPr>
            <a:spLocks noChangeShapeType="1"/>
          </xdr:cNvSpPr>
        </xdr:nvSpPr>
        <xdr:spPr bwMode="auto">
          <a:xfrm>
            <a:off x="618" y="606"/>
            <a:ext cx="0" cy="6"/>
          </a:xfrm>
          <a:prstGeom prst="line">
            <a:avLst/>
          </a:pr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3" name="Line 10052">
            <a:extLst>
              <a:ext uri="{FF2B5EF4-FFF2-40B4-BE49-F238E27FC236}">
                <a16:creationId xmlns:a16="http://schemas.microsoft.com/office/drawing/2014/main" id="{415D7C72-2252-41B1-AFBC-C1FC57FFF4E2}"/>
              </a:ext>
            </a:extLst>
          </xdr:cNvPr>
          <xdr:cNvSpPr>
            <a:spLocks noChangeShapeType="1"/>
          </xdr:cNvSpPr>
        </xdr:nvSpPr>
        <xdr:spPr bwMode="auto">
          <a:xfrm>
            <a:off x="622" y="606"/>
            <a:ext cx="0" cy="6"/>
          </a:xfrm>
          <a:prstGeom prst="line">
            <a:avLst/>
          </a:pr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4" name="Line 10053">
            <a:extLst>
              <a:ext uri="{FF2B5EF4-FFF2-40B4-BE49-F238E27FC236}">
                <a16:creationId xmlns:a16="http://schemas.microsoft.com/office/drawing/2014/main" id="{C194B60D-508B-4133-9F02-A7F9E37E9E1A}"/>
              </a:ext>
            </a:extLst>
          </xdr:cNvPr>
          <xdr:cNvSpPr>
            <a:spLocks noChangeShapeType="1"/>
          </xdr:cNvSpPr>
        </xdr:nvSpPr>
        <xdr:spPr bwMode="auto">
          <a:xfrm>
            <a:off x="618" y="606"/>
            <a:ext cx="4" cy="6"/>
          </a:xfrm>
          <a:prstGeom prst="line">
            <a:avLst/>
          </a:prstGeom>
          <a:noFill/>
          <a:ln w="12700">
            <a:solidFill>
              <a:srgbClr val="FFFF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190500</xdr:colOff>
      <xdr:row>7</xdr:row>
      <xdr:rowOff>904878</xdr:rowOff>
    </xdr:from>
    <xdr:to>
      <xdr:col>16</xdr:col>
      <xdr:colOff>66676</xdr:colOff>
      <xdr:row>7</xdr:row>
      <xdr:rowOff>2114554</xdr:rowOff>
    </xdr:to>
    <xdr:cxnSp macro="">
      <xdr:nvCxnSpPr>
        <xdr:cNvPr id="712" name="直線矢印コネクタ 711">
          <a:extLst>
            <a:ext uri="{FF2B5EF4-FFF2-40B4-BE49-F238E27FC236}">
              <a16:creationId xmlns:a16="http://schemas.microsoft.com/office/drawing/2014/main" id="{D5FEE621-6407-45BD-89F7-077CA377ECA7}"/>
            </a:ext>
          </a:extLst>
        </xdr:cNvPr>
        <xdr:cNvCxnSpPr/>
      </xdr:nvCxnSpPr>
      <xdr:spPr>
        <a:xfrm rot="5400000">
          <a:off x="4014788" y="3052765"/>
          <a:ext cx="1209676" cy="190501"/>
        </a:xfrm>
        <a:prstGeom prst="straightConnector1">
          <a:avLst/>
        </a:prstGeom>
        <a:ln>
          <a:headEnd type="triangle" w="sm" len="med"/>
          <a:tailEnd type="triangle" w="sm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76200</xdr:colOff>
      <xdr:row>7</xdr:row>
      <xdr:rowOff>1333500</xdr:rowOff>
    </xdr:from>
    <xdr:ext cx="595035" cy="264047"/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9B62BC6C-F4FA-4416-B2D2-A627A79B1E0C}"/>
            </a:ext>
          </a:extLst>
        </xdr:cNvPr>
        <xdr:cNvSpPr txBox="1"/>
      </xdr:nvSpPr>
      <xdr:spPr>
        <a:xfrm>
          <a:off x="4095750" y="2971800"/>
          <a:ext cx="595035" cy="2640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kumimoji="1" lang="ja-JP" altLang="en-US" sz="800"/>
            <a:t>ピヨピヨ</a:t>
          </a:r>
        </a:p>
      </xdr:txBody>
    </xdr:sp>
    <xdr:clientData/>
  </xdr:oneCellAnchor>
  <xdr:twoCellAnchor>
    <xdr:from>
      <xdr:col>9</xdr:col>
      <xdr:colOff>257175</xdr:colOff>
      <xdr:row>8</xdr:row>
      <xdr:rowOff>171450</xdr:rowOff>
    </xdr:from>
    <xdr:to>
      <xdr:col>14</xdr:col>
      <xdr:colOff>133350</xdr:colOff>
      <xdr:row>8</xdr:row>
      <xdr:rowOff>209553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4E7F024-89F4-4E83-A3FC-2944298FE05B}"/>
            </a:ext>
          </a:extLst>
        </xdr:cNvPr>
        <xdr:cNvCxnSpPr/>
      </xdr:nvCxnSpPr>
      <xdr:spPr>
        <a:xfrm flipV="1">
          <a:off x="2705100" y="4095750"/>
          <a:ext cx="1447800" cy="38103"/>
        </a:xfrm>
        <a:prstGeom prst="straightConnector1">
          <a:avLst/>
        </a:prstGeom>
        <a:ln>
          <a:headEnd type="triangle" w="sm" len="med"/>
          <a:tailEnd type="triangle" w="sm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142875</xdr:colOff>
      <xdr:row>7</xdr:row>
      <xdr:rowOff>2266950</xdr:rowOff>
    </xdr:from>
    <xdr:ext cx="649032" cy="216057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BFB1AAA-9E38-4732-8B82-075EB1C73962}"/>
            </a:ext>
          </a:extLst>
        </xdr:cNvPr>
        <xdr:cNvSpPr txBox="1"/>
      </xdr:nvSpPr>
      <xdr:spPr>
        <a:xfrm>
          <a:off x="3219450" y="3905250"/>
          <a:ext cx="649032" cy="2160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kumimoji="1" lang="ja-JP" altLang="en-US" sz="800"/>
            <a:t>カッコー</a:t>
          </a:r>
        </a:p>
      </xdr:txBody>
    </xdr:sp>
    <xdr:clientData/>
  </xdr:oneCellAnchor>
  <xdr:oneCellAnchor>
    <xdr:from>
      <xdr:col>10</xdr:col>
      <xdr:colOff>304800</xdr:colOff>
      <xdr:row>3</xdr:row>
      <xdr:rowOff>180975</xdr:rowOff>
    </xdr:from>
    <xdr:ext cx="1828800" cy="32385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7BE301A-DCCF-4981-8A31-AE1921B38F01}"/>
            </a:ext>
          </a:extLst>
        </xdr:cNvPr>
        <xdr:cNvSpPr txBox="1"/>
      </xdr:nvSpPr>
      <xdr:spPr>
        <a:xfrm>
          <a:off x="3067050" y="904875"/>
          <a:ext cx="182880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horz" wrap="square" rtlCol="0" anchor="t">
          <a:noAutofit/>
        </a:bodyPr>
        <a:lstStyle/>
        <a:p>
          <a:r>
            <a:rPr kumimoji="1" lang="ja-JP" altLang="en-US" sz="1100"/>
            <a:t>至　東片山町</a:t>
          </a:r>
        </a:p>
      </xdr:txBody>
    </xdr:sp>
    <xdr:clientData/>
  </xdr:oneCellAnchor>
  <xdr:oneCellAnchor>
    <xdr:from>
      <xdr:col>11</xdr:col>
      <xdr:colOff>85725</xdr:colOff>
      <xdr:row>11</xdr:row>
      <xdr:rowOff>200025</xdr:rowOff>
    </xdr:from>
    <xdr:ext cx="1828800" cy="32385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1240D9CB-54AE-464C-B842-402866E4ACFC}"/>
            </a:ext>
          </a:extLst>
        </xdr:cNvPr>
        <xdr:cNvSpPr txBox="1"/>
      </xdr:nvSpPr>
      <xdr:spPr>
        <a:xfrm>
          <a:off x="3162300" y="4810125"/>
          <a:ext cx="182880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="horz" wrap="square" rtlCol="0" anchor="t">
          <a:noAutofit/>
        </a:bodyPr>
        <a:lstStyle/>
        <a:p>
          <a:r>
            <a:rPr kumimoji="1" lang="ja-JP" altLang="en-US" sz="1100"/>
            <a:t>至　呉駅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W15" sqref="W15"/>
    </sheetView>
  </sheetViews>
  <sheetFormatPr defaultRowHeight="12" x14ac:dyDescent="0.15"/>
  <cols>
    <col min="1" max="1" width="7.5" style="79" bestFit="1" customWidth="1"/>
    <col min="2" max="2" width="2.25" style="93" bestFit="1" customWidth="1"/>
    <col min="3" max="3" width="5.25" style="85" bestFit="1" customWidth="1"/>
    <col min="4" max="4" width="2.25" style="86" bestFit="1" customWidth="1"/>
    <col min="5" max="24" width="4.125" style="69" customWidth="1"/>
    <col min="25" max="25" width="9" style="69"/>
    <col min="26" max="27" width="9.125" style="69" bestFit="1" customWidth="1"/>
    <col min="28" max="16384" width="9" style="69"/>
  </cols>
  <sheetData>
    <row r="1" spans="1:30" ht="15" customHeight="1" x14ac:dyDescent="0.15">
      <c r="A1" s="140" t="s">
        <v>0</v>
      </c>
      <c r="B1" s="129"/>
      <c r="C1" s="129"/>
      <c r="D1" s="129"/>
      <c r="E1" s="130"/>
      <c r="F1" s="145" t="s">
        <v>65</v>
      </c>
      <c r="G1" s="129"/>
      <c r="H1" s="126" t="s">
        <v>146</v>
      </c>
      <c r="I1" s="126"/>
      <c r="J1" s="126"/>
      <c r="K1" s="126"/>
      <c r="L1" s="129" t="s">
        <v>140</v>
      </c>
      <c r="M1" s="130"/>
      <c r="N1" s="133" t="s">
        <v>141</v>
      </c>
      <c r="O1" s="130"/>
      <c r="P1" s="134">
        <v>46071</v>
      </c>
      <c r="Q1" s="135"/>
      <c r="R1" s="135"/>
      <c r="S1" s="136"/>
      <c r="T1" s="128" t="s">
        <v>5</v>
      </c>
      <c r="U1" s="128"/>
      <c r="V1" s="128" t="s">
        <v>152</v>
      </c>
      <c r="W1" s="128"/>
      <c r="X1" s="128"/>
    </row>
    <row r="2" spans="1:30" ht="7.5" customHeight="1" x14ac:dyDescent="0.15">
      <c r="A2" s="144"/>
      <c r="B2" s="131"/>
      <c r="C2" s="131"/>
      <c r="D2" s="131"/>
      <c r="E2" s="132"/>
      <c r="F2" s="144"/>
      <c r="G2" s="131"/>
      <c r="H2" s="127"/>
      <c r="I2" s="127"/>
      <c r="J2" s="127"/>
      <c r="K2" s="127"/>
      <c r="L2" s="131"/>
      <c r="M2" s="132"/>
      <c r="N2" s="107"/>
      <c r="O2" s="109"/>
      <c r="P2" s="137"/>
      <c r="Q2" s="138"/>
      <c r="R2" s="138"/>
      <c r="S2" s="139"/>
      <c r="T2" s="140" t="s">
        <v>9</v>
      </c>
      <c r="U2" s="130"/>
      <c r="V2" s="101">
        <v>46023</v>
      </c>
      <c r="W2" s="102"/>
      <c r="X2" s="103"/>
    </row>
    <row r="3" spans="1:30" ht="7.5" customHeight="1" x14ac:dyDescent="0.15">
      <c r="A3" s="107" t="s">
        <v>6</v>
      </c>
      <c r="B3" s="108"/>
      <c r="C3" s="108"/>
      <c r="D3" s="108"/>
      <c r="E3" s="109"/>
      <c r="F3" s="113" t="s">
        <v>145</v>
      </c>
      <c r="G3" s="114"/>
      <c r="H3" s="115" t="s">
        <v>146</v>
      </c>
      <c r="I3" s="115"/>
      <c r="J3" s="115"/>
      <c r="K3" s="115"/>
      <c r="L3" s="117" t="s">
        <v>144</v>
      </c>
      <c r="M3" s="118"/>
      <c r="N3" s="107"/>
      <c r="O3" s="109"/>
      <c r="P3" s="121">
        <v>2.1527777777777778E-2</v>
      </c>
      <c r="Q3" s="122"/>
      <c r="R3" s="122"/>
      <c r="S3" s="125" t="s">
        <v>49</v>
      </c>
      <c r="T3" s="110"/>
      <c r="U3" s="112"/>
      <c r="V3" s="104"/>
      <c r="W3" s="105"/>
      <c r="X3" s="106"/>
    </row>
    <row r="4" spans="1:30" ht="15" customHeight="1" x14ac:dyDescent="0.15">
      <c r="A4" s="110"/>
      <c r="B4" s="111"/>
      <c r="C4" s="111"/>
      <c r="D4" s="111"/>
      <c r="E4" s="112"/>
      <c r="F4" s="110"/>
      <c r="G4" s="111"/>
      <c r="H4" s="116"/>
      <c r="I4" s="116"/>
      <c r="J4" s="116"/>
      <c r="K4" s="116"/>
      <c r="L4" s="119"/>
      <c r="M4" s="120"/>
      <c r="N4" s="110"/>
      <c r="O4" s="112"/>
      <c r="P4" s="123"/>
      <c r="Q4" s="124"/>
      <c r="R4" s="124"/>
      <c r="S4" s="112"/>
      <c r="T4" s="128" t="s">
        <v>142</v>
      </c>
      <c r="U4" s="128"/>
      <c r="V4" s="128" t="s">
        <v>151</v>
      </c>
      <c r="W4" s="128"/>
      <c r="X4" s="128"/>
      <c r="Z4" s="96" t="s">
        <v>143</v>
      </c>
      <c r="AA4" s="97">
        <v>818</v>
      </c>
    </row>
    <row r="5" spans="1:30" ht="18" customHeight="1" x14ac:dyDescent="0.15">
      <c r="A5" s="156"/>
      <c r="B5" s="157"/>
      <c r="C5" s="157"/>
      <c r="D5" s="157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1"/>
    </row>
    <row r="6" spans="1:30" ht="18" customHeight="1" x14ac:dyDescent="0.15">
      <c r="A6" s="155"/>
      <c r="B6" s="151"/>
      <c r="C6" s="151"/>
      <c r="D6" s="151"/>
      <c r="X6" s="72"/>
    </row>
    <row r="7" spans="1:30" ht="18" customHeight="1" x14ac:dyDescent="0.15">
      <c r="A7" s="155"/>
      <c r="B7" s="151"/>
      <c r="C7" s="151"/>
      <c r="D7" s="151"/>
      <c r="X7" s="72"/>
    </row>
    <row r="8" spans="1:30" ht="18" customHeight="1" x14ac:dyDescent="0.15">
      <c r="A8" s="155"/>
      <c r="B8" s="151"/>
      <c r="C8" s="151"/>
      <c r="D8" s="151"/>
      <c r="X8" s="72"/>
    </row>
    <row r="9" spans="1:30" ht="18" customHeight="1" x14ac:dyDescent="0.15">
      <c r="A9" s="155"/>
      <c r="B9" s="151"/>
      <c r="C9" s="151"/>
      <c r="D9" s="151"/>
      <c r="X9" s="72"/>
    </row>
    <row r="10" spans="1:30" ht="147.75" customHeight="1" x14ac:dyDescent="0.15">
      <c r="A10" s="155"/>
      <c r="B10" s="151"/>
      <c r="C10" s="151"/>
      <c r="D10" s="151"/>
      <c r="X10" s="72"/>
    </row>
    <row r="11" spans="1:30" ht="18" customHeight="1" x14ac:dyDescent="0.15">
      <c r="A11" s="155"/>
      <c r="B11" s="151"/>
      <c r="C11" s="151"/>
      <c r="D11" s="151"/>
      <c r="X11" s="72"/>
    </row>
    <row r="12" spans="1:30" ht="18" customHeight="1" x14ac:dyDescent="0.15">
      <c r="A12" s="155"/>
      <c r="B12" s="151"/>
      <c r="C12" s="151"/>
      <c r="D12" s="151"/>
      <c r="X12" s="72"/>
    </row>
    <row r="13" spans="1:30" ht="18" customHeight="1" x14ac:dyDescent="0.15">
      <c r="A13" s="155"/>
      <c r="B13" s="151"/>
      <c r="C13" s="151"/>
      <c r="D13" s="151"/>
      <c r="X13" s="72"/>
    </row>
    <row r="14" spans="1:30" ht="18" customHeight="1" x14ac:dyDescent="0.15">
      <c r="A14" s="149"/>
      <c r="B14" s="150"/>
      <c r="C14" s="151"/>
      <c r="D14" s="151"/>
      <c r="X14" s="72"/>
      <c r="Z14" s="69">
        <v>50</v>
      </c>
      <c r="AA14" s="69">
        <f>Z14/3.6</f>
        <v>13.888888888888889</v>
      </c>
      <c r="AC14" s="98">
        <v>42.3</v>
      </c>
      <c r="AD14" s="98">
        <f>AC14/AA14</f>
        <v>3.0455999999999999</v>
      </c>
    </row>
    <row r="15" spans="1:30" ht="18" customHeight="1" x14ac:dyDescent="0.15">
      <c r="A15" s="152"/>
      <c r="B15" s="153"/>
      <c r="C15" s="151"/>
      <c r="D15" s="151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100" t="s">
        <v>147</v>
      </c>
      <c r="Z15" s="69">
        <v>40</v>
      </c>
      <c r="AA15" s="69">
        <f>Z15/3.6</f>
        <v>11.111111111111111</v>
      </c>
      <c r="AC15" s="98">
        <v>44.2</v>
      </c>
      <c r="AD15" s="98">
        <f>AC15/AA15</f>
        <v>3.9780000000000002</v>
      </c>
    </row>
    <row r="16" spans="1:30" s="76" customFormat="1" ht="18" customHeight="1" x14ac:dyDescent="0.15">
      <c r="A16" s="154" t="s">
        <v>11</v>
      </c>
      <c r="B16" s="154"/>
      <c r="C16" s="154"/>
      <c r="D16" s="154"/>
      <c r="E16" s="74">
        <v>1</v>
      </c>
      <c r="F16" s="74">
        <v>2</v>
      </c>
      <c r="G16" s="74">
        <v>3</v>
      </c>
      <c r="H16" s="74">
        <v>4</v>
      </c>
      <c r="I16" s="74">
        <v>5</v>
      </c>
      <c r="J16" s="74">
        <v>6</v>
      </c>
      <c r="K16" s="74">
        <v>7</v>
      </c>
      <c r="L16" s="74">
        <v>8</v>
      </c>
      <c r="M16" s="74">
        <v>9</v>
      </c>
      <c r="N16" s="74">
        <v>10</v>
      </c>
      <c r="O16" s="74">
        <v>11</v>
      </c>
      <c r="P16" s="74">
        <v>12</v>
      </c>
      <c r="Q16" s="74">
        <v>13</v>
      </c>
      <c r="R16" s="75">
        <v>14</v>
      </c>
      <c r="S16" s="74">
        <v>15</v>
      </c>
      <c r="T16" s="74">
        <v>16</v>
      </c>
      <c r="U16" s="74">
        <v>17</v>
      </c>
      <c r="V16" s="74">
        <v>18</v>
      </c>
      <c r="W16" s="74">
        <v>19</v>
      </c>
      <c r="X16" s="74">
        <v>20</v>
      </c>
    </row>
    <row r="17" spans="1:27" s="79" customFormat="1" ht="18" customHeight="1" x14ac:dyDescent="0.15">
      <c r="A17" s="154" t="s">
        <v>12</v>
      </c>
      <c r="B17" s="154"/>
      <c r="C17" s="154"/>
      <c r="D17" s="154"/>
      <c r="E17" s="77" t="s">
        <v>13</v>
      </c>
      <c r="F17" s="77" t="s">
        <v>14</v>
      </c>
      <c r="G17" s="77" t="s">
        <v>15</v>
      </c>
      <c r="H17" s="77" t="s">
        <v>16</v>
      </c>
      <c r="I17" s="77" t="s">
        <v>17</v>
      </c>
      <c r="J17" s="77" t="s">
        <v>16</v>
      </c>
      <c r="K17" s="77" t="s">
        <v>18</v>
      </c>
      <c r="L17" s="77" t="s">
        <v>19</v>
      </c>
      <c r="M17" s="77" t="s">
        <v>20</v>
      </c>
      <c r="N17" s="77" t="s">
        <v>21</v>
      </c>
      <c r="O17" s="77" t="s">
        <v>22</v>
      </c>
      <c r="P17" s="77" t="s">
        <v>23</v>
      </c>
      <c r="Q17" s="77" t="s">
        <v>22</v>
      </c>
      <c r="R17" s="78" t="s">
        <v>24</v>
      </c>
      <c r="S17" s="77"/>
      <c r="T17" s="77"/>
      <c r="U17" s="77"/>
      <c r="V17" s="77"/>
      <c r="W17" s="77"/>
      <c r="X17" s="77"/>
    </row>
    <row r="18" spans="1:27" s="79" customFormat="1" ht="125.1" customHeight="1" x14ac:dyDescent="0.15">
      <c r="A18" s="141"/>
      <c r="B18" s="142"/>
      <c r="C18" s="142"/>
      <c r="D18" s="143"/>
      <c r="E18" s="80"/>
      <c r="F18" s="81"/>
      <c r="G18" s="81"/>
      <c r="H18" s="78"/>
      <c r="I18" s="80"/>
      <c r="J18" s="81"/>
      <c r="K18" s="78"/>
      <c r="L18" s="80"/>
      <c r="M18" s="81"/>
      <c r="N18" s="81"/>
      <c r="O18" s="78"/>
      <c r="P18" s="80"/>
      <c r="Q18" s="81"/>
      <c r="R18" s="78"/>
      <c r="S18" s="80"/>
      <c r="T18" s="81"/>
      <c r="U18" s="81"/>
      <c r="V18" s="81"/>
      <c r="W18" s="81"/>
      <c r="X18" s="78"/>
    </row>
    <row r="19" spans="1:27" ht="18" customHeight="1" x14ac:dyDescent="0.15">
      <c r="A19" s="141" t="s">
        <v>149</v>
      </c>
      <c r="B19" s="142"/>
      <c r="C19" s="142" t="s">
        <v>25</v>
      </c>
      <c r="D19" s="143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</row>
    <row r="20" spans="1:27" ht="18" customHeight="1" x14ac:dyDescent="0.15">
      <c r="A20" s="141" t="s">
        <v>26</v>
      </c>
      <c r="B20" s="142"/>
      <c r="C20" s="142" t="s">
        <v>27</v>
      </c>
      <c r="D20" s="143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</row>
    <row r="21" spans="1:27" ht="18" customHeight="1" x14ac:dyDescent="0.15">
      <c r="A21" s="141" t="s">
        <v>28</v>
      </c>
      <c r="B21" s="142"/>
      <c r="C21" s="142" t="s">
        <v>29</v>
      </c>
      <c r="D21" s="143"/>
      <c r="E21" s="82"/>
      <c r="F21" s="82"/>
      <c r="G21" s="82"/>
      <c r="H21" s="82"/>
      <c r="I21" s="83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</row>
    <row r="22" spans="1:27" ht="18" customHeight="1" x14ac:dyDescent="0.15">
      <c r="A22" s="141" t="s">
        <v>150</v>
      </c>
      <c r="B22" s="142"/>
      <c r="C22" s="142" t="s">
        <v>30</v>
      </c>
      <c r="D22" s="143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</row>
    <row r="23" spans="1:27" ht="18" customHeight="1" x14ac:dyDescent="0.15">
      <c r="A23" s="141" t="s">
        <v>31</v>
      </c>
      <c r="B23" s="142"/>
      <c r="C23" s="142" t="s">
        <v>32</v>
      </c>
      <c r="D23" s="143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</row>
    <row r="24" spans="1:27" ht="18" customHeight="1" x14ac:dyDescent="0.15">
      <c r="A24" s="141" t="s">
        <v>33</v>
      </c>
      <c r="B24" s="142"/>
      <c r="C24" s="142" t="s">
        <v>34</v>
      </c>
      <c r="D24" s="143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3"/>
      <c r="Q24" s="82"/>
      <c r="R24" s="82"/>
      <c r="S24" s="82"/>
      <c r="T24" s="82"/>
      <c r="U24" s="82"/>
      <c r="V24" s="82"/>
      <c r="W24" s="82"/>
      <c r="X24" s="82"/>
    </row>
    <row r="25" spans="1:27" ht="18" customHeight="1" x14ac:dyDescent="0.15">
      <c r="A25" s="146"/>
      <c r="B25" s="147"/>
      <c r="C25" s="142"/>
      <c r="D25" s="143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</row>
    <row r="26" spans="1:27" ht="18" customHeight="1" x14ac:dyDescent="0.15">
      <c r="A26" s="146"/>
      <c r="B26" s="147"/>
      <c r="C26" s="142"/>
      <c r="D26" s="143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</row>
    <row r="27" spans="1:27" ht="18" customHeight="1" x14ac:dyDescent="0.15">
      <c r="A27" s="146"/>
      <c r="B27" s="147"/>
      <c r="C27" s="142"/>
      <c r="D27" s="143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</row>
    <row r="28" spans="1:27" ht="18" customHeight="1" x14ac:dyDescent="0.15">
      <c r="A28" s="146"/>
      <c r="B28" s="147"/>
      <c r="C28" s="142"/>
      <c r="D28" s="143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</row>
    <row r="29" spans="1:27" ht="18" customHeight="1" x14ac:dyDescent="0.15">
      <c r="A29" s="146"/>
      <c r="B29" s="147"/>
      <c r="C29" s="147"/>
      <c r="D29" s="148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</row>
    <row r="30" spans="1:27" ht="18" customHeight="1" x14ac:dyDescent="0.15">
      <c r="A30" s="146"/>
      <c r="B30" s="147"/>
      <c r="C30" s="147"/>
      <c r="D30" s="148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</row>
    <row r="31" spans="1:27" ht="18" customHeight="1" x14ac:dyDescent="0.15">
      <c r="A31" s="87" t="s">
        <v>127</v>
      </c>
      <c r="B31" s="90"/>
      <c r="C31" s="88"/>
      <c r="D31" s="89"/>
      <c r="E31" s="74">
        <v>109</v>
      </c>
      <c r="F31" s="74"/>
      <c r="G31" s="74"/>
      <c r="H31" s="74"/>
      <c r="I31" s="74">
        <v>109</v>
      </c>
      <c r="J31" s="74"/>
      <c r="K31" s="74"/>
      <c r="L31" s="74">
        <v>109</v>
      </c>
      <c r="M31" s="74"/>
      <c r="N31" s="74"/>
      <c r="O31" s="74"/>
      <c r="P31" s="74">
        <v>109</v>
      </c>
      <c r="Q31" s="74"/>
      <c r="R31" s="74"/>
      <c r="S31" s="74"/>
      <c r="T31" s="74"/>
      <c r="U31" s="74"/>
      <c r="V31" s="74"/>
      <c r="W31" s="74"/>
      <c r="X31" s="74"/>
    </row>
    <row r="32" spans="1:27" ht="18" customHeight="1" x14ac:dyDescent="0.15">
      <c r="A32" s="87" t="s">
        <v>135</v>
      </c>
      <c r="B32" s="90" t="s">
        <v>41</v>
      </c>
      <c r="C32" s="91">
        <f>SUM(E32:X32)</f>
        <v>92</v>
      </c>
      <c r="D32" s="92" t="s">
        <v>42</v>
      </c>
      <c r="E32" s="74">
        <v>21</v>
      </c>
      <c r="F32" s="74">
        <v>7</v>
      </c>
      <c r="G32" s="74">
        <v>5</v>
      </c>
      <c r="H32" s="74">
        <v>3</v>
      </c>
      <c r="I32" s="74">
        <v>5</v>
      </c>
      <c r="J32" s="74">
        <v>2</v>
      </c>
      <c r="K32" s="74">
        <v>3</v>
      </c>
      <c r="L32" s="74">
        <v>21</v>
      </c>
      <c r="M32" s="74">
        <v>9</v>
      </c>
      <c r="N32" s="74">
        <v>2</v>
      </c>
      <c r="O32" s="74">
        <v>3</v>
      </c>
      <c r="P32" s="74">
        <v>5</v>
      </c>
      <c r="Q32" s="74">
        <v>2</v>
      </c>
      <c r="R32" s="74">
        <v>4</v>
      </c>
      <c r="S32" s="74"/>
      <c r="T32" s="74"/>
      <c r="U32" s="74"/>
      <c r="V32" s="74"/>
      <c r="W32" s="74"/>
      <c r="X32" s="99" t="s">
        <v>148</v>
      </c>
      <c r="Y32" s="84"/>
      <c r="Z32" s="69">
        <v>120</v>
      </c>
      <c r="AA32" s="69">
        <f>Z32-INT(Z32/8)-3</f>
        <v>102</v>
      </c>
    </row>
    <row r="33" spans="1:27" ht="18" customHeight="1" x14ac:dyDescent="0.15">
      <c r="A33" s="87" t="s">
        <v>136</v>
      </c>
      <c r="B33" s="90" t="s">
        <v>41</v>
      </c>
      <c r="C33" s="91">
        <f>SUM(E33:X33)</f>
        <v>93</v>
      </c>
      <c r="D33" s="92" t="s">
        <v>42</v>
      </c>
      <c r="E33" s="74">
        <v>21</v>
      </c>
      <c r="F33" s="74">
        <v>7</v>
      </c>
      <c r="G33" s="74">
        <v>3</v>
      </c>
      <c r="H33" s="74">
        <v>3</v>
      </c>
      <c r="I33" s="74">
        <v>5</v>
      </c>
      <c r="J33" s="74">
        <v>2</v>
      </c>
      <c r="K33" s="74">
        <v>3</v>
      </c>
      <c r="L33" s="74">
        <v>21</v>
      </c>
      <c r="M33" s="74">
        <v>9</v>
      </c>
      <c r="N33" s="74">
        <v>5</v>
      </c>
      <c r="O33" s="74">
        <v>3</v>
      </c>
      <c r="P33" s="74">
        <v>5</v>
      </c>
      <c r="Q33" s="74">
        <v>2</v>
      </c>
      <c r="R33" s="74">
        <v>4</v>
      </c>
      <c r="S33" s="74"/>
      <c r="T33" s="74"/>
      <c r="U33" s="74"/>
      <c r="V33" s="74"/>
      <c r="W33" s="74"/>
      <c r="X33" s="95" t="s">
        <v>139</v>
      </c>
      <c r="Y33" s="84"/>
      <c r="Z33" s="69">
        <v>140</v>
      </c>
      <c r="AA33" s="69">
        <f>Z33-INT(Z33/8)-3</f>
        <v>120</v>
      </c>
    </row>
    <row r="34" spans="1:27" ht="18" customHeight="1" x14ac:dyDescent="0.15">
      <c r="A34" s="87" t="s">
        <v>137</v>
      </c>
      <c r="B34" s="90" t="s">
        <v>41</v>
      </c>
      <c r="C34" s="91">
        <f>SUM(E34:X34)</f>
        <v>96</v>
      </c>
      <c r="D34" s="92" t="s">
        <v>42</v>
      </c>
      <c r="E34" s="74">
        <v>20</v>
      </c>
      <c r="F34" s="74">
        <v>7</v>
      </c>
      <c r="G34" s="74">
        <v>3</v>
      </c>
      <c r="H34" s="74">
        <v>3</v>
      </c>
      <c r="I34" s="74">
        <v>5</v>
      </c>
      <c r="J34" s="74">
        <v>2</v>
      </c>
      <c r="K34" s="74">
        <v>3</v>
      </c>
      <c r="L34" s="74">
        <v>21</v>
      </c>
      <c r="M34" s="74">
        <v>9</v>
      </c>
      <c r="N34" s="74">
        <v>9</v>
      </c>
      <c r="O34" s="74">
        <v>3</v>
      </c>
      <c r="P34" s="74">
        <v>5</v>
      </c>
      <c r="Q34" s="74">
        <v>2</v>
      </c>
      <c r="R34" s="74">
        <v>4</v>
      </c>
      <c r="S34" s="74"/>
      <c r="T34" s="74"/>
      <c r="U34" s="74"/>
      <c r="V34" s="74"/>
      <c r="W34" s="74"/>
      <c r="X34" s="95" t="s">
        <v>138</v>
      </c>
      <c r="Y34" s="69">
        <v>140</v>
      </c>
    </row>
    <row r="35" spans="1:27" ht="18" customHeight="1" x14ac:dyDescent="0.15">
      <c r="A35" s="94" t="s">
        <v>40</v>
      </c>
      <c r="B35" s="90" t="s">
        <v>41</v>
      </c>
      <c r="C35" s="91">
        <f>SUM(E35:X35)</f>
        <v>140</v>
      </c>
      <c r="D35" s="92" t="s">
        <v>42</v>
      </c>
      <c r="E35" s="74">
        <v>30</v>
      </c>
      <c r="F35" s="74">
        <v>7</v>
      </c>
      <c r="G35" s="74">
        <v>5</v>
      </c>
      <c r="H35" s="74">
        <v>3</v>
      </c>
      <c r="I35" s="74">
        <v>12</v>
      </c>
      <c r="J35" s="74">
        <v>2</v>
      </c>
      <c r="K35" s="74">
        <v>3</v>
      </c>
      <c r="L35" s="74">
        <v>39</v>
      </c>
      <c r="M35" s="74">
        <v>9</v>
      </c>
      <c r="N35" s="74">
        <v>2</v>
      </c>
      <c r="O35" s="74">
        <v>3</v>
      </c>
      <c r="P35" s="74">
        <v>19</v>
      </c>
      <c r="Q35" s="74">
        <v>2</v>
      </c>
      <c r="R35" s="74">
        <v>4</v>
      </c>
      <c r="S35" s="74"/>
      <c r="T35" s="74"/>
      <c r="U35" s="74"/>
      <c r="V35" s="74"/>
      <c r="W35" s="74"/>
      <c r="X35" s="74"/>
    </row>
    <row r="36" spans="1:27" ht="18" customHeight="1" x14ac:dyDescent="0.15">
      <c r="A36" s="141" t="s">
        <v>43</v>
      </c>
      <c r="B36" s="142"/>
      <c r="C36" s="142"/>
      <c r="D36" s="143"/>
      <c r="E36" s="74">
        <v>110</v>
      </c>
      <c r="F36" s="74">
        <v>110</v>
      </c>
      <c r="G36" s="74">
        <v>110</v>
      </c>
      <c r="H36" s="74">
        <v>10</v>
      </c>
      <c r="I36" s="74">
        <v>110</v>
      </c>
      <c r="J36" s="74">
        <v>10</v>
      </c>
      <c r="K36" s="74">
        <v>10</v>
      </c>
      <c r="L36" s="74">
        <v>110</v>
      </c>
      <c r="M36" s="74">
        <v>110</v>
      </c>
      <c r="N36" s="74">
        <v>110</v>
      </c>
      <c r="O36" s="74">
        <v>10</v>
      </c>
      <c r="P36" s="74">
        <v>110</v>
      </c>
      <c r="Q36" s="74">
        <v>10</v>
      </c>
      <c r="R36" s="74">
        <v>10</v>
      </c>
      <c r="S36" s="74"/>
      <c r="T36" s="74"/>
      <c r="U36" s="74"/>
      <c r="V36" s="74"/>
      <c r="W36" s="74"/>
      <c r="X36" s="74"/>
    </row>
    <row r="37" spans="1:27" ht="18" customHeight="1" x14ac:dyDescent="0.15">
      <c r="A37" s="141" t="s">
        <v>44</v>
      </c>
      <c r="B37" s="142"/>
      <c r="C37" s="142"/>
      <c r="D37" s="143"/>
      <c r="E37" s="74">
        <v>6</v>
      </c>
      <c r="F37" s="74">
        <v>0.95</v>
      </c>
      <c r="G37" s="74">
        <v>0.95</v>
      </c>
      <c r="H37" s="74">
        <v>0.95</v>
      </c>
      <c r="I37" s="74">
        <v>0.95</v>
      </c>
      <c r="J37" s="74">
        <v>0.95</v>
      </c>
      <c r="K37" s="74">
        <v>0.95</v>
      </c>
      <c r="L37" s="74">
        <v>6</v>
      </c>
      <c r="M37" s="74">
        <v>0.95</v>
      </c>
      <c r="N37" s="74">
        <v>0.95</v>
      </c>
      <c r="O37" s="74">
        <v>0.95</v>
      </c>
      <c r="P37" s="74">
        <v>0.95</v>
      </c>
      <c r="Q37" s="74">
        <v>0.95</v>
      </c>
      <c r="R37" s="74">
        <v>0.95</v>
      </c>
      <c r="S37" s="74"/>
      <c r="T37" s="74"/>
      <c r="U37" s="74"/>
      <c r="V37" s="74"/>
      <c r="W37" s="74"/>
      <c r="X37" s="74"/>
    </row>
    <row r="38" spans="1:27" ht="18" customHeight="1" x14ac:dyDescent="0.15">
      <c r="A38" s="141" t="s">
        <v>45</v>
      </c>
      <c r="B38" s="142"/>
      <c r="C38" s="142"/>
      <c r="D38" s="143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</row>
  </sheetData>
  <mergeCells count="70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C27:D27"/>
    <mergeCell ref="A22:B22"/>
    <mergeCell ref="C22:D22"/>
    <mergeCell ref="A23:B23"/>
    <mergeCell ref="C23:D23"/>
    <mergeCell ref="A24:B24"/>
    <mergeCell ref="C24:D24"/>
    <mergeCell ref="A36:D36"/>
    <mergeCell ref="A37:D37"/>
    <mergeCell ref="A38:D38"/>
    <mergeCell ref="A1:E2"/>
    <mergeCell ref="F1:G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T1:U1"/>
    <mergeCell ref="N1:O4"/>
    <mergeCell ref="P1:S2"/>
    <mergeCell ref="T2:U3"/>
  </mergeCells>
  <phoneticPr fontId="2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"/>
  <sheetViews>
    <sheetView view="pageBreakPreview" zoomScaleNormal="100" zoomScaleSheetLayoutView="100" workbookViewId="0">
      <selection activeCell="F2" sqref="F2:G2"/>
    </sheetView>
  </sheetViews>
  <sheetFormatPr defaultRowHeight="11.25" x14ac:dyDescent="0.15"/>
  <cols>
    <col min="1" max="1" width="7.5" style="24" bestFit="1" customWidth="1"/>
    <col min="2" max="2" width="2" style="24" bestFit="1" customWidth="1"/>
    <col min="3" max="3" width="5.25" style="24" bestFit="1" customWidth="1"/>
    <col min="4" max="4" width="2" style="59" bestFit="1" customWidth="1"/>
    <col min="5" max="24" width="4.125" style="3" customWidth="1"/>
    <col min="25" max="16384" width="9" style="3"/>
  </cols>
  <sheetData>
    <row r="1" spans="1:25" ht="20.100000000000001" customHeight="1" x14ac:dyDescent="0.15">
      <c r="A1" s="170" t="s">
        <v>0</v>
      </c>
      <c r="B1" s="170"/>
      <c r="C1" s="170"/>
      <c r="D1" s="170"/>
      <c r="E1" s="170"/>
      <c r="F1" s="171" t="s">
        <v>133</v>
      </c>
      <c r="G1" s="172"/>
      <c r="H1" s="173" t="s">
        <v>2</v>
      </c>
      <c r="I1" s="174"/>
      <c r="J1" s="174"/>
      <c r="K1" s="174"/>
      <c r="L1" s="174"/>
      <c r="M1" s="174"/>
      <c r="N1" s="175" t="s">
        <v>3</v>
      </c>
      <c r="O1" s="175"/>
      <c r="P1" s="170" t="s">
        <v>4</v>
      </c>
      <c r="Q1" s="170"/>
      <c r="R1" s="170"/>
      <c r="S1" s="170"/>
      <c r="T1" s="168" t="s">
        <v>5</v>
      </c>
      <c r="U1" s="168"/>
      <c r="V1" s="158" t="s">
        <v>48</v>
      </c>
      <c r="W1" s="158"/>
      <c r="X1" s="158"/>
    </row>
    <row r="2" spans="1:25" ht="20.100000000000001" customHeight="1" x14ac:dyDescent="0.15">
      <c r="A2" s="159" t="s">
        <v>6</v>
      </c>
      <c r="B2" s="159"/>
      <c r="C2" s="159"/>
      <c r="D2" s="159"/>
      <c r="E2" s="159"/>
      <c r="F2" s="160" t="s">
        <v>134</v>
      </c>
      <c r="G2" s="161"/>
      <c r="H2" s="162" t="s">
        <v>2</v>
      </c>
      <c r="I2" s="162"/>
      <c r="J2" s="162"/>
      <c r="K2" s="162"/>
      <c r="L2" s="163" t="s">
        <v>52</v>
      </c>
      <c r="M2" s="164"/>
      <c r="N2" s="159" t="s">
        <v>8</v>
      </c>
      <c r="O2" s="159"/>
      <c r="P2" s="165">
        <v>0.50902777777777775</v>
      </c>
      <c r="Q2" s="166"/>
      <c r="R2" s="167"/>
      <c r="S2" s="4" t="s">
        <v>49</v>
      </c>
      <c r="T2" s="168" t="s">
        <v>9</v>
      </c>
      <c r="U2" s="168"/>
      <c r="V2" s="169" t="s">
        <v>10</v>
      </c>
      <c r="W2" s="169"/>
      <c r="X2" s="169"/>
    </row>
    <row r="3" spans="1:25" ht="18" customHeight="1" x14ac:dyDescent="0.15">
      <c r="A3" s="176"/>
      <c r="B3" s="177"/>
      <c r="C3" s="177"/>
      <c r="D3" s="17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78"/>
      <c r="B4" s="179"/>
      <c r="C4" s="179"/>
      <c r="D4" s="179"/>
      <c r="X4" s="8"/>
    </row>
    <row r="5" spans="1:25" ht="18" customHeight="1" x14ac:dyDescent="0.15">
      <c r="A5" s="178"/>
      <c r="B5" s="179"/>
      <c r="C5" s="179"/>
      <c r="D5" s="179"/>
      <c r="X5" s="8"/>
    </row>
    <row r="6" spans="1:25" ht="18" customHeight="1" x14ac:dyDescent="0.15">
      <c r="A6" s="178"/>
      <c r="B6" s="179"/>
      <c r="C6" s="179"/>
      <c r="D6" s="179"/>
      <c r="X6" s="8"/>
    </row>
    <row r="7" spans="1:25" ht="18" customHeight="1" x14ac:dyDescent="0.15">
      <c r="A7" s="178"/>
      <c r="B7" s="179"/>
      <c r="C7" s="179"/>
      <c r="D7" s="179"/>
      <c r="X7" s="8"/>
    </row>
    <row r="8" spans="1:25" ht="147.75" customHeight="1" x14ac:dyDescent="0.15">
      <c r="A8" s="178"/>
      <c r="B8" s="179"/>
      <c r="C8" s="179"/>
      <c r="D8" s="179"/>
      <c r="X8" s="8"/>
    </row>
    <row r="9" spans="1:25" ht="18" customHeight="1" x14ac:dyDescent="0.15">
      <c r="A9" s="178"/>
      <c r="B9" s="179"/>
      <c r="C9" s="179"/>
      <c r="D9" s="179"/>
      <c r="X9" s="8"/>
    </row>
    <row r="10" spans="1:25" ht="18" customHeight="1" x14ac:dyDescent="0.15">
      <c r="A10" s="178"/>
      <c r="B10" s="179"/>
      <c r="C10" s="179"/>
      <c r="D10" s="179"/>
      <c r="X10" s="8"/>
    </row>
    <row r="11" spans="1:25" ht="18" customHeight="1" x14ac:dyDescent="0.15">
      <c r="A11" s="178"/>
      <c r="B11" s="179"/>
      <c r="C11" s="179"/>
      <c r="D11" s="179"/>
      <c r="X11" s="8"/>
    </row>
    <row r="12" spans="1:25" ht="18" customHeight="1" x14ac:dyDescent="0.15">
      <c r="A12" s="180"/>
      <c r="B12" s="181"/>
      <c r="C12" s="179"/>
      <c r="D12" s="179"/>
      <c r="X12" s="8"/>
    </row>
    <row r="13" spans="1:25" ht="18" customHeight="1" x14ac:dyDescent="0.15">
      <c r="A13" s="161"/>
      <c r="B13" s="182"/>
      <c r="C13" s="179"/>
      <c r="D13" s="17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4"/>
    </row>
    <row r="14" spans="1:25" s="11" customFormat="1" ht="18" customHeight="1" x14ac:dyDescent="0.15">
      <c r="A14" s="183" t="s">
        <v>11</v>
      </c>
      <c r="B14" s="183"/>
      <c r="C14" s="183"/>
      <c r="D14" s="183"/>
      <c r="E14" s="50">
        <v>1</v>
      </c>
      <c r="F14" s="50">
        <v>2</v>
      </c>
      <c r="G14" s="50">
        <v>3</v>
      </c>
      <c r="H14" s="50">
        <v>4</v>
      </c>
      <c r="I14" s="50">
        <v>5</v>
      </c>
      <c r="J14" s="50">
        <v>6</v>
      </c>
      <c r="K14" s="50">
        <v>7</v>
      </c>
      <c r="L14" s="50">
        <v>8</v>
      </c>
      <c r="M14" s="50">
        <v>9</v>
      </c>
      <c r="N14" s="50">
        <v>10</v>
      </c>
      <c r="O14" s="50">
        <v>11</v>
      </c>
      <c r="P14" s="50">
        <v>12</v>
      </c>
      <c r="Q14" s="50">
        <v>13</v>
      </c>
      <c r="R14" s="34">
        <v>14</v>
      </c>
      <c r="S14" s="50">
        <v>15</v>
      </c>
      <c r="T14" s="50">
        <v>16</v>
      </c>
      <c r="U14" s="50">
        <v>17</v>
      </c>
      <c r="V14" s="50">
        <v>18</v>
      </c>
      <c r="W14" s="50">
        <v>19</v>
      </c>
      <c r="X14" s="50">
        <v>20</v>
      </c>
    </row>
    <row r="15" spans="1:25" s="14" customFormat="1" ht="18" customHeight="1" x14ac:dyDescent="0.15">
      <c r="A15" s="183" t="s">
        <v>12</v>
      </c>
      <c r="B15" s="183"/>
      <c r="C15" s="183"/>
      <c r="D15" s="183"/>
      <c r="E15" s="51" t="s">
        <v>13</v>
      </c>
      <c r="F15" s="51" t="s">
        <v>14</v>
      </c>
      <c r="G15" s="51" t="s">
        <v>15</v>
      </c>
      <c r="H15" s="51" t="s">
        <v>16</v>
      </c>
      <c r="I15" s="51" t="s">
        <v>17</v>
      </c>
      <c r="J15" s="51" t="s">
        <v>16</v>
      </c>
      <c r="K15" s="51" t="s">
        <v>18</v>
      </c>
      <c r="L15" s="51" t="s">
        <v>19</v>
      </c>
      <c r="M15" s="51" t="s">
        <v>20</v>
      </c>
      <c r="N15" s="51" t="s">
        <v>21</v>
      </c>
      <c r="O15" s="51" t="s">
        <v>22</v>
      </c>
      <c r="P15" s="51" t="s">
        <v>23</v>
      </c>
      <c r="Q15" s="51" t="s">
        <v>22</v>
      </c>
      <c r="R15" s="52" t="s">
        <v>24</v>
      </c>
      <c r="S15" s="51"/>
      <c r="T15" s="51"/>
      <c r="U15" s="51"/>
      <c r="V15" s="51"/>
      <c r="W15" s="51"/>
      <c r="X15" s="51"/>
    </row>
    <row r="16" spans="1:25" s="14" customFormat="1" ht="125.1" customHeight="1" x14ac:dyDescent="0.15">
      <c r="A16" s="184"/>
      <c r="B16" s="185"/>
      <c r="C16" s="185"/>
      <c r="D16" s="186"/>
      <c r="E16" s="53"/>
      <c r="F16" s="54"/>
      <c r="G16" s="54"/>
      <c r="H16" s="52"/>
      <c r="I16" s="53"/>
      <c r="J16" s="54"/>
      <c r="K16" s="52"/>
      <c r="L16" s="53"/>
      <c r="M16" s="54"/>
      <c r="N16" s="54"/>
      <c r="O16" s="52"/>
      <c r="P16" s="53"/>
      <c r="Q16" s="54"/>
      <c r="R16" s="52"/>
      <c r="S16" s="53"/>
      <c r="T16" s="54"/>
      <c r="U16" s="54"/>
      <c r="V16" s="54"/>
      <c r="W16" s="54"/>
      <c r="X16" s="52"/>
      <c r="Y16" s="17"/>
    </row>
    <row r="17" spans="1:27" ht="18" customHeight="1" x14ac:dyDescent="0.15">
      <c r="A17" s="184" t="s">
        <v>50</v>
      </c>
      <c r="B17" s="185"/>
      <c r="C17" s="185" t="s">
        <v>25</v>
      </c>
      <c r="D17" s="186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7" ht="18" customHeight="1" x14ac:dyDescent="0.15">
      <c r="A18" s="184" t="s">
        <v>26</v>
      </c>
      <c r="B18" s="185"/>
      <c r="C18" s="185" t="s">
        <v>27</v>
      </c>
      <c r="D18" s="186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 spans="1:27" ht="18" customHeight="1" x14ac:dyDescent="0.15">
      <c r="A19" s="184" t="s">
        <v>28</v>
      </c>
      <c r="B19" s="185"/>
      <c r="C19" s="185" t="s">
        <v>29</v>
      </c>
      <c r="D19" s="186"/>
      <c r="E19" s="55"/>
      <c r="F19" s="55"/>
      <c r="G19" s="55"/>
      <c r="H19" s="55"/>
      <c r="I19" s="56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 spans="1:27" ht="18" customHeight="1" x14ac:dyDescent="0.15">
      <c r="A20" s="184" t="s">
        <v>51</v>
      </c>
      <c r="B20" s="185"/>
      <c r="C20" s="185" t="s">
        <v>30</v>
      </c>
      <c r="D20" s="186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 spans="1:27" ht="18" customHeight="1" x14ac:dyDescent="0.15">
      <c r="A21" s="184" t="s">
        <v>31</v>
      </c>
      <c r="B21" s="185"/>
      <c r="C21" s="185" t="s">
        <v>32</v>
      </c>
      <c r="D21" s="186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 spans="1:27" ht="18" customHeight="1" x14ac:dyDescent="0.15">
      <c r="A22" s="184" t="s">
        <v>33</v>
      </c>
      <c r="B22" s="185"/>
      <c r="C22" s="185" t="s">
        <v>34</v>
      </c>
      <c r="D22" s="186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6"/>
      <c r="Q22" s="55"/>
      <c r="R22" s="55"/>
      <c r="S22" s="55"/>
      <c r="T22" s="55"/>
      <c r="U22" s="55"/>
      <c r="V22" s="55"/>
      <c r="W22" s="55"/>
      <c r="X22" s="55"/>
    </row>
    <row r="23" spans="1:27" ht="18" customHeight="1" x14ac:dyDescent="0.15">
      <c r="A23" s="187"/>
      <c r="B23" s="188"/>
      <c r="C23" s="185"/>
      <c r="D23" s="186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spans="1:27" ht="18" customHeight="1" x14ac:dyDescent="0.15">
      <c r="A24" s="187"/>
      <c r="B24" s="188"/>
      <c r="C24" s="185"/>
      <c r="D24" s="186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 spans="1:27" ht="18" customHeight="1" x14ac:dyDescent="0.15">
      <c r="A25" s="187"/>
      <c r="B25" s="188"/>
      <c r="C25" s="185"/>
      <c r="D25" s="186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 spans="1:27" ht="18" customHeight="1" x14ac:dyDescent="0.15">
      <c r="A26" s="187"/>
      <c r="B26" s="188"/>
      <c r="C26" s="185"/>
      <c r="D26" s="186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 spans="1:27" ht="18" customHeight="1" x14ac:dyDescent="0.15">
      <c r="A27" s="187"/>
      <c r="B27" s="188"/>
      <c r="C27" s="188"/>
      <c r="D27" s="189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</row>
    <row r="28" spans="1:27" ht="18" customHeight="1" x14ac:dyDescent="0.15">
      <c r="A28" s="187"/>
      <c r="B28" s="188"/>
      <c r="C28" s="188"/>
      <c r="D28" s="189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 spans="1:27" ht="18" customHeight="1" x14ac:dyDescent="0.15">
      <c r="A29" s="31" t="s">
        <v>127</v>
      </c>
      <c r="B29" s="32"/>
      <c r="C29" s="32"/>
      <c r="D29" s="60"/>
      <c r="E29" s="50">
        <v>109</v>
      </c>
      <c r="F29" s="50"/>
      <c r="G29" s="50"/>
      <c r="H29" s="50"/>
      <c r="I29" s="50">
        <v>109</v>
      </c>
      <c r="J29" s="50"/>
      <c r="K29" s="50"/>
      <c r="L29" s="50">
        <v>109</v>
      </c>
      <c r="M29" s="50"/>
      <c r="N29" s="50"/>
      <c r="O29" s="50"/>
      <c r="P29" s="50">
        <v>109</v>
      </c>
      <c r="Q29" s="50"/>
      <c r="R29" s="50"/>
      <c r="S29" s="50"/>
      <c r="T29" s="50"/>
      <c r="U29" s="50"/>
      <c r="V29" s="50"/>
      <c r="W29" s="50"/>
      <c r="X29" s="50"/>
    </row>
    <row r="30" spans="1:27" ht="18" customHeight="1" x14ac:dyDescent="0.15">
      <c r="A30" s="31" t="s">
        <v>128</v>
      </c>
      <c r="B30" s="41" t="s">
        <v>41</v>
      </c>
      <c r="C30" s="22">
        <f>SUM(E30:X30)</f>
        <v>92</v>
      </c>
      <c r="D30" s="58" t="s">
        <v>42</v>
      </c>
      <c r="E30" s="50">
        <v>21</v>
      </c>
      <c r="F30" s="50">
        <v>7</v>
      </c>
      <c r="G30" s="50">
        <v>5</v>
      </c>
      <c r="H30" s="50">
        <v>3</v>
      </c>
      <c r="I30" s="62">
        <v>5</v>
      </c>
      <c r="J30" s="50">
        <v>2</v>
      </c>
      <c r="K30" s="50">
        <v>3</v>
      </c>
      <c r="L30" s="62">
        <v>21</v>
      </c>
      <c r="M30" s="50">
        <v>9</v>
      </c>
      <c r="N30" s="50">
        <v>2</v>
      </c>
      <c r="O30" s="50">
        <v>3</v>
      </c>
      <c r="P30" s="62">
        <v>5</v>
      </c>
      <c r="Q30" s="50">
        <v>2</v>
      </c>
      <c r="R30" s="50">
        <v>4</v>
      </c>
      <c r="S30" s="50"/>
      <c r="T30" s="50"/>
      <c r="U30" s="50"/>
      <c r="V30" s="50"/>
      <c r="W30" s="50"/>
      <c r="X30" s="50"/>
      <c r="Y30" s="61"/>
      <c r="Z30" s="3">
        <v>120</v>
      </c>
      <c r="AA30" s="3">
        <f>Z30-INT(Z30/8)-3</f>
        <v>102</v>
      </c>
    </row>
    <row r="31" spans="1:27" ht="18" customHeight="1" x14ac:dyDescent="0.15">
      <c r="A31" s="31" t="s">
        <v>129</v>
      </c>
      <c r="B31" s="41" t="s">
        <v>41</v>
      </c>
      <c r="C31" s="22">
        <f>SUM(E31:X31)</f>
        <v>93</v>
      </c>
      <c r="D31" s="58" t="s">
        <v>42</v>
      </c>
      <c r="E31" s="50">
        <v>21</v>
      </c>
      <c r="F31" s="50">
        <v>7</v>
      </c>
      <c r="G31" s="50">
        <v>3</v>
      </c>
      <c r="H31" s="50">
        <v>3</v>
      </c>
      <c r="I31" s="62">
        <v>5</v>
      </c>
      <c r="J31" s="50">
        <v>2</v>
      </c>
      <c r="K31" s="50">
        <v>3</v>
      </c>
      <c r="L31" s="62">
        <v>21</v>
      </c>
      <c r="M31" s="50">
        <v>9</v>
      </c>
      <c r="N31" s="50">
        <v>5</v>
      </c>
      <c r="O31" s="50">
        <v>3</v>
      </c>
      <c r="P31" s="62">
        <v>5</v>
      </c>
      <c r="Q31" s="50">
        <v>2</v>
      </c>
      <c r="R31" s="50">
        <v>4</v>
      </c>
      <c r="S31" s="50"/>
      <c r="T31" s="50"/>
      <c r="U31" s="50"/>
      <c r="V31" s="50"/>
      <c r="W31" s="50"/>
      <c r="X31" s="64" t="s">
        <v>132</v>
      </c>
      <c r="Y31" s="61"/>
      <c r="Z31" s="3">
        <v>140</v>
      </c>
      <c r="AA31" s="3">
        <f>Z31-INT(Z31/8)-3</f>
        <v>120</v>
      </c>
    </row>
    <row r="32" spans="1:27" ht="18" customHeight="1" x14ac:dyDescent="0.15">
      <c r="A32" s="65" t="s">
        <v>130</v>
      </c>
      <c r="B32" s="66" t="s">
        <v>41</v>
      </c>
      <c r="C32" s="67">
        <f>SUM(E32:X32)</f>
        <v>96</v>
      </c>
      <c r="D32" s="68" t="s">
        <v>42</v>
      </c>
      <c r="E32" s="62">
        <v>20</v>
      </c>
      <c r="F32" s="50">
        <v>7</v>
      </c>
      <c r="G32" s="50">
        <v>3</v>
      </c>
      <c r="H32" s="50">
        <v>3</v>
      </c>
      <c r="I32" s="62">
        <v>5</v>
      </c>
      <c r="J32" s="50">
        <v>2</v>
      </c>
      <c r="K32" s="50">
        <v>3</v>
      </c>
      <c r="L32" s="62">
        <v>21</v>
      </c>
      <c r="M32" s="50">
        <v>9</v>
      </c>
      <c r="N32" s="62">
        <v>9</v>
      </c>
      <c r="O32" s="50">
        <v>3</v>
      </c>
      <c r="P32" s="62">
        <v>5</v>
      </c>
      <c r="Q32" s="50">
        <v>2</v>
      </c>
      <c r="R32" s="50">
        <v>4</v>
      </c>
      <c r="S32" s="62"/>
      <c r="T32" s="62"/>
      <c r="U32" s="62"/>
      <c r="V32" s="62"/>
      <c r="W32" s="62"/>
      <c r="X32" s="63" t="s">
        <v>131</v>
      </c>
    </row>
    <row r="33" spans="1:24" ht="18" customHeight="1" x14ac:dyDescent="0.15">
      <c r="A33" s="57" t="s">
        <v>40</v>
      </c>
      <c r="B33" s="41" t="s">
        <v>41</v>
      </c>
      <c r="C33" s="22">
        <f>SUM(E33:X33)</f>
        <v>100</v>
      </c>
      <c r="D33" s="58" t="s">
        <v>42</v>
      </c>
      <c r="E33" s="50">
        <v>30</v>
      </c>
      <c r="F33" s="50">
        <v>7</v>
      </c>
      <c r="G33" s="50">
        <v>2</v>
      </c>
      <c r="H33" s="50">
        <v>3</v>
      </c>
      <c r="I33" s="50">
        <v>4</v>
      </c>
      <c r="J33" s="50">
        <v>2</v>
      </c>
      <c r="K33" s="50">
        <v>3</v>
      </c>
      <c r="L33" s="50">
        <v>25</v>
      </c>
      <c r="M33" s="50">
        <v>9</v>
      </c>
      <c r="N33" s="50">
        <v>2</v>
      </c>
      <c r="O33" s="50">
        <v>3</v>
      </c>
      <c r="P33" s="50">
        <v>4</v>
      </c>
      <c r="Q33" s="50">
        <v>2</v>
      </c>
      <c r="R33" s="50">
        <v>4</v>
      </c>
      <c r="S33" s="50"/>
      <c r="T33" s="50"/>
      <c r="U33" s="50"/>
      <c r="V33" s="50"/>
      <c r="W33" s="50"/>
      <c r="X33" s="50"/>
    </row>
    <row r="34" spans="1:24" ht="18" customHeight="1" x14ac:dyDescent="0.15">
      <c r="A34" s="184" t="s">
        <v>43</v>
      </c>
      <c r="B34" s="185"/>
      <c r="C34" s="185"/>
      <c r="D34" s="186"/>
      <c r="E34" s="50">
        <v>110</v>
      </c>
      <c r="F34" s="50">
        <v>110</v>
      </c>
      <c r="G34" s="50">
        <v>110</v>
      </c>
      <c r="H34" s="50">
        <v>10</v>
      </c>
      <c r="I34" s="50">
        <v>110</v>
      </c>
      <c r="J34" s="50">
        <v>10</v>
      </c>
      <c r="K34" s="50">
        <v>10</v>
      </c>
      <c r="L34" s="50">
        <v>110</v>
      </c>
      <c r="M34" s="50">
        <v>110</v>
      </c>
      <c r="N34" s="50">
        <v>110</v>
      </c>
      <c r="O34" s="50">
        <v>10</v>
      </c>
      <c r="P34" s="50">
        <v>110</v>
      </c>
      <c r="Q34" s="50">
        <v>10</v>
      </c>
      <c r="R34" s="50">
        <v>10</v>
      </c>
      <c r="S34" s="50"/>
      <c r="T34" s="50"/>
      <c r="U34" s="50"/>
      <c r="V34" s="50"/>
      <c r="W34" s="50"/>
      <c r="X34" s="50"/>
    </row>
    <row r="35" spans="1:24" ht="18" customHeight="1" x14ac:dyDescent="0.15">
      <c r="A35" s="184" t="s">
        <v>44</v>
      </c>
      <c r="B35" s="185"/>
      <c r="C35" s="185"/>
      <c r="D35" s="186"/>
      <c r="E35" s="50">
        <v>6</v>
      </c>
      <c r="F35" s="50">
        <v>0.95</v>
      </c>
      <c r="G35" s="50">
        <v>0.95</v>
      </c>
      <c r="H35" s="50">
        <v>0.95</v>
      </c>
      <c r="I35" s="50">
        <v>0.95</v>
      </c>
      <c r="J35" s="50">
        <v>0.95</v>
      </c>
      <c r="K35" s="50">
        <v>0.95</v>
      </c>
      <c r="L35" s="50">
        <v>6</v>
      </c>
      <c r="M35" s="50">
        <v>0.95</v>
      </c>
      <c r="N35" s="50">
        <v>0.95</v>
      </c>
      <c r="O35" s="50">
        <v>0.95</v>
      </c>
      <c r="P35" s="50">
        <v>0.95</v>
      </c>
      <c r="Q35" s="50">
        <v>0.95</v>
      </c>
      <c r="R35" s="50">
        <v>0.95</v>
      </c>
      <c r="S35" s="50"/>
      <c r="T35" s="50"/>
      <c r="U35" s="50"/>
      <c r="V35" s="50"/>
      <c r="W35" s="50"/>
      <c r="X35" s="50"/>
    </row>
    <row r="36" spans="1:24" ht="18" customHeight="1" x14ac:dyDescent="0.15">
      <c r="A36" s="184" t="s">
        <v>45</v>
      </c>
      <c r="B36" s="185"/>
      <c r="C36" s="185"/>
      <c r="D36" s="186"/>
      <c r="E36" s="50" t="s">
        <v>46</v>
      </c>
      <c r="F36" s="50" t="s">
        <v>47</v>
      </c>
      <c r="G36" s="50" t="s">
        <v>47</v>
      </c>
      <c r="H36" s="50" t="s">
        <v>47</v>
      </c>
      <c r="I36" s="50" t="s">
        <v>47</v>
      </c>
      <c r="J36" s="50" t="s">
        <v>47</v>
      </c>
      <c r="K36" s="50" t="s">
        <v>47</v>
      </c>
      <c r="L36" s="50" t="s">
        <v>47</v>
      </c>
      <c r="M36" s="50" t="s">
        <v>46</v>
      </c>
      <c r="N36" s="50" t="s">
        <v>46</v>
      </c>
      <c r="O36" s="50" t="s">
        <v>46</v>
      </c>
      <c r="P36" s="50" t="s">
        <v>46</v>
      </c>
      <c r="Q36" s="50" t="s">
        <v>46</v>
      </c>
      <c r="R36" s="50" t="s">
        <v>46</v>
      </c>
      <c r="S36" s="50"/>
      <c r="T36" s="50"/>
      <c r="U36" s="50"/>
      <c r="V36" s="50"/>
      <c r="W36" s="50"/>
      <c r="X36" s="50"/>
    </row>
  </sheetData>
  <mergeCells count="67">
    <mergeCell ref="A25:B25"/>
    <mergeCell ref="C25:D25"/>
    <mergeCell ref="A34:D34"/>
    <mergeCell ref="A35:D35"/>
    <mergeCell ref="A36:D36"/>
    <mergeCell ref="A26:B26"/>
    <mergeCell ref="C26:D26"/>
    <mergeCell ref="A27:B27"/>
    <mergeCell ref="C27:D27"/>
    <mergeCell ref="A28:B28"/>
    <mergeCell ref="C28:D28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5:D15"/>
    <mergeCell ref="A16:D16"/>
    <mergeCell ref="A17:B17"/>
    <mergeCell ref="C17:D17"/>
    <mergeCell ref="A18:B18"/>
    <mergeCell ref="C18:D18"/>
    <mergeCell ref="A12:B12"/>
    <mergeCell ref="C12:D12"/>
    <mergeCell ref="A13:B13"/>
    <mergeCell ref="C13:D13"/>
    <mergeCell ref="A14:D14"/>
    <mergeCell ref="A9:B9"/>
    <mergeCell ref="C9:D9"/>
    <mergeCell ref="A10:B10"/>
    <mergeCell ref="C10:D10"/>
    <mergeCell ref="A11:B11"/>
    <mergeCell ref="C11:D11"/>
    <mergeCell ref="A6:B6"/>
    <mergeCell ref="C6:D6"/>
    <mergeCell ref="A7:B7"/>
    <mergeCell ref="C7:D7"/>
    <mergeCell ref="A8:B8"/>
    <mergeCell ref="C8:D8"/>
    <mergeCell ref="A3:B3"/>
    <mergeCell ref="C3:D3"/>
    <mergeCell ref="A4:B4"/>
    <mergeCell ref="C4:D4"/>
    <mergeCell ref="A5:B5"/>
    <mergeCell ref="C5:D5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A1:E1"/>
    <mergeCell ref="F1:G1"/>
    <mergeCell ref="H1:M1"/>
    <mergeCell ref="N1:O1"/>
    <mergeCell ref="P1:S1"/>
    <mergeCell ref="T1:U1"/>
  </mergeCells>
  <phoneticPr fontId="2"/>
  <pageMargins left="0.59055118110236227" right="0.19685039370078741" top="0.39370078740157483" bottom="0.19685039370078741" header="0.19685039370078741" footer="0.19685039370078741"/>
  <pageSetup paperSize="9" scale="9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zoomScaleNormal="100" workbookViewId="0">
      <selection activeCell="F19" sqref="F19"/>
    </sheetView>
  </sheetViews>
  <sheetFormatPr defaultRowHeight="11.25" x14ac:dyDescent="0.15"/>
  <cols>
    <col min="1" max="1" width="5.125" style="24" customWidth="1"/>
    <col min="2" max="2" width="0.875" style="24" customWidth="1"/>
    <col min="3" max="3" width="4.625" style="24" customWidth="1"/>
    <col min="4" max="4" width="0.875" style="24" customWidth="1"/>
    <col min="5" max="24" width="4.125" style="3" customWidth="1"/>
    <col min="25" max="16384" width="9" style="3"/>
  </cols>
  <sheetData>
    <row r="1" spans="1:25" ht="20.100000000000001" customHeight="1" x14ac:dyDescent="0.15">
      <c r="A1" s="170" t="s">
        <v>0</v>
      </c>
      <c r="B1" s="170"/>
      <c r="C1" s="170"/>
      <c r="D1" s="170"/>
      <c r="E1" s="170"/>
      <c r="F1" s="199" t="s">
        <v>1</v>
      </c>
      <c r="G1" s="172"/>
      <c r="H1" s="173" t="s">
        <v>2</v>
      </c>
      <c r="I1" s="174"/>
      <c r="J1" s="174"/>
      <c r="K1" s="174"/>
      <c r="L1" s="174"/>
      <c r="M1" s="174"/>
      <c r="N1" s="175" t="s">
        <v>3</v>
      </c>
      <c r="O1" s="175"/>
      <c r="P1" s="170" t="s">
        <v>4</v>
      </c>
      <c r="Q1" s="170"/>
      <c r="R1" s="170"/>
      <c r="S1" s="170"/>
      <c r="T1" s="168" t="s">
        <v>5</v>
      </c>
      <c r="U1" s="168"/>
      <c r="V1" s="158" t="s">
        <v>48</v>
      </c>
      <c r="W1" s="158"/>
      <c r="X1" s="158"/>
    </row>
    <row r="2" spans="1:25" ht="20.100000000000001" customHeight="1" x14ac:dyDescent="0.15">
      <c r="A2" s="159" t="s">
        <v>6</v>
      </c>
      <c r="B2" s="159"/>
      <c r="C2" s="159"/>
      <c r="D2" s="159"/>
      <c r="E2" s="159"/>
      <c r="F2" s="160" t="s">
        <v>7</v>
      </c>
      <c r="G2" s="161"/>
      <c r="H2" s="162" t="s">
        <v>2</v>
      </c>
      <c r="I2" s="162"/>
      <c r="J2" s="162"/>
      <c r="K2" s="162"/>
      <c r="L2" s="163" t="s">
        <v>52</v>
      </c>
      <c r="M2" s="164"/>
      <c r="N2" s="159" t="s">
        <v>8</v>
      </c>
      <c r="O2" s="159"/>
      <c r="P2" s="165">
        <v>0.50902777777777775</v>
      </c>
      <c r="Q2" s="166"/>
      <c r="R2" s="167"/>
      <c r="S2" s="4" t="s">
        <v>49</v>
      </c>
      <c r="T2" s="168" t="s">
        <v>9</v>
      </c>
      <c r="U2" s="168"/>
      <c r="V2" s="169" t="s">
        <v>10</v>
      </c>
      <c r="W2" s="169"/>
      <c r="X2" s="169"/>
    </row>
    <row r="3" spans="1:25" ht="18" customHeight="1" x14ac:dyDescent="0.15">
      <c r="A3" s="176"/>
      <c r="B3" s="177"/>
      <c r="C3" s="177"/>
      <c r="D3" s="17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78"/>
      <c r="B4" s="179"/>
      <c r="C4" s="179"/>
      <c r="D4" s="179"/>
      <c r="X4" s="8"/>
    </row>
    <row r="5" spans="1:25" ht="18" customHeight="1" x14ac:dyDescent="0.15">
      <c r="A5" s="178"/>
      <c r="B5" s="179"/>
      <c r="C5" s="179"/>
      <c r="D5" s="179"/>
      <c r="X5" s="8"/>
    </row>
    <row r="6" spans="1:25" ht="18" customHeight="1" x14ac:dyDescent="0.15">
      <c r="A6" s="178"/>
      <c r="B6" s="179"/>
      <c r="C6" s="179"/>
      <c r="D6" s="179"/>
      <c r="X6" s="8"/>
    </row>
    <row r="7" spans="1:25" ht="18" customHeight="1" x14ac:dyDescent="0.15">
      <c r="A7" s="178"/>
      <c r="B7" s="179"/>
      <c r="C7" s="179"/>
      <c r="D7" s="179"/>
      <c r="X7" s="8"/>
    </row>
    <row r="8" spans="1:25" ht="147.75" customHeight="1" x14ac:dyDescent="0.15">
      <c r="A8" s="178"/>
      <c r="B8" s="179"/>
      <c r="C8" s="179"/>
      <c r="D8" s="179"/>
      <c r="X8" s="8"/>
    </row>
    <row r="9" spans="1:25" ht="18" customHeight="1" x14ac:dyDescent="0.15">
      <c r="A9" s="178"/>
      <c r="B9" s="179"/>
      <c r="C9" s="179"/>
      <c r="D9" s="179"/>
      <c r="X9" s="8"/>
    </row>
    <row r="10" spans="1:25" ht="18" customHeight="1" x14ac:dyDescent="0.15">
      <c r="A10" s="178"/>
      <c r="B10" s="179"/>
      <c r="C10" s="179"/>
      <c r="D10" s="179"/>
      <c r="X10" s="8"/>
    </row>
    <row r="11" spans="1:25" ht="18" customHeight="1" x14ac:dyDescent="0.15">
      <c r="A11" s="178"/>
      <c r="B11" s="179"/>
      <c r="C11" s="179"/>
      <c r="D11" s="179"/>
      <c r="X11" s="8"/>
    </row>
    <row r="12" spans="1:25" ht="18" customHeight="1" x14ac:dyDescent="0.15">
      <c r="A12" s="180"/>
      <c r="B12" s="181"/>
      <c r="C12" s="179"/>
      <c r="D12" s="179"/>
      <c r="X12" s="8"/>
    </row>
    <row r="13" spans="1:25" ht="18" customHeight="1" x14ac:dyDescent="0.15">
      <c r="A13" s="161"/>
      <c r="B13" s="182"/>
      <c r="C13" s="179"/>
      <c r="D13" s="17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4"/>
    </row>
    <row r="14" spans="1:25" s="11" customFormat="1" ht="18" customHeight="1" x14ac:dyDescent="0.15">
      <c r="A14" s="183" t="s">
        <v>11</v>
      </c>
      <c r="B14" s="183"/>
      <c r="C14" s="183"/>
      <c r="D14" s="183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0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4" customFormat="1" ht="18" customHeight="1" x14ac:dyDescent="0.15">
      <c r="A15" s="183" t="s">
        <v>12</v>
      </c>
      <c r="B15" s="183"/>
      <c r="C15" s="183"/>
      <c r="D15" s="183"/>
      <c r="E15" s="12" t="s">
        <v>13</v>
      </c>
      <c r="F15" s="12" t="s">
        <v>14</v>
      </c>
      <c r="G15" s="12" t="s">
        <v>15</v>
      </c>
      <c r="H15" s="12" t="s">
        <v>16</v>
      </c>
      <c r="I15" s="12" t="s">
        <v>17</v>
      </c>
      <c r="J15" s="12" t="s">
        <v>16</v>
      </c>
      <c r="K15" s="12" t="s">
        <v>18</v>
      </c>
      <c r="L15" s="12" t="s">
        <v>19</v>
      </c>
      <c r="M15" s="12" t="s">
        <v>20</v>
      </c>
      <c r="N15" s="12" t="s">
        <v>21</v>
      </c>
      <c r="O15" s="12" t="s">
        <v>22</v>
      </c>
      <c r="P15" s="12" t="s">
        <v>23</v>
      </c>
      <c r="Q15" s="12" t="s">
        <v>22</v>
      </c>
      <c r="R15" s="13" t="s">
        <v>24</v>
      </c>
      <c r="S15" s="12"/>
      <c r="T15" s="12"/>
      <c r="U15" s="12"/>
      <c r="V15" s="12"/>
      <c r="W15" s="12"/>
      <c r="X15" s="12"/>
    </row>
    <row r="16" spans="1:25" s="14" customFormat="1" ht="125.1" customHeight="1" x14ac:dyDescent="0.15">
      <c r="A16" s="184"/>
      <c r="B16" s="185"/>
      <c r="C16" s="185"/>
      <c r="D16" s="186"/>
      <c r="E16" s="15"/>
      <c r="F16" s="16"/>
      <c r="G16" s="16"/>
      <c r="H16" s="13"/>
      <c r="I16" s="15"/>
      <c r="J16" s="16"/>
      <c r="K16" s="13"/>
      <c r="L16" s="15"/>
      <c r="M16" s="16"/>
      <c r="N16" s="16"/>
      <c r="O16" s="13"/>
      <c r="P16" s="15"/>
      <c r="Q16" s="16"/>
      <c r="R16" s="13"/>
      <c r="S16" s="15"/>
      <c r="T16" s="16"/>
      <c r="U16" s="16"/>
      <c r="V16" s="16"/>
      <c r="W16" s="16"/>
      <c r="X16" s="13"/>
      <c r="Y16" s="17"/>
    </row>
    <row r="17" spans="1:24" ht="18" customHeight="1" x14ac:dyDescent="0.15">
      <c r="A17" s="184" t="s">
        <v>50</v>
      </c>
      <c r="B17" s="185"/>
      <c r="C17" s="185" t="s">
        <v>25</v>
      </c>
      <c r="D17" s="18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customHeight="1" x14ac:dyDescent="0.15">
      <c r="A18" s="184" t="s">
        <v>26</v>
      </c>
      <c r="B18" s="185"/>
      <c r="C18" s="185" t="s">
        <v>27</v>
      </c>
      <c r="D18" s="18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8" customHeight="1" x14ac:dyDescent="0.15">
      <c r="A19" s="184" t="s">
        <v>28</v>
      </c>
      <c r="B19" s="185"/>
      <c r="C19" s="185" t="s">
        <v>29</v>
      </c>
      <c r="D19" s="186"/>
      <c r="E19" s="18"/>
      <c r="F19" s="18"/>
      <c r="G19" s="18"/>
      <c r="H19" s="18"/>
      <c r="I19" s="30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8" customHeight="1" x14ac:dyDescent="0.15">
      <c r="A20" s="184" t="s">
        <v>51</v>
      </c>
      <c r="B20" s="185"/>
      <c r="C20" s="185" t="s">
        <v>30</v>
      </c>
      <c r="D20" s="186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ht="18" customHeight="1" x14ac:dyDescent="0.15">
      <c r="A21" s="184" t="s">
        <v>31</v>
      </c>
      <c r="B21" s="185"/>
      <c r="C21" s="185" t="s">
        <v>32</v>
      </c>
      <c r="D21" s="18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18" customHeight="1" x14ac:dyDescent="0.15">
      <c r="A22" s="184" t="s">
        <v>33</v>
      </c>
      <c r="B22" s="185"/>
      <c r="C22" s="185" t="s">
        <v>34</v>
      </c>
      <c r="D22" s="186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0"/>
      <c r="Q22" s="18"/>
      <c r="R22" s="18"/>
      <c r="S22" s="18"/>
      <c r="T22" s="18"/>
      <c r="U22" s="18"/>
      <c r="V22" s="18"/>
      <c r="W22" s="18"/>
      <c r="X22" s="18"/>
    </row>
    <row r="23" spans="1:24" ht="18" customHeight="1" x14ac:dyDescent="0.15">
      <c r="A23" s="187"/>
      <c r="B23" s="188"/>
      <c r="C23" s="185"/>
      <c r="D23" s="18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18" customHeight="1" x14ac:dyDescent="0.15">
      <c r="A24" s="187"/>
      <c r="B24" s="188"/>
      <c r="C24" s="185"/>
      <c r="D24" s="186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8" customHeight="1" x14ac:dyDescent="0.15">
      <c r="A25" s="187"/>
      <c r="B25" s="188"/>
      <c r="C25" s="185"/>
      <c r="D25" s="18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ht="18" customHeight="1" x14ac:dyDescent="0.15">
      <c r="A26" s="187"/>
      <c r="B26" s="188"/>
      <c r="C26" s="185"/>
      <c r="D26" s="186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18" customHeight="1" x14ac:dyDescent="0.15">
      <c r="A27" s="187"/>
      <c r="B27" s="188"/>
      <c r="C27" s="188"/>
      <c r="D27" s="18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ht="18" customHeight="1" x14ac:dyDescent="0.15">
      <c r="A28" s="187"/>
      <c r="B28" s="188"/>
      <c r="C28" s="188"/>
      <c r="D28" s="18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ht="18" customHeight="1" x14ac:dyDescent="0.15">
      <c r="A29" s="187"/>
      <c r="B29" s="188"/>
      <c r="C29" s="188"/>
      <c r="D29" s="189"/>
      <c r="E29" s="18"/>
      <c r="F29" s="18"/>
      <c r="G29" s="18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ht="18" customHeight="1" x14ac:dyDescent="0.15">
      <c r="A30" s="187"/>
      <c r="B30" s="188"/>
      <c r="C30" s="188"/>
      <c r="D30" s="18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18" customHeight="1" x14ac:dyDescent="0.15">
      <c r="A31" s="192" t="s">
        <v>35</v>
      </c>
      <c r="B31" s="193"/>
      <c r="C31" s="193"/>
      <c r="D31" s="194"/>
      <c r="E31" s="18"/>
      <c r="F31" s="18"/>
      <c r="G31" s="18"/>
      <c r="H31" s="1" t="s">
        <v>36</v>
      </c>
      <c r="I31" s="18"/>
      <c r="J31" s="18"/>
      <c r="K31" s="1" t="s">
        <v>36</v>
      </c>
      <c r="L31" s="18"/>
      <c r="M31" s="18"/>
      <c r="N31" s="1"/>
      <c r="O31" s="1" t="s">
        <v>36</v>
      </c>
      <c r="P31" s="2"/>
      <c r="Q31" s="2"/>
      <c r="R31" s="1" t="s">
        <v>36</v>
      </c>
      <c r="S31" s="195" t="s">
        <v>37</v>
      </c>
      <c r="T31" s="196"/>
      <c r="U31" s="190">
        <v>4</v>
      </c>
      <c r="V31" s="18"/>
      <c r="W31" s="18"/>
      <c r="X31" s="18"/>
    </row>
    <row r="32" spans="1:24" ht="18" customHeight="1" x14ac:dyDescent="0.15">
      <c r="A32" s="192" t="s">
        <v>38</v>
      </c>
      <c r="B32" s="193"/>
      <c r="C32" s="193"/>
      <c r="D32" s="194"/>
      <c r="E32" s="1" t="s">
        <v>39</v>
      </c>
      <c r="F32" s="18"/>
      <c r="G32" s="18"/>
      <c r="H32" s="18"/>
      <c r="I32" s="1" t="s">
        <v>39</v>
      </c>
      <c r="J32" s="18"/>
      <c r="K32" s="18"/>
      <c r="L32" s="1" t="s">
        <v>39</v>
      </c>
      <c r="M32" s="18"/>
      <c r="N32" s="18"/>
      <c r="O32" s="2"/>
      <c r="P32" s="1" t="s">
        <v>39</v>
      </c>
      <c r="Q32" s="2"/>
      <c r="R32" s="18"/>
      <c r="S32" s="197"/>
      <c r="T32" s="198"/>
      <c r="U32" s="191"/>
      <c r="V32" s="18"/>
      <c r="W32" s="18"/>
      <c r="X32" s="18"/>
    </row>
    <row r="33" spans="1:24" ht="18" customHeight="1" x14ac:dyDescent="0.15">
      <c r="A33" s="20" t="s">
        <v>40</v>
      </c>
      <c r="B33" s="21" t="s">
        <v>41</v>
      </c>
      <c r="C33" s="22">
        <f>SUM(E33:X33)</f>
        <v>100</v>
      </c>
      <c r="D33" s="23" t="s">
        <v>42</v>
      </c>
      <c r="E33" s="1">
        <v>30</v>
      </c>
      <c r="F33" s="1">
        <v>7</v>
      </c>
      <c r="G33" s="1">
        <v>2</v>
      </c>
      <c r="H33" s="1">
        <v>3</v>
      </c>
      <c r="I33" s="1">
        <v>4</v>
      </c>
      <c r="J33" s="1">
        <v>2</v>
      </c>
      <c r="K33" s="1">
        <v>3</v>
      </c>
      <c r="L33" s="1">
        <v>25</v>
      </c>
      <c r="M33" s="1">
        <v>9</v>
      </c>
      <c r="N33" s="1">
        <v>2</v>
      </c>
      <c r="O33" s="1">
        <v>3</v>
      </c>
      <c r="P33" s="1">
        <v>4</v>
      </c>
      <c r="Q33" s="1">
        <v>2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92" t="s">
        <v>43</v>
      </c>
      <c r="B34" s="193"/>
      <c r="C34" s="193"/>
      <c r="D34" s="194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110</v>
      </c>
      <c r="Q34" s="5">
        <v>10</v>
      </c>
      <c r="R34" s="5">
        <v>10</v>
      </c>
      <c r="S34" s="5"/>
      <c r="T34" s="5"/>
      <c r="U34" s="5"/>
      <c r="V34" s="5"/>
      <c r="W34" s="5"/>
      <c r="X34" s="5"/>
    </row>
    <row r="35" spans="1:24" ht="18" customHeight="1" x14ac:dyDescent="0.15">
      <c r="A35" s="192" t="s">
        <v>44</v>
      </c>
      <c r="B35" s="193"/>
      <c r="C35" s="193"/>
      <c r="D35" s="194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>
        <v>0.95</v>
      </c>
      <c r="R35" s="5">
        <v>0.95</v>
      </c>
      <c r="S35" s="5"/>
      <c r="T35" s="5"/>
      <c r="U35" s="5"/>
      <c r="V35" s="5"/>
      <c r="W35" s="5"/>
      <c r="X35" s="5"/>
    </row>
    <row r="36" spans="1:24" ht="18" customHeight="1" x14ac:dyDescent="0.15">
      <c r="A36" s="192" t="s">
        <v>45</v>
      </c>
      <c r="B36" s="193"/>
      <c r="C36" s="193"/>
      <c r="D36" s="194"/>
      <c r="E36" s="5" t="s">
        <v>46</v>
      </c>
      <c r="F36" s="5" t="s">
        <v>47</v>
      </c>
      <c r="G36" s="5" t="s">
        <v>47</v>
      </c>
      <c r="H36" s="5" t="s">
        <v>47</v>
      </c>
      <c r="I36" s="5" t="s">
        <v>47</v>
      </c>
      <c r="J36" s="5" t="s">
        <v>47</v>
      </c>
      <c r="K36" s="5" t="s">
        <v>47</v>
      </c>
      <c r="L36" s="5" t="s">
        <v>47</v>
      </c>
      <c r="M36" s="5" t="s">
        <v>46</v>
      </c>
      <c r="N36" s="5" t="s">
        <v>46</v>
      </c>
      <c r="O36" s="5" t="s">
        <v>46</v>
      </c>
      <c r="P36" s="5" t="s">
        <v>46</v>
      </c>
      <c r="Q36" s="5" t="s">
        <v>46</v>
      </c>
      <c r="R36" s="5" t="s">
        <v>46</v>
      </c>
      <c r="S36" s="5"/>
      <c r="T36" s="5"/>
      <c r="U36" s="5"/>
      <c r="V36" s="5"/>
      <c r="W36" s="5"/>
      <c r="X36" s="5"/>
    </row>
  </sheetData>
  <mergeCells count="75">
    <mergeCell ref="C13:D13"/>
    <mergeCell ref="T1:U1"/>
    <mergeCell ref="T2:U2"/>
    <mergeCell ref="V1:X1"/>
    <mergeCell ref="V2:X2"/>
    <mergeCell ref="N1:O1"/>
    <mergeCell ref="N2:O2"/>
    <mergeCell ref="P1:S1"/>
    <mergeCell ref="P2:R2"/>
    <mergeCell ref="H2:K2"/>
    <mergeCell ref="H1:M1"/>
    <mergeCell ref="A1:E1"/>
    <mergeCell ref="A2:E2"/>
    <mergeCell ref="F2:G2"/>
    <mergeCell ref="F1:G1"/>
    <mergeCell ref="A8:B8"/>
    <mergeCell ref="A36:D36"/>
    <mergeCell ref="A31:D31"/>
    <mergeCell ref="A14:D14"/>
    <mergeCell ref="A15:D15"/>
    <mergeCell ref="A34:D34"/>
    <mergeCell ref="A35:D35"/>
    <mergeCell ref="A30:B30"/>
    <mergeCell ref="C30:D30"/>
    <mergeCell ref="A29:B29"/>
    <mergeCell ref="C29:D29"/>
    <mergeCell ref="A28:B28"/>
    <mergeCell ref="C28:D28"/>
    <mergeCell ref="A17:B17"/>
    <mergeCell ref="C17:D17"/>
    <mergeCell ref="A18:B18"/>
    <mergeCell ref="A24:B24"/>
    <mergeCell ref="C24:D24"/>
    <mergeCell ref="C18:D18"/>
    <mergeCell ref="A19:B19"/>
    <mergeCell ref="C19:D19"/>
    <mergeCell ref="A20:B20"/>
    <mergeCell ref="C20:D20"/>
    <mergeCell ref="A27:B27"/>
    <mergeCell ref="C27:D27"/>
    <mergeCell ref="A12:B12"/>
    <mergeCell ref="C12:D12"/>
    <mergeCell ref="A13:B13"/>
    <mergeCell ref="A16:D16"/>
    <mergeCell ref="A25:B25"/>
    <mergeCell ref="C25:D25"/>
    <mergeCell ref="A26:B26"/>
    <mergeCell ref="A22:B22"/>
    <mergeCell ref="A21:B21"/>
    <mergeCell ref="C21:D21"/>
    <mergeCell ref="C22:D22"/>
    <mergeCell ref="C26:D26"/>
    <mergeCell ref="A23:B23"/>
    <mergeCell ref="C23:D23"/>
    <mergeCell ref="C8:D8"/>
    <mergeCell ref="A11:B11"/>
    <mergeCell ref="C11:D11"/>
    <mergeCell ref="A10:B10"/>
    <mergeCell ref="C10:D10"/>
    <mergeCell ref="L2:M2"/>
    <mergeCell ref="U31:U32"/>
    <mergeCell ref="A32:D32"/>
    <mergeCell ref="S31:T32"/>
    <mergeCell ref="A3:B3"/>
    <mergeCell ref="C3:D3"/>
    <mergeCell ref="A7:B7"/>
    <mergeCell ref="C7:D7"/>
    <mergeCell ref="A5:B5"/>
    <mergeCell ref="C5:D5"/>
    <mergeCell ref="A4:B4"/>
    <mergeCell ref="C4:D4"/>
    <mergeCell ref="A9:B9"/>
    <mergeCell ref="C9:D9"/>
    <mergeCell ref="A6:B6"/>
    <mergeCell ref="C6:D6"/>
  </mergeCells>
  <phoneticPr fontId="2"/>
  <pageMargins left="0.78740157480314965" right="0.19685039370078741" top="0.39370078740157483" bottom="0.59055118110236227" header="0.19685039370078741" footer="0.19685039370078741"/>
  <pageSetup paperSize="9" scale="9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9"/>
  <sheetViews>
    <sheetView zoomScaleNormal="100" zoomScaleSheetLayoutView="100" workbookViewId="0">
      <selection activeCell="AA18" sqref="AA18"/>
    </sheetView>
  </sheetViews>
  <sheetFormatPr defaultRowHeight="11.25" x14ac:dyDescent="0.15"/>
  <cols>
    <col min="1" max="1" width="5.125" style="24" customWidth="1"/>
    <col min="2" max="2" width="0.875" style="24" customWidth="1"/>
    <col min="3" max="3" width="4.625" style="24" customWidth="1"/>
    <col min="4" max="4" width="0.875" style="24" customWidth="1"/>
    <col min="5" max="16" width="4.125" style="3" customWidth="1"/>
    <col min="17" max="17" width="4.25" style="3" customWidth="1"/>
    <col min="18" max="24" width="4.125" style="3" customWidth="1"/>
    <col min="25" max="26" width="9" style="3"/>
    <col min="27" max="27" width="13.875" style="3" bestFit="1" customWidth="1"/>
    <col min="28" max="16384" width="9" style="3"/>
  </cols>
  <sheetData>
    <row r="1" spans="1:27" ht="20.100000000000001" customHeight="1" x14ac:dyDescent="0.15">
      <c r="A1" s="207" t="s">
        <v>53</v>
      </c>
      <c r="B1" s="208"/>
      <c r="C1" s="208"/>
      <c r="D1" s="208"/>
      <c r="E1" s="209"/>
      <c r="F1" s="207" t="s">
        <v>65</v>
      </c>
      <c r="G1" s="209"/>
      <c r="H1" s="207" t="s">
        <v>2</v>
      </c>
      <c r="I1" s="208"/>
      <c r="J1" s="208"/>
      <c r="K1" s="208"/>
      <c r="L1" s="208"/>
      <c r="M1" s="209"/>
      <c r="N1" s="225" t="s">
        <v>54</v>
      </c>
      <c r="O1" s="226"/>
      <c r="P1" s="213">
        <v>40570</v>
      </c>
      <c r="Q1" s="214"/>
      <c r="R1" s="214"/>
      <c r="S1" s="215"/>
      <c r="T1" s="207" t="s">
        <v>55</v>
      </c>
      <c r="U1" s="209"/>
      <c r="V1" s="200" t="s">
        <v>66</v>
      </c>
      <c r="W1" s="201"/>
      <c r="X1" s="202"/>
      <c r="Z1" s="35" t="s">
        <v>67</v>
      </c>
      <c r="AA1" s="35" t="s">
        <v>68</v>
      </c>
    </row>
    <row r="2" spans="1:27" ht="20.100000000000001" customHeight="1" x14ac:dyDescent="0.15">
      <c r="A2" s="207" t="s">
        <v>56</v>
      </c>
      <c r="B2" s="208"/>
      <c r="C2" s="208"/>
      <c r="D2" s="208"/>
      <c r="E2" s="209"/>
      <c r="F2" s="210" t="s">
        <v>69</v>
      </c>
      <c r="G2" s="211"/>
      <c r="H2" s="211"/>
      <c r="I2" s="211"/>
      <c r="J2" s="211"/>
      <c r="K2" s="212"/>
      <c r="L2" s="207" t="s">
        <v>70</v>
      </c>
      <c r="M2" s="209"/>
      <c r="N2" s="36" t="s">
        <v>57</v>
      </c>
      <c r="O2" s="36"/>
      <c r="P2" s="216">
        <v>0.58333333333333337</v>
      </c>
      <c r="Q2" s="217"/>
      <c r="R2" s="207" t="s">
        <v>58</v>
      </c>
      <c r="S2" s="209"/>
      <c r="T2" s="207" t="s">
        <v>59</v>
      </c>
      <c r="U2" s="209"/>
      <c r="V2" s="203">
        <v>40483</v>
      </c>
      <c r="W2" s="201"/>
      <c r="X2" s="202"/>
      <c r="Z2" s="35" t="s">
        <v>71</v>
      </c>
      <c r="AA2" s="35"/>
    </row>
    <row r="3" spans="1:27" ht="18" customHeight="1" x14ac:dyDescent="0.15">
      <c r="A3" s="184" t="s">
        <v>72</v>
      </c>
      <c r="B3" s="185"/>
      <c r="C3" s="185"/>
      <c r="D3" s="185"/>
      <c r="E3" s="186"/>
      <c r="F3" s="207" t="s">
        <v>60</v>
      </c>
      <c r="G3" s="209"/>
      <c r="H3" s="207" t="s">
        <v>61</v>
      </c>
      <c r="I3" s="208"/>
      <c r="J3" s="208"/>
      <c r="K3" s="209"/>
      <c r="L3" s="37" t="s">
        <v>73</v>
      </c>
      <c r="M3" s="38"/>
      <c r="N3" s="207" t="s">
        <v>74</v>
      </c>
      <c r="O3" s="208"/>
      <c r="P3" s="208"/>
      <c r="Q3" s="208"/>
      <c r="R3" s="208"/>
      <c r="S3" s="209"/>
      <c r="T3" s="207" t="s">
        <v>62</v>
      </c>
      <c r="U3" s="209"/>
      <c r="V3" s="204" t="s">
        <v>75</v>
      </c>
      <c r="W3" s="205"/>
      <c r="X3" s="206"/>
      <c r="Z3" s="35" t="s">
        <v>76</v>
      </c>
      <c r="AA3" s="35"/>
    </row>
    <row r="4" spans="1:27" ht="18" customHeight="1" x14ac:dyDescent="0.15">
      <c r="A4" s="184" t="s">
        <v>63</v>
      </c>
      <c r="B4" s="186"/>
      <c r="C4" s="184" t="s">
        <v>77</v>
      </c>
      <c r="D4" s="185"/>
      <c r="E4" s="186"/>
      <c r="F4" s="184" t="s">
        <v>64</v>
      </c>
      <c r="G4" s="186"/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221" t="s">
        <v>78</v>
      </c>
      <c r="X4" s="222"/>
      <c r="Z4" s="35" t="s">
        <v>79</v>
      </c>
      <c r="AA4" s="35"/>
    </row>
    <row r="5" spans="1:27" ht="18" customHeight="1" x14ac:dyDescent="0.15">
      <c r="A5" s="25"/>
      <c r="U5" s="218" t="s">
        <v>80</v>
      </c>
      <c r="V5" s="218"/>
      <c r="W5" s="218"/>
      <c r="X5" s="8" t="s">
        <v>81</v>
      </c>
      <c r="Z5" s="35" t="s">
        <v>82</v>
      </c>
      <c r="AA5" s="35" t="s">
        <v>83</v>
      </c>
    </row>
    <row r="6" spans="1:27" ht="18" customHeight="1" x14ac:dyDescent="0.15">
      <c r="A6" s="25"/>
      <c r="X6" s="8"/>
      <c r="Z6" s="35" t="s">
        <v>77</v>
      </c>
      <c r="AA6" s="35" t="s">
        <v>84</v>
      </c>
    </row>
    <row r="7" spans="1:27" ht="18" customHeight="1" x14ac:dyDescent="0.15">
      <c r="A7" s="25"/>
      <c r="I7" s="3" t="s">
        <v>85</v>
      </c>
      <c r="X7" s="8"/>
      <c r="Z7" s="35" t="s">
        <v>86</v>
      </c>
      <c r="AA7" s="35" t="s">
        <v>87</v>
      </c>
    </row>
    <row r="8" spans="1:27" ht="180" customHeight="1" x14ac:dyDescent="0.15">
      <c r="A8" s="42"/>
      <c r="B8" s="43"/>
      <c r="X8" s="8"/>
      <c r="Z8" s="35" t="s">
        <v>88</v>
      </c>
      <c r="AA8" s="35" t="s">
        <v>89</v>
      </c>
    </row>
    <row r="9" spans="1:27" ht="18" customHeight="1" x14ac:dyDescent="0.15">
      <c r="A9" s="25"/>
      <c r="X9" s="8"/>
      <c r="Z9" s="35" t="s">
        <v>90</v>
      </c>
      <c r="AA9" s="35" t="s">
        <v>91</v>
      </c>
    </row>
    <row r="10" spans="1:27" ht="18" customHeight="1" x14ac:dyDescent="0.15">
      <c r="A10" s="25"/>
      <c r="X10" s="8"/>
      <c r="Z10" s="35" t="s">
        <v>92</v>
      </c>
      <c r="AA10" s="35" t="s">
        <v>93</v>
      </c>
    </row>
    <row r="11" spans="1:27" ht="18" customHeight="1" x14ac:dyDescent="0.15">
      <c r="A11" s="25"/>
      <c r="X11" s="8"/>
      <c r="Z11" s="35" t="s">
        <v>94</v>
      </c>
      <c r="AA11" s="35" t="s">
        <v>95</v>
      </c>
    </row>
    <row r="12" spans="1:27" ht="18" customHeight="1" x14ac:dyDescent="0.15">
      <c r="A12" s="26"/>
      <c r="B12" s="27"/>
      <c r="T12" s="223"/>
      <c r="U12" s="223"/>
      <c r="V12" s="223"/>
      <c r="W12" s="223"/>
      <c r="X12" s="224"/>
      <c r="Z12" s="35" t="s">
        <v>96</v>
      </c>
      <c r="AA12" s="35" t="s">
        <v>97</v>
      </c>
    </row>
    <row r="13" spans="1:27" ht="18" customHeight="1" x14ac:dyDescent="0.15">
      <c r="A13" s="28"/>
      <c r="B13" s="29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9"/>
      <c r="N13" s="9"/>
      <c r="O13" s="9"/>
      <c r="P13" s="9"/>
      <c r="Q13" s="9"/>
      <c r="R13" s="9"/>
      <c r="S13" s="9"/>
      <c r="T13" s="219"/>
      <c r="U13" s="219"/>
      <c r="V13" s="219"/>
      <c r="W13" s="219"/>
      <c r="X13" s="220"/>
      <c r="Z13" s="35" t="s">
        <v>98</v>
      </c>
      <c r="AA13" s="35" t="s">
        <v>99</v>
      </c>
    </row>
    <row r="14" spans="1:27" s="11" customFormat="1" ht="24.95" customHeight="1" x14ac:dyDescent="0.15">
      <c r="A14" s="241" t="s">
        <v>100</v>
      </c>
      <c r="B14" s="242"/>
      <c r="C14" s="185" t="s">
        <v>101</v>
      </c>
      <c r="D14" s="186"/>
      <c r="E14" s="45" t="s">
        <v>102</v>
      </c>
      <c r="F14" s="46">
        <v>8</v>
      </c>
      <c r="G14" s="33" t="s">
        <v>103</v>
      </c>
      <c r="H14" s="46">
        <v>0</v>
      </c>
      <c r="I14" s="33" t="s">
        <v>104</v>
      </c>
      <c r="J14" s="33" t="s">
        <v>105</v>
      </c>
      <c r="K14" s="46">
        <v>19</v>
      </c>
      <c r="L14" s="33" t="s">
        <v>103</v>
      </c>
      <c r="M14" s="46">
        <v>0</v>
      </c>
      <c r="N14" s="33" t="s">
        <v>104</v>
      </c>
      <c r="O14" s="45" t="s">
        <v>106</v>
      </c>
      <c r="P14" s="46"/>
      <c r="Q14" s="33" t="s">
        <v>103</v>
      </c>
      <c r="R14" s="46"/>
      <c r="S14" s="33" t="s">
        <v>104</v>
      </c>
      <c r="T14" s="33" t="s">
        <v>105</v>
      </c>
      <c r="U14" s="46"/>
      <c r="V14" s="33" t="s">
        <v>103</v>
      </c>
      <c r="W14" s="46"/>
      <c r="X14" s="10" t="s">
        <v>104</v>
      </c>
      <c r="Z14" s="47"/>
      <c r="AA14" s="47"/>
    </row>
    <row r="15" spans="1:27" s="14" customFormat="1" ht="24.95" customHeight="1" x14ac:dyDescent="0.15">
      <c r="A15" s="243"/>
      <c r="B15" s="244"/>
      <c r="C15" s="185" t="s">
        <v>107</v>
      </c>
      <c r="D15" s="186"/>
      <c r="E15" s="45" t="s">
        <v>102</v>
      </c>
      <c r="F15" s="46">
        <v>8</v>
      </c>
      <c r="G15" s="33" t="s">
        <v>103</v>
      </c>
      <c r="H15" s="46">
        <v>0</v>
      </c>
      <c r="I15" s="33" t="s">
        <v>104</v>
      </c>
      <c r="J15" s="33" t="s">
        <v>105</v>
      </c>
      <c r="K15" s="46">
        <v>19</v>
      </c>
      <c r="L15" s="33" t="s">
        <v>103</v>
      </c>
      <c r="M15" s="46">
        <v>0</v>
      </c>
      <c r="N15" s="33" t="s">
        <v>104</v>
      </c>
      <c r="O15" s="45" t="s">
        <v>106</v>
      </c>
      <c r="P15" s="46"/>
      <c r="Q15" s="33" t="s">
        <v>103</v>
      </c>
      <c r="R15" s="46"/>
      <c r="S15" s="33" t="s">
        <v>104</v>
      </c>
      <c r="T15" s="33" t="s">
        <v>105</v>
      </c>
      <c r="U15" s="46"/>
      <c r="V15" s="33" t="s">
        <v>103</v>
      </c>
      <c r="W15" s="46"/>
      <c r="X15" s="10" t="s">
        <v>104</v>
      </c>
      <c r="Z15" s="48"/>
      <c r="AA15" s="35"/>
    </row>
    <row r="16" spans="1:27" s="14" customFormat="1" ht="24.95" customHeight="1" x14ac:dyDescent="0.15">
      <c r="A16" s="245"/>
      <c r="B16" s="246"/>
      <c r="C16" s="185" t="s">
        <v>108</v>
      </c>
      <c r="D16" s="186"/>
      <c r="E16" s="45" t="s">
        <v>102</v>
      </c>
      <c r="F16" s="46">
        <v>8</v>
      </c>
      <c r="G16" s="33" t="s">
        <v>103</v>
      </c>
      <c r="H16" s="46">
        <v>0</v>
      </c>
      <c r="I16" s="33" t="s">
        <v>104</v>
      </c>
      <c r="J16" s="33" t="s">
        <v>105</v>
      </c>
      <c r="K16" s="46">
        <v>19</v>
      </c>
      <c r="L16" s="33" t="s">
        <v>103</v>
      </c>
      <c r="M16" s="46">
        <v>0</v>
      </c>
      <c r="N16" s="33" t="s">
        <v>104</v>
      </c>
      <c r="O16" s="45" t="s">
        <v>106</v>
      </c>
      <c r="P16" s="46"/>
      <c r="Q16" s="33" t="s">
        <v>103</v>
      </c>
      <c r="R16" s="46"/>
      <c r="S16" s="33" t="s">
        <v>104</v>
      </c>
      <c r="T16" s="33" t="s">
        <v>105</v>
      </c>
      <c r="U16" s="46"/>
      <c r="V16" s="33" t="s">
        <v>103</v>
      </c>
      <c r="W16" s="46"/>
      <c r="X16" s="10" t="s">
        <v>104</v>
      </c>
      <c r="Y16" s="17"/>
      <c r="Z16" s="48"/>
      <c r="AA16" s="35"/>
    </row>
    <row r="17" spans="1:32" ht="24.95" customHeight="1" x14ac:dyDescent="0.15">
      <c r="A17" s="184" t="s">
        <v>109</v>
      </c>
      <c r="B17" s="185"/>
      <c r="C17" s="185"/>
      <c r="D17" s="186"/>
      <c r="E17" s="168" t="s">
        <v>110</v>
      </c>
      <c r="F17" s="168"/>
      <c r="G17" s="168"/>
      <c r="H17" s="237">
        <v>3</v>
      </c>
      <c r="I17" s="237"/>
      <c r="J17" s="237"/>
      <c r="K17" s="237"/>
      <c r="L17" s="237"/>
      <c r="M17" s="237"/>
      <c r="N17" s="237"/>
      <c r="O17" s="225"/>
      <c r="P17" s="230"/>
      <c r="Q17" s="230"/>
      <c r="R17" s="230"/>
      <c r="S17" s="230"/>
      <c r="T17" s="230"/>
      <c r="U17" s="230"/>
      <c r="V17" s="230"/>
      <c r="W17" s="230"/>
      <c r="X17" s="226"/>
      <c r="Z17" s="47"/>
      <c r="AA17" s="35"/>
    </row>
    <row r="18" spans="1:32" ht="24.95" customHeight="1" x14ac:dyDescent="0.15">
      <c r="A18" s="227" t="s">
        <v>111</v>
      </c>
      <c r="B18" s="227"/>
      <c r="C18" s="183" t="s">
        <v>112</v>
      </c>
      <c r="D18" s="183"/>
      <c r="E18" s="168" t="s">
        <v>113</v>
      </c>
      <c r="F18" s="168"/>
      <c r="G18" s="168"/>
      <c r="H18" s="237">
        <v>2</v>
      </c>
      <c r="I18" s="237"/>
      <c r="J18" s="208"/>
      <c r="K18" s="208"/>
      <c r="L18" s="208"/>
      <c r="M18" s="208"/>
      <c r="N18" s="208"/>
      <c r="O18" s="231"/>
      <c r="P18" s="231"/>
      <c r="Q18" s="231"/>
      <c r="R18" s="231"/>
      <c r="S18" s="231"/>
      <c r="T18" s="231"/>
      <c r="U18" s="231"/>
      <c r="V18" s="231"/>
      <c r="W18" s="231"/>
      <c r="X18" s="232"/>
      <c r="Z18" s="47"/>
      <c r="AA18" s="35"/>
    </row>
    <row r="19" spans="1:32" ht="24.95" customHeight="1" x14ac:dyDescent="0.15">
      <c r="A19" s="227"/>
      <c r="B19" s="227"/>
      <c r="C19" s="183" t="s">
        <v>114</v>
      </c>
      <c r="D19" s="183"/>
      <c r="E19" s="207" t="s">
        <v>115</v>
      </c>
      <c r="F19" s="208"/>
      <c r="G19" s="209"/>
      <c r="H19" s="228">
        <v>2</v>
      </c>
      <c r="I19" s="229"/>
      <c r="J19" s="207" t="s">
        <v>116</v>
      </c>
      <c r="K19" s="208"/>
      <c r="L19" s="209"/>
      <c r="M19" s="238">
        <v>2</v>
      </c>
      <c r="N19" s="229"/>
      <c r="O19" s="233"/>
      <c r="P19" s="231"/>
      <c r="Q19" s="231"/>
      <c r="R19" s="231"/>
      <c r="S19" s="231"/>
      <c r="T19" s="231"/>
      <c r="U19" s="231"/>
      <c r="V19" s="231"/>
      <c r="W19" s="231"/>
      <c r="X19" s="232"/>
      <c r="Z19" s="47"/>
      <c r="AA19" s="35"/>
    </row>
    <row r="20" spans="1:32" ht="24.95" customHeight="1" x14ac:dyDescent="0.15">
      <c r="A20" s="227" t="s">
        <v>117</v>
      </c>
      <c r="B20" s="227"/>
      <c r="C20" s="183" t="s">
        <v>112</v>
      </c>
      <c r="D20" s="183"/>
      <c r="E20" s="168" t="s">
        <v>113</v>
      </c>
      <c r="F20" s="168"/>
      <c r="G20" s="168"/>
      <c r="H20" s="237">
        <v>2</v>
      </c>
      <c r="I20" s="237"/>
      <c r="J20" s="208"/>
      <c r="K20" s="208"/>
      <c r="L20" s="208"/>
      <c r="M20" s="208"/>
      <c r="N20" s="208"/>
      <c r="O20" s="231"/>
      <c r="P20" s="231"/>
      <c r="Q20" s="231"/>
      <c r="R20" s="231"/>
      <c r="S20" s="231"/>
      <c r="T20" s="231"/>
      <c r="U20" s="231"/>
      <c r="V20" s="231"/>
      <c r="W20" s="231"/>
      <c r="X20" s="232"/>
      <c r="Z20" s="47"/>
      <c r="AA20" s="35"/>
    </row>
    <row r="21" spans="1:32" ht="24.95" customHeight="1" x14ac:dyDescent="0.15">
      <c r="A21" s="227"/>
      <c r="B21" s="227"/>
      <c r="C21" s="183" t="s">
        <v>114</v>
      </c>
      <c r="D21" s="183"/>
      <c r="E21" s="207" t="s">
        <v>115</v>
      </c>
      <c r="F21" s="208"/>
      <c r="G21" s="209"/>
      <c r="H21" s="228">
        <v>5</v>
      </c>
      <c r="I21" s="229"/>
      <c r="J21" s="207" t="s">
        <v>116</v>
      </c>
      <c r="K21" s="208"/>
      <c r="L21" s="209"/>
      <c r="M21" s="238">
        <v>5</v>
      </c>
      <c r="N21" s="229"/>
      <c r="O21" s="234"/>
      <c r="P21" s="235"/>
      <c r="Q21" s="235"/>
      <c r="R21" s="235"/>
      <c r="S21" s="235"/>
      <c r="T21" s="235"/>
      <c r="U21" s="235"/>
      <c r="V21" s="235"/>
      <c r="W21" s="235"/>
      <c r="X21" s="236"/>
      <c r="Z21" s="47"/>
      <c r="AA21" s="35"/>
    </row>
    <row r="22" spans="1:32" ht="24.95" customHeight="1" x14ac:dyDescent="0.15">
      <c r="A22" s="184" t="s">
        <v>118</v>
      </c>
      <c r="B22" s="185"/>
      <c r="C22" s="185"/>
      <c r="D22" s="186"/>
      <c r="E22" s="207" t="s">
        <v>119</v>
      </c>
      <c r="F22" s="208"/>
      <c r="G22" s="208"/>
      <c r="H22" s="208"/>
      <c r="I22" s="209"/>
      <c r="J22" s="253" t="s">
        <v>120</v>
      </c>
      <c r="K22" s="254"/>
      <c r="L22" s="254"/>
      <c r="M22" s="46">
        <v>1</v>
      </c>
      <c r="N22" s="251" t="s">
        <v>121</v>
      </c>
      <c r="O22" s="251"/>
      <c r="P22" s="251"/>
      <c r="Q22" s="251"/>
      <c r="R22" s="251"/>
      <c r="S22" s="46">
        <v>2</v>
      </c>
      <c r="T22" s="251" t="s">
        <v>122</v>
      </c>
      <c r="U22" s="251"/>
      <c r="V22" s="251"/>
      <c r="W22" s="251"/>
      <c r="X22" s="252"/>
      <c r="Z22" s="35"/>
      <c r="AA22" s="35"/>
    </row>
    <row r="23" spans="1:32" customFormat="1" ht="24.95" customHeight="1" thickBot="1" x14ac:dyDescent="0.2">
      <c r="A23" t="s">
        <v>123</v>
      </c>
    </row>
    <row r="24" spans="1:32" customFormat="1" ht="24.95" customHeight="1" x14ac:dyDescent="0.15">
      <c r="A24" s="239" t="s">
        <v>124</v>
      </c>
      <c r="B24" s="240"/>
      <c r="C24" s="240"/>
      <c r="D24" s="240"/>
      <c r="E24" s="265" t="s">
        <v>125</v>
      </c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7"/>
    </row>
    <row r="25" spans="1:32" customFormat="1" ht="24.95" customHeight="1" x14ac:dyDescent="0.15">
      <c r="A25" s="262">
        <v>40570</v>
      </c>
      <c r="B25" s="263"/>
      <c r="C25" s="263"/>
      <c r="D25" s="264"/>
      <c r="E25" s="258" t="s">
        <v>126</v>
      </c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60"/>
    </row>
    <row r="26" spans="1:32" customFormat="1" ht="24.95" customHeight="1" x14ac:dyDescent="0.15">
      <c r="A26" s="247"/>
      <c r="B26" s="248"/>
      <c r="C26" s="248"/>
      <c r="D26" s="248"/>
      <c r="E26" s="200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61"/>
    </row>
    <row r="27" spans="1:32" customFormat="1" ht="24.95" customHeight="1" x14ac:dyDescent="0.15">
      <c r="A27" s="247"/>
      <c r="B27" s="248"/>
      <c r="C27" s="248"/>
      <c r="D27" s="248"/>
      <c r="E27" s="200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61"/>
    </row>
    <row r="28" spans="1:32" customFormat="1" ht="24.95" customHeight="1" x14ac:dyDescent="0.15">
      <c r="A28" s="247"/>
      <c r="B28" s="248"/>
      <c r="C28" s="248"/>
      <c r="D28" s="248"/>
      <c r="E28" s="200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61"/>
    </row>
    <row r="29" spans="1:32" customFormat="1" ht="24.95" customHeight="1" thickBot="1" x14ac:dyDescent="0.2">
      <c r="A29" s="249"/>
      <c r="B29" s="250"/>
      <c r="C29" s="250"/>
      <c r="D29" s="250"/>
      <c r="E29" s="255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7"/>
      <c r="Y29" s="49"/>
      <c r="Z29" s="49"/>
      <c r="AA29" s="49"/>
      <c r="AB29" s="49"/>
      <c r="AC29" s="49"/>
      <c r="AD29" s="49"/>
      <c r="AE29" s="49"/>
      <c r="AF29" s="49"/>
    </row>
  </sheetData>
  <mergeCells count="73">
    <mergeCell ref="A28:D28"/>
    <mergeCell ref="A29:D29"/>
    <mergeCell ref="A26:D26"/>
    <mergeCell ref="A27:D27"/>
    <mergeCell ref="T22:X22"/>
    <mergeCell ref="E22:I22"/>
    <mergeCell ref="J22:L22"/>
    <mergeCell ref="N22:R22"/>
    <mergeCell ref="E29:X29"/>
    <mergeCell ref="E25:X25"/>
    <mergeCell ref="E26:X26"/>
    <mergeCell ref="E27:X27"/>
    <mergeCell ref="E28:X28"/>
    <mergeCell ref="A25:D25"/>
    <mergeCell ref="E24:X24"/>
    <mergeCell ref="A22:D22"/>
    <mergeCell ref="C14:D14"/>
    <mergeCell ref="A24:D24"/>
    <mergeCell ref="A20:B21"/>
    <mergeCell ref="C15:D15"/>
    <mergeCell ref="C16:D16"/>
    <mergeCell ref="A14:B16"/>
    <mergeCell ref="C20:D20"/>
    <mergeCell ref="C21:D21"/>
    <mergeCell ref="C18:D18"/>
    <mergeCell ref="C19:D19"/>
    <mergeCell ref="E21:G21"/>
    <mergeCell ref="E20:G20"/>
    <mergeCell ref="J21:L21"/>
    <mergeCell ref="H21:I21"/>
    <mergeCell ref="O17:X21"/>
    <mergeCell ref="J18:N18"/>
    <mergeCell ref="J20:N20"/>
    <mergeCell ref="H20:I20"/>
    <mergeCell ref="H17:I17"/>
    <mergeCell ref="H18:I18"/>
    <mergeCell ref="J19:L19"/>
    <mergeCell ref="M19:N19"/>
    <mergeCell ref="J17:N17"/>
    <mergeCell ref="M21:N21"/>
    <mergeCell ref="H19:I19"/>
    <mergeCell ref="E19:G19"/>
    <mergeCell ref="E17:G17"/>
    <mergeCell ref="E18:G18"/>
    <mergeCell ref="F4:G4"/>
    <mergeCell ref="N1:O1"/>
    <mergeCell ref="A2:E2"/>
    <mergeCell ref="A3:E3"/>
    <mergeCell ref="C4:E4"/>
    <mergeCell ref="F1:G1"/>
    <mergeCell ref="L2:M2"/>
    <mergeCell ref="H3:K3"/>
    <mergeCell ref="N3:S3"/>
    <mergeCell ref="A1:E1"/>
    <mergeCell ref="A4:B4"/>
    <mergeCell ref="F3:G3"/>
    <mergeCell ref="A18:B19"/>
    <mergeCell ref="A17:D17"/>
    <mergeCell ref="U5:W5"/>
    <mergeCell ref="T13:X13"/>
    <mergeCell ref="W4:X4"/>
    <mergeCell ref="T2:U2"/>
    <mergeCell ref="T3:U3"/>
    <mergeCell ref="T12:X12"/>
    <mergeCell ref="V1:X1"/>
    <mergeCell ref="V2:X2"/>
    <mergeCell ref="V3:X3"/>
    <mergeCell ref="H1:M1"/>
    <mergeCell ref="T1:U1"/>
    <mergeCell ref="R2:S2"/>
    <mergeCell ref="F2:K2"/>
    <mergeCell ref="P1:S1"/>
    <mergeCell ref="P2:Q2"/>
  </mergeCells>
  <phoneticPr fontId="2"/>
  <dataValidations count="3">
    <dataValidation type="list" allowBlank="1" showInputMessage="1" showErrorMessage="1" sqref="H3:K3" xr:uid="{00000000-0002-0000-0300-000000000000}">
      <formula1>$AA$1</formula1>
    </dataValidation>
    <dataValidation imeMode="halfAlpha" allowBlank="1" showInputMessage="1" showErrorMessage="1" sqref="F1:G1 V1:X1 L2" xr:uid="{00000000-0002-0000-0300-000001000000}"/>
    <dataValidation imeMode="hiragana" allowBlank="1" showInputMessage="1" showErrorMessage="1" sqref="H1:M1" xr:uid="{00000000-0002-0000-0300-000002000000}"/>
  </dataValidations>
  <pageMargins left="0.78740157480314965" right="0.19685039370078741" top="0.39370078740157483" bottom="0.59055118110236227" header="0.19685039370078741" footer="0.19685039370078741"/>
  <pageSetup paperSize="9" scale="9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2026-02-18</vt:lpstr>
      <vt:lpstr>2022-07-21</vt:lpstr>
      <vt:lpstr>250018</vt:lpstr>
      <vt:lpstr>ピヨ</vt:lpstr>
      <vt:lpstr>'2022-07-21'!Print_Area</vt:lpstr>
      <vt:lpstr>'2026-02-18'!Print_Area</vt:lpstr>
      <vt:lpstr>ピヨ!Print_Area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松岡 鉄平</cp:lastModifiedBy>
  <cp:lastPrinted>2026-03-06T08:29:13Z</cp:lastPrinted>
  <dcterms:created xsi:type="dcterms:W3CDTF">2002-07-31T02:53:25Z</dcterms:created>
  <dcterms:modified xsi:type="dcterms:W3CDTF">2026-03-06T08:29:16Z</dcterms:modified>
</cp:coreProperties>
</file>