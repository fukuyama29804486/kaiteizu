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570E235E-E097-4461-872D-D46B8D487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6" sheetId="3" r:id="rId1"/>
    <sheet name="250096" sheetId="2" r:id="rId2"/>
    <sheet name="旧250096" sheetId="1" r:id="rId3"/>
  </sheets>
  <definedNames>
    <definedName name="_xlnm.Print_Area" localSheetId="0">'2026-02-16'!$A$1:$X$38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3" l="1"/>
  <c r="AD15" i="3" s="1"/>
  <c r="AA14" i="3"/>
  <c r="AD14" i="3" s="1"/>
  <c r="AA35" i="3"/>
  <c r="AA34" i="3"/>
  <c r="C35" i="3"/>
  <c r="C34" i="3"/>
  <c r="C30" i="2"/>
  <c r="C33" i="2"/>
  <c r="C33" i="1"/>
</calcChain>
</file>

<file path=xl/sharedStrings.xml><?xml version="1.0" encoding="utf-8"?>
<sst xmlns="http://schemas.openxmlformats.org/spreadsheetml/2006/main" count="171" uniqueCount="70">
  <si>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</si>
  <si>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2-0096 </t>
    <phoneticPr fontId="1"/>
  </si>
  <si>
    <t>海上自衛隊呉集会所前</t>
    <rPh sb="0" eb="2">
      <t>カイジョウ</t>
    </rPh>
    <rPh sb="2" eb="5">
      <t>ジエイタイ</t>
    </rPh>
    <rPh sb="5" eb="6">
      <t>クレ</t>
    </rPh>
    <rPh sb="6" eb="9">
      <t>シュウカイショ</t>
    </rPh>
    <rPh sb="9" eb="10">
      <t>マエ</t>
    </rPh>
    <phoneticPr fontId="1"/>
  </si>
  <si>
    <t>運　用</t>
    <rPh sb="0" eb="1">
      <t>ウン</t>
    </rPh>
    <rPh sb="2" eb="3">
      <t>ヨウ</t>
    </rPh>
    <phoneticPr fontId="1"/>
  </si>
  <si>
    <t>H.14年12月 2日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</si>
  <si>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</si>
  <si>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2J1334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</si>
  <si>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</si>
  <si>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250096 </t>
    <phoneticPr fontId="1"/>
  </si>
  <si>
    <t>幸町１丁目</t>
    <rPh sb="0" eb="2">
      <t>サイワイチョウ</t>
    </rPh>
    <rPh sb="3" eb="5">
      <t>チョウメ</t>
    </rPh>
    <phoneticPr fontId="1"/>
  </si>
  <si>
    <t>（Ⅱ型）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</si>
  <si>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</si>
  <si>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</si>
  <si>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</si>
  <si>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</si>
  <si>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</si>
  <si>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</si>
  <si>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</si>
  <si>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</si>
  <si>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</si>
  <si>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</si>
  <si>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</si>
  <si>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</si>
  <si>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</si>
  <si>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</si>
  <si>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</si>
  <si>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</si>
  <si>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 （ １Ｐ ）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</si>
  <si>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</si>
  <si>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</si>
  <si>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</si>
  <si>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</si>
  <si>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</si>
  <si>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</si>
  <si>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>[ 2V ]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</si>
  <si>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</si>
  <si>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</si>
  <si>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</si>
  <si>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</si>
  <si>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</si>
  <si>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</si>
  <si>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</si>
  <si>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</si>
  <si>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</si>
  <si>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</si>
  <si>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</si>
  <si>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</si>
  <si>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</si>
  <si>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ＰＵ</t>
    <phoneticPr fontId="1"/>
  </si>
  <si>
    <t>ＰＬ</t>
    <phoneticPr fontId="1"/>
  </si>
  <si>
    <t>(</t>
    <phoneticPr fontId="1"/>
  </si>
  <si>
    <t>)</t>
    <phoneticPr fontId="1"/>
  </si>
  <si>
    <t>20096</t>
    <phoneticPr fontId="1"/>
  </si>
  <si>
    <t>5*</t>
    <phoneticPr fontId="1"/>
  </si>
  <si>
    <t>10*</t>
    <phoneticPr fontId="1"/>
  </si>
  <si>
    <t>H.21年 1月28日</t>
    <rPh sb="4" eb="5">
      <t>ネン</t>
    </rPh>
    <rPh sb="7" eb="8">
      <t>ガツ</t>
    </rPh>
    <rPh sb="10" eb="11">
      <t>ニチ</t>
    </rPh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</si>
  <si>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</si>
  <si>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</si>
  <si>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</si>
  <si>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</si>
  <si>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海上自衛隊呉集会所前</t>
    <rPh sb="0" eb="2">
      <t>カイジョウ</t>
    </rPh>
    <rPh sb="2" eb="4">
      <t>ジエイ</t>
    </rPh>
    <rPh sb="4" eb="5">
      <t>タイ</t>
    </rPh>
    <rPh sb="5" eb="6">
      <t>クレ</t>
    </rPh>
    <rPh sb="6" eb="9">
      <t>シュウカイショ</t>
    </rPh>
    <rPh sb="9" eb="10">
      <t>マエ</t>
    </rPh>
    <phoneticPr fontId="1"/>
  </si>
  <si>
    <t>02-0096</t>
    <phoneticPr fontId="1"/>
  </si>
  <si>
    <t>(UD-TTR)</t>
    <phoneticPr fontId="1"/>
  </si>
  <si>
    <t>２Ｐ</t>
    <phoneticPr fontId="1"/>
  </si>
  <si>
    <t>（１Ｐ）</t>
    <phoneticPr fontId="1"/>
  </si>
  <si>
    <t>3 G</t>
    <phoneticPr fontId="1"/>
  </si>
  <si>
    <t>3 Y</t>
    <phoneticPr fontId="1"/>
  </si>
  <si>
    <t>3 R</t>
    <phoneticPr fontId="1"/>
  </si>
  <si>
    <t>日本信号</t>
    <rPh sb="0" eb="4">
      <t>ニホンシンゴウ</t>
    </rPh>
    <phoneticPr fontId="1"/>
  </si>
  <si>
    <t>K0000014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</si>
</sst>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left" vertical="center"/>
    </xf>
    <xf numFmtId="181" fontId="8" fillId="0" borderId="0" xfId="0" applyNumberFormat="1" applyFont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2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0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4" xfId="0" applyNumberFormat="1" applyFont="1" applyBorder="1" applyAlignment="1">
      <alignment horizontal="center" vertical="center"/>
    </xf>
    <xf numFmtId="180" fontId="8" fillId="0" borderId="25" xfId="0" applyNumberFormat="1" applyFont="1" applyBorder="1" applyAlignment="1">
      <alignment horizontal="center" vertical="center"/>
    </xf>
    <xf numFmtId="180" fontId="8" fillId="0" borderId="10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49" fontId="8" fillId="0" borderId="1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32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right" vertical="center"/>
    </xf>
    <xf numFmtId="49" fontId="2" fillId="0" borderId="18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142876</xdr:rowOff>
    </xdr:from>
    <xdr:to>
      <xdr:col>21</xdr:col>
      <xdr:colOff>238125</xdr:colOff>
      <xdr:row>14</xdr:row>
      <xdr:rowOff>67561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5395CE2A-E0E8-4D6C-89D2-2D0CA48D82CA}"/>
            </a:ext>
          </a:extLst>
        </xdr:cNvPr>
        <xdr:cNvGrpSpPr>
          <a:grpSpLocks noChangeAspect="1"/>
        </xdr:cNvGrpSpPr>
      </xdr:nvGrpSpPr>
      <xdr:grpSpPr>
        <a:xfrm>
          <a:off x="485775" y="714376"/>
          <a:ext cx="6410325" cy="3858510"/>
          <a:chOff x="1409700" y="1219200"/>
          <a:chExt cx="8923809" cy="5371429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F1118718-DB00-4ACA-A6A0-A766CAEAD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09700" y="1219200"/>
            <a:ext cx="8923809" cy="5371429"/>
          </a:xfrm>
          <a:prstGeom prst="rect">
            <a:avLst/>
          </a:prstGeom>
        </xdr:spPr>
      </xdr:pic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D6441482-0F91-4E4C-B707-D8283702E802}"/>
              </a:ext>
            </a:extLst>
          </xdr:cNvPr>
          <xdr:cNvSpPr/>
        </xdr:nvSpPr>
        <xdr:spPr bwMode="auto">
          <a:xfrm>
            <a:off x="9610724" y="1219200"/>
            <a:ext cx="695325" cy="304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pic>
        <xdr:nvPicPr>
          <xdr:cNvPr id="102" name="図 101">
            <a:extLst>
              <a:ext uri="{FF2B5EF4-FFF2-40B4-BE49-F238E27FC236}">
                <a16:creationId xmlns:a16="http://schemas.microsoft.com/office/drawing/2014/main" id="{BAAA364E-E629-4027-8AAB-E426B3147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82050" y="5124450"/>
            <a:ext cx="1161905" cy="134285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FAFEB88-7DDF-45F0-990B-FCC1EE58178F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DDA85576-E13A-4113-9BF6-642D813CE9FF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C29ADF15-9271-4EBF-A055-7B6E443F3B6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3D472CB-1963-4509-A087-5E55BCCD14FD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A46A87F3-9C78-4D13-9691-1488D0C084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D50DC9AA-0DB9-4100-AE75-1B327857F32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9A1A400E-9289-411C-A9D4-F0CDE5756DF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C37763E8-5E5F-4A46-ADCD-EED4FBD4D7C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311400</xdr:colOff>
      <xdr:row>18</xdr:row>
      <xdr:rowOff>142875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EDEECC8-B670-47F4-9D2B-6931C8ECA824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826000" cy="47625"/>
          <a:chOff x="158" y="715"/>
          <a:chExt cx="33" cy="5"/>
        </a:xfrm>
      </xdr:grpSpPr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1DD36197-66E4-43CE-BF93-A81740E8ABD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FD126C5E-8C92-44CE-A932-A330943D8B7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55EE9E9F-240B-4FD8-9BE8-CDD698E86C1F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310050</xdr:colOff>
      <xdr:row>19</xdr:row>
      <xdr:rowOff>152400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D55A079C-4909-40D5-A4DB-696379F84B16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2196000" cy="47625"/>
          <a:chOff x="158" y="715"/>
          <a:chExt cx="33" cy="5"/>
        </a:xfrm>
      </xdr:grpSpPr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911C7260-2A30-4219-91F8-36D637E1927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9C4E6DB5-DCA6-46CF-ACBC-A5E59FA8E29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47625</xdr:rowOff>
    </xdr:from>
    <xdr:to>
      <xdr:col>13</xdr:col>
      <xdr:colOff>304800</xdr:colOff>
      <xdr:row>21</xdr:row>
      <xdr:rowOff>190500</xdr:rowOff>
    </xdr:to>
    <xdr:sp macro="" textlink="">
      <xdr:nvSpPr>
        <xdr:cNvPr id="18" name="Freeform 17">
          <a:extLst>
            <a:ext uri="{FF2B5EF4-FFF2-40B4-BE49-F238E27FC236}">
              <a16:creationId xmlns:a16="http://schemas.microsoft.com/office/drawing/2014/main" id="{444A088D-9359-4766-8A39-E38DCE527F36}"/>
            </a:ext>
          </a:extLst>
        </xdr:cNvPr>
        <xdr:cNvSpPr>
          <a:spLocks/>
        </xdr:cNvSpPr>
      </xdr:nvSpPr>
      <xdr:spPr bwMode="auto">
        <a:xfrm>
          <a:off x="4152900" y="75057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DE1A8B-F0D3-4F4D-9857-422FA43F9A6A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959ECD89-B5C7-4C75-8A79-01B9A4D4B9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C9E5F342-69AB-437E-9680-CE4749B3911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8041B22F-7C9A-44EA-B783-4183ABA11CC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667E95AF-FB3A-4208-AD87-4D78309718F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314324</xdr:colOff>
      <xdr:row>20</xdr:row>
      <xdr:rowOff>95250</xdr:rowOff>
    </xdr:from>
    <xdr:to>
      <xdr:col>15</xdr:col>
      <xdr:colOff>2699</xdr:colOff>
      <xdr:row>20</xdr:row>
      <xdr:rowOff>142875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240BD1FD-95B3-495E-BB9F-B5E7E9C96E99}"/>
            </a:ext>
          </a:extLst>
        </xdr:cNvPr>
        <xdr:cNvGrpSpPr>
          <a:grpSpLocks/>
        </xdr:cNvGrpSpPr>
      </xdr:nvGrpSpPr>
      <xdr:grpSpPr bwMode="auto">
        <a:xfrm>
          <a:off x="3514724" y="7324725"/>
          <a:ext cx="1260000" cy="47625"/>
          <a:chOff x="158" y="715"/>
          <a:chExt cx="33" cy="5"/>
        </a:xfrm>
      </xdr:grpSpPr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F15DCB48-180E-4F2E-884B-1300F50FA5A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id="{ED8BB3BB-06AE-48A7-BB29-EDAFC0E29FC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21</xdr:row>
      <xdr:rowOff>95250</xdr:rowOff>
    </xdr:from>
    <xdr:to>
      <xdr:col>15</xdr:col>
      <xdr:colOff>0</xdr:colOff>
      <xdr:row>21</xdr:row>
      <xdr:rowOff>142875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37D8F18-32B9-49E5-AA19-8C7DCD50B0CB}"/>
            </a:ext>
          </a:extLst>
        </xdr:cNvPr>
        <xdr:cNvGrpSpPr>
          <a:grpSpLocks/>
        </xdr:cNvGrpSpPr>
      </xdr:nvGrpSpPr>
      <xdr:grpSpPr bwMode="auto">
        <a:xfrm>
          <a:off x="4457700" y="7553325"/>
          <a:ext cx="314325" cy="47625"/>
          <a:chOff x="158" y="715"/>
          <a:chExt cx="33" cy="5"/>
        </a:xfrm>
      </xdr:grpSpPr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4FE251BF-D421-4E1E-9705-036E889B9AC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id="{87A2941C-8D00-4F10-8A0C-7AC85599447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50538E5-8F0F-4ACB-B5DC-9F3DDF0FCC76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1571625" cy="47625"/>
          <a:chOff x="158" y="715"/>
          <a:chExt cx="33" cy="5"/>
        </a:xfrm>
      </xdr:grpSpPr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4F8803C8-D775-46E1-8111-8C5D360DF3F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EF65DEAB-6B21-4001-ADA8-AB18156BAA3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9D6A5F5E-C475-45ED-9553-26F8CACE7B5C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171449</xdr:colOff>
      <xdr:row>21</xdr:row>
      <xdr:rowOff>104775</xdr:rowOff>
    </xdr:from>
    <xdr:to>
      <xdr:col>12</xdr:col>
      <xdr:colOff>5399</xdr:colOff>
      <xdr:row>21</xdr:row>
      <xdr:rowOff>152400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5EFE6C9C-E7A5-4567-9E27-784D5DAFDDAB}"/>
            </a:ext>
          </a:extLst>
        </xdr:cNvPr>
        <xdr:cNvGrpSpPr>
          <a:grpSpLocks/>
        </xdr:cNvGrpSpPr>
      </xdr:nvGrpSpPr>
      <xdr:grpSpPr bwMode="auto">
        <a:xfrm>
          <a:off x="1314449" y="7562850"/>
          <a:ext cx="2520000" cy="47625"/>
          <a:chOff x="158" y="715"/>
          <a:chExt cx="33" cy="5"/>
        </a:xfrm>
      </xdr:grpSpPr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68442806-1C4C-487D-B132-F80806D672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72E1A7AF-AAED-4A32-ACBB-8DA348C593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95250</xdr:colOff>
      <xdr:row>17</xdr:row>
      <xdr:rowOff>466725</xdr:rowOff>
    </xdr:from>
    <xdr:to>
      <xdr:col>11</xdr:col>
      <xdr:colOff>152400</xdr:colOff>
      <xdr:row>17</xdr:row>
      <xdr:rowOff>1200150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B8F92326-15F9-41B5-B302-D2C9D98A07F1}"/>
            </a:ext>
          </a:extLst>
        </xdr:cNvPr>
        <xdr:cNvGrpSpPr>
          <a:grpSpLocks/>
        </xdr:cNvGrpSpPr>
      </xdr:nvGrpSpPr>
      <xdr:grpSpPr bwMode="auto">
        <a:xfrm rot="5400000">
          <a:off x="3271837" y="5995988"/>
          <a:ext cx="733425" cy="57150"/>
          <a:chOff x="123" y="549"/>
          <a:chExt cx="77" cy="6"/>
        </a:xfrm>
      </xdr:grpSpPr>
      <xdr:sp macro="" textlink="">
        <xdr:nvSpPr>
          <xdr:cNvPr id="39" name="Line 38">
            <a:extLst>
              <a:ext uri="{FF2B5EF4-FFF2-40B4-BE49-F238E27FC236}">
                <a16:creationId xmlns:a16="http://schemas.microsoft.com/office/drawing/2014/main" id="{32FCD9EA-CF98-4291-AC71-9A1C5E11AEC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C0E17C3F-9960-4154-B53C-CEF78B54488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F7E4CF9E-3768-4EA3-A5F3-4005C399038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200025</xdr:colOff>
      <xdr:row>17</xdr:row>
      <xdr:rowOff>457200</xdr:rowOff>
    </xdr:from>
    <xdr:to>
      <xdr:col>9</xdr:col>
      <xdr:colOff>257175</xdr:colOff>
      <xdr:row>17</xdr:row>
      <xdr:rowOff>1190625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9889DBA-0D6D-455C-86A2-FBE88EE7E87D}"/>
            </a:ext>
          </a:extLst>
        </xdr:cNvPr>
        <xdr:cNvGrpSpPr>
          <a:grpSpLocks/>
        </xdr:cNvGrpSpPr>
      </xdr:nvGrpSpPr>
      <xdr:grpSpPr bwMode="auto">
        <a:xfrm rot="5400000">
          <a:off x="2747962" y="5986463"/>
          <a:ext cx="733425" cy="57150"/>
          <a:chOff x="123" y="549"/>
          <a:chExt cx="77" cy="6"/>
        </a:xfrm>
      </xdr:grpSpPr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28A2A21F-548D-49A2-A9D3-4A0CE280742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8BF96695-5BE0-4212-B810-14627ED35F1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2512F999-B49B-45FA-A09E-728D4612B74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F74B1B1F-EC08-46A9-82A0-414651B0ED20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10</xdr:col>
      <xdr:colOff>66675</xdr:colOff>
      <xdr:row>17</xdr:row>
      <xdr:rowOff>1285875</xdr:rowOff>
    </xdr:from>
    <xdr:ext cx="303536" cy="150041"/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F70B4071-35BD-4FB0-9270-9F464BB3ABA6}"/>
            </a:ext>
          </a:extLst>
        </xdr:cNvPr>
        <xdr:cNvSpPr txBox="1">
          <a:spLocks noChangeArrowheads="1"/>
        </xdr:cNvSpPr>
      </xdr:nvSpPr>
      <xdr:spPr bwMode="auto">
        <a:xfrm>
          <a:off x="3267075" y="647700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10</xdr:col>
      <xdr:colOff>266700</xdr:colOff>
      <xdr:row>17</xdr:row>
      <xdr:rowOff>209550</xdr:rowOff>
    </xdr:from>
    <xdr:ext cx="361244" cy="150041"/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F4409BAF-C8CD-47B2-8DEC-CD831FA654CD}"/>
            </a:ext>
          </a:extLst>
        </xdr:cNvPr>
        <xdr:cNvSpPr txBox="1">
          <a:spLocks noChangeArrowheads="1"/>
        </xdr:cNvSpPr>
      </xdr:nvSpPr>
      <xdr:spPr bwMode="auto">
        <a:xfrm>
          <a:off x="3467100" y="54006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4</xdr:col>
      <xdr:colOff>276225</xdr:colOff>
      <xdr:row>17</xdr:row>
      <xdr:rowOff>600075</xdr:rowOff>
    </xdr:from>
    <xdr:to>
      <xdr:col>8</xdr:col>
      <xdr:colOff>19050</xdr:colOff>
      <xdr:row>17</xdr:row>
      <xdr:rowOff>781050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FBC6D0E3-653A-43D2-B9EA-A05A41C26F73}"/>
            </a:ext>
          </a:extLst>
        </xdr:cNvPr>
        <xdr:cNvGrpSpPr>
          <a:grpSpLocks/>
        </xdr:cNvGrpSpPr>
      </xdr:nvGrpSpPr>
      <xdr:grpSpPr bwMode="auto">
        <a:xfrm>
          <a:off x="1590675" y="5791200"/>
          <a:ext cx="1000125" cy="180975"/>
          <a:chOff x="121" y="600"/>
          <a:chExt cx="105" cy="19"/>
        </a:xfrm>
      </xdr:grpSpPr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1411FB77-A0BB-45B7-933E-9DC6AC2B5B7C}"/>
              </a:ext>
            </a:extLst>
          </xdr:cNvPr>
          <xdr:cNvSpPr>
            <a:spLocks noChangeShapeType="1"/>
          </xdr:cNvSpPr>
        </xdr:nvSpPr>
        <xdr:spPr bwMode="auto">
          <a:xfrm>
            <a:off x="121" y="60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43F00BFA-FE70-499E-9191-8334AFBE7EC0}"/>
              </a:ext>
            </a:extLst>
          </xdr:cNvPr>
          <xdr:cNvSpPr>
            <a:spLocks/>
          </xdr:cNvSpPr>
        </xdr:nvSpPr>
        <xdr:spPr bwMode="auto">
          <a:xfrm>
            <a:off x="219" y="60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70396323-78B5-4C5A-B7DE-42C4F6C2B4A1}"/>
              </a:ext>
            </a:extLst>
          </xdr:cNvPr>
          <xdr:cNvSpPr>
            <a:spLocks/>
          </xdr:cNvSpPr>
        </xdr:nvSpPr>
        <xdr:spPr bwMode="auto">
          <a:xfrm>
            <a:off x="156" y="60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1ACCD763-3705-435C-8EC5-6F22228890B9}"/>
              </a:ext>
            </a:extLst>
          </xdr:cNvPr>
          <xdr:cNvSpPr>
            <a:spLocks noChangeShapeType="1"/>
          </xdr:cNvSpPr>
        </xdr:nvSpPr>
        <xdr:spPr bwMode="auto">
          <a:xfrm>
            <a:off x="164" y="61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D205E9C6-66E3-4319-8DA7-2CDC0F00CC7C}"/>
              </a:ext>
            </a:extLst>
          </xdr:cNvPr>
          <xdr:cNvSpPr>
            <a:spLocks/>
          </xdr:cNvSpPr>
        </xdr:nvSpPr>
        <xdr:spPr bwMode="auto">
          <a:xfrm>
            <a:off x="160" y="61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962025</xdr:rowOff>
    </xdr:from>
    <xdr:to>
      <xdr:col>8</xdr:col>
      <xdr:colOff>19050</xdr:colOff>
      <xdr:row>17</xdr:row>
      <xdr:rowOff>1143000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DB704723-C4AA-43FF-97B5-537979D85E63}"/>
            </a:ext>
          </a:extLst>
        </xdr:cNvPr>
        <xdr:cNvGrpSpPr>
          <a:grpSpLocks/>
        </xdr:cNvGrpSpPr>
      </xdr:nvGrpSpPr>
      <xdr:grpSpPr bwMode="auto">
        <a:xfrm>
          <a:off x="1590675" y="6153150"/>
          <a:ext cx="1000125" cy="180975"/>
          <a:chOff x="121" y="638"/>
          <a:chExt cx="105" cy="19"/>
        </a:xfrm>
      </xdr:grpSpPr>
      <xdr:sp macro="" textlink="">
        <xdr:nvSpPr>
          <xdr:cNvPr id="56" name="Line 55">
            <a:extLst>
              <a:ext uri="{FF2B5EF4-FFF2-40B4-BE49-F238E27FC236}">
                <a16:creationId xmlns:a16="http://schemas.microsoft.com/office/drawing/2014/main" id="{A4D82D3F-C5F4-4B27-8C85-60200CA2CD32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2" y="64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0CA408B2-E7EE-4151-AC85-3266E908ABBE}"/>
              </a:ext>
            </a:extLst>
          </xdr:cNvPr>
          <xdr:cNvSpPr>
            <a:spLocks/>
          </xdr:cNvSpPr>
        </xdr:nvSpPr>
        <xdr:spPr bwMode="auto">
          <a:xfrm rot="-10800000">
            <a:off x="121" y="63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83D491C7-267F-4B63-9546-0D4AB4749093}"/>
              </a:ext>
            </a:extLst>
          </xdr:cNvPr>
          <xdr:cNvSpPr>
            <a:spLocks/>
          </xdr:cNvSpPr>
        </xdr:nvSpPr>
        <xdr:spPr bwMode="auto">
          <a:xfrm rot="-10800000">
            <a:off x="194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Line 58">
            <a:extLst>
              <a:ext uri="{FF2B5EF4-FFF2-40B4-BE49-F238E27FC236}">
                <a16:creationId xmlns:a16="http://schemas.microsoft.com/office/drawing/2014/main" id="{3F11E606-A660-4CF9-A620-E9C8A583D31D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4" y="64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4A4C7C1F-302C-40C6-B052-66735C4550AB}"/>
              </a:ext>
            </a:extLst>
          </xdr:cNvPr>
          <xdr:cNvSpPr>
            <a:spLocks/>
          </xdr:cNvSpPr>
        </xdr:nvSpPr>
        <xdr:spPr bwMode="auto">
          <a:xfrm rot="-10800000">
            <a:off x="190" y="650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194418</xdr:colOff>
      <xdr:row>17</xdr:row>
      <xdr:rowOff>1228725</xdr:rowOff>
    </xdr:from>
    <xdr:to>
      <xdr:col>11</xdr:col>
      <xdr:colOff>174796</xdr:colOff>
      <xdr:row>17</xdr:row>
      <xdr:rowOff>1285875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19AFA708-4E73-4120-A16B-BEEC697B1016}"/>
            </a:ext>
          </a:extLst>
        </xdr:cNvPr>
        <xdr:cNvGrpSpPr>
          <a:grpSpLocks/>
        </xdr:cNvGrpSpPr>
      </xdr:nvGrpSpPr>
      <xdr:grpSpPr bwMode="auto">
        <a:xfrm>
          <a:off x="3080493" y="6419850"/>
          <a:ext cx="609028" cy="57150"/>
          <a:chOff x="123" y="549"/>
          <a:chExt cx="64" cy="6"/>
        </a:xfrm>
      </xdr:grpSpPr>
      <xdr:sp macro="" textlink="">
        <xdr:nvSpPr>
          <xdr:cNvPr id="62" name="Line 61">
            <a:extLst>
              <a:ext uri="{FF2B5EF4-FFF2-40B4-BE49-F238E27FC236}">
                <a16:creationId xmlns:a16="http://schemas.microsoft.com/office/drawing/2014/main" id="{C17EB337-124D-4AE0-907C-6A33EE77A83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53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1C71F7B1-F83E-435C-971E-D6CFEC2C8A00}"/>
              </a:ext>
            </a:extLst>
          </xdr:cNvPr>
          <xdr:cNvSpPr>
            <a:spLocks/>
          </xdr:cNvSpPr>
        </xdr:nvSpPr>
        <xdr:spPr bwMode="auto">
          <a:xfrm>
            <a:off x="180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525578D9-DF93-4B22-87E9-09A70E2E6BD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57150</xdr:colOff>
      <xdr:row>17</xdr:row>
      <xdr:rowOff>200025</xdr:rowOff>
    </xdr:from>
    <xdr:ext cx="361244" cy="150041"/>
    <xdr:sp macro="" textlink="">
      <xdr:nvSpPr>
        <xdr:cNvPr id="79" name="Text Box 81">
          <a:extLst>
            <a:ext uri="{FF2B5EF4-FFF2-40B4-BE49-F238E27FC236}">
              <a16:creationId xmlns:a16="http://schemas.microsoft.com/office/drawing/2014/main" id="{0B6A0262-4EF0-4B4C-8411-3B38B8BDFE42}"/>
            </a:ext>
          </a:extLst>
        </xdr:cNvPr>
        <xdr:cNvSpPr txBox="1">
          <a:spLocks noChangeArrowheads="1"/>
        </xdr:cNvSpPr>
      </xdr:nvSpPr>
      <xdr:spPr bwMode="auto">
        <a:xfrm>
          <a:off x="2943225" y="53911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10</xdr:col>
      <xdr:colOff>257175</xdr:colOff>
      <xdr:row>17</xdr:row>
      <xdr:rowOff>66675</xdr:rowOff>
    </xdr:from>
    <xdr:ext cx="361244" cy="150041"/>
    <xdr:sp macro="" textlink="">
      <xdr:nvSpPr>
        <xdr:cNvPr id="83" name="Text Box 87">
          <a:extLst>
            <a:ext uri="{FF2B5EF4-FFF2-40B4-BE49-F238E27FC236}">
              <a16:creationId xmlns:a16="http://schemas.microsoft.com/office/drawing/2014/main" id="{B1055C68-5397-48B5-AEF3-5A53BA28F5C8}"/>
            </a:ext>
          </a:extLst>
        </xdr:cNvPr>
        <xdr:cNvSpPr txBox="1">
          <a:spLocks noChangeArrowheads="1"/>
        </xdr:cNvSpPr>
      </xdr:nvSpPr>
      <xdr:spPr bwMode="auto">
        <a:xfrm>
          <a:off x="3457575" y="52578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38100</xdr:colOff>
      <xdr:row>17</xdr:row>
      <xdr:rowOff>57150</xdr:rowOff>
    </xdr:from>
    <xdr:ext cx="361244" cy="150041"/>
    <xdr:sp macro="" textlink="">
      <xdr:nvSpPr>
        <xdr:cNvPr id="84" name="Text Box 88">
          <a:extLst>
            <a:ext uri="{FF2B5EF4-FFF2-40B4-BE49-F238E27FC236}">
              <a16:creationId xmlns:a16="http://schemas.microsoft.com/office/drawing/2014/main" id="{9C8FB386-C968-4286-B79E-BC360F3BE479}"/>
            </a:ext>
          </a:extLst>
        </xdr:cNvPr>
        <xdr:cNvSpPr txBox="1">
          <a:spLocks noChangeArrowheads="1"/>
        </xdr:cNvSpPr>
      </xdr:nvSpPr>
      <xdr:spPr bwMode="auto">
        <a:xfrm>
          <a:off x="2924175" y="5248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66675</xdr:colOff>
      <xdr:row>17</xdr:row>
      <xdr:rowOff>1371600</xdr:rowOff>
    </xdr:from>
    <xdr:ext cx="361244" cy="150041"/>
    <xdr:sp macro="" textlink="">
      <xdr:nvSpPr>
        <xdr:cNvPr id="85" name="Text Box 89">
          <a:extLst>
            <a:ext uri="{FF2B5EF4-FFF2-40B4-BE49-F238E27FC236}">
              <a16:creationId xmlns:a16="http://schemas.microsoft.com/office/drawing/2014/main" id="{EDC1AC1F-5772-4C2D-9CD9-71A5823B2391}"/>
            </a:ext>
          </a:extLst>
        </xdr:cNvPr>
        <xdr:cNvSpPr txBox="1">
          <a:spLocks noChangeArrowheads="1"/>
        </xdr:cNvSpPr>
      </xdr:nvSpPr>
      <xdr:spPr bwMode="auto">
        <a:xfrm>
          <a:off x="2952750" y="6562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7</xdr:col>
      <xdr:colOff>76200</xdr:colOff>
      <xdr:row>9</xdr:row>
      <xdr:rowOff>142875</xdr:rowOff>
    </xdr:from>
    <xdr:to>
      <xdr:col>15</xdr:col>
      <xdr:colOff>0</xdr:colOff>
      <xdr:row>9</xdr:row>
      <xdr:rowOff>152400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2458DBDF-FE18-4608-A22A-413BD5DABE38}"/>
            </a:ext>
          </a:extLst>
        </xdr:cNvPr>
        <xdr:cNvCxnSpPr/>
      </xdr:nvCxnSpPr>
      <xdr:spPr>
        <a:xfrm flipH="1" flipV="1">
          <a:off x="2333625" y="1857375"/>
          <a:ext cx="2438400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219074</xdr:colOff>
      <xdr:row>9</xdr:row>
      <xdr:rowOff>228600</xdr:rowOff>
    </xdr:from>
    <xdr:ext cx="468389" cy="187872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223620B1-1F63-487B-8C92-D5FF13BA943E}"/>
            </a:ext>
          </a:extLst>
        </xdr:cNvPr>
        <xdr:cNvSpPr txBox="1"/>
      </xdr:nvSpPr>
      <xdr:spPr>
        <a:xfrm>
          <a:off x="3419474" y="19431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28.4m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</xdr:col>
      <xdr:colOff>323850</xdr:colOff>
      <xdr:row>8</xdr:row>
      <xdr:rowOff>219075</xdr:rowOff>
    </xdr:from>
    <xdr:to>
      <xdr:col>4</xdr:col>
      <xdr:colOff>39602</xdr:colOff>
      <xdr:row>9</xdr:row>
      <xdr:rowOff>278475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0B37DE6D-6F6D-4B0C-B487-F6BE7362B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" y="170497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</xdr:colOff>
      <xdr:row>9</xdr:row>
      <xdr:rowOff>685800</xdr:rowOff>
    </xdr:from>
    <xdr:to>
      <xdr:col>22</xdr:col>
      <xdr:colOff>1502</xdr:colOff>
      <xdr:row>9</xdr:row>
      <xdr:rowOff>973800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5C64672E-451C-45DA-9DB0-DFC5558F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0" y="2400300"/>
          <a:ext cx="287252" cy="288000"/>
        </a:xfrm>
        <a:prstGeom prst="rect">
          <a:avLst/>
        </a:prstGeom>
      </xdr:spPr>
    </xdr:pic>
    <xdr:clientData/>
  </xdr:twoCellAnchor>
  <xdr:twoCellAnchor>
    <xdr:from>
      <xdr:col>10</xdr:col>
      <xdr:colOff>289756</xdr:colOff>
      <xdr:row>11</xdr:row>
      <xdr:rowOff>205545</xdr:rowOff>
    </xdr:from>
    <xdr:to>
      <xdr:col>11</xdr:col>
      <xdr:colOff>134634</xdr:colOff>
      <xdr:row>12</xdr:row>
      <xdr:rowOff>220361</xdr:rowOff>
    </xdr:to>
    <xdr:pic>
      <xdr:nvPicPr>
        <xdr:cNvPr id="104" name="Picture 232">
          <a:extLst>
            <a:ext uri="{FF2B5EF4-FFF2-40B4-BE49-F238E27FC236}">
              <a16:creationId xmlns:a16="http://schemas.microsoft.com/office/drawing/2014/main" id="{6B2B77BF-B3DB-4645-9C9D-32DB9BDF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3448050" y="4067176"/>
          <a:ext cx="243416" cy="1592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21</xdr:row>
      <xdr:rowOff>123825</xdr:rowOff>
    </xdr:from>
    <xdr:to>
      <xdr:col>13</xdr:col>
      <xdr:colOff>0</xdr:colOff>
      <xdr:row>21</xdr:row>
      <xdr:rowOff>123825</xdr:rowOff>
    </xdr:to>
    <xdr:sp macro="" textlink="">
      <xdr:nvSpPr>
        <xdr:cNvPr id="78" name="Line 32">
          <a:extLst>
            <a:ext uri="{FF2B5EF4-FFF2-40B4-BE49-F238E27FC236}">
              <a16:creationId xmlns:a16="http://schemas.microsoft.com/office/drawing/2014/main" id="{461B500C-43FA-4070-A0DB-ADE1BDC2C457}"/>
            </a:ext>
          </a:extLst>
        </xdr:cNvPr>
        <xdr:cNvSpPr>
          <a:spLocks noChangeShapeType="1"/>
        </xdr:cNvSpPr>
      </xdr:nvSpPr>
      <xdr:spPr bwMode="auto">
        <a:xfrm>
          <a:off x="3829050" y="7581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638175</xdr:rowOff>
    </xdr:from>
    <xdr:to>
      <xdr:col>13</xdr:col>
      <xdr:colOff>295275</xdr:colOff>
      <xdr:row>17</xdr:row>
      <xdr:rowOff>1304925</xdr:rowOff>
    </xdr:to>
    <xdr:grpSp>
      <xdr:nvGrpSpPr>
        <xdr:cNvPr id="80" name="Group 52">
          <a:extLst>
            <a:ext uri="{FF2B5EF4-FFF2-40B4-BE49-F238E27FC236}">
              <a16:creationId xmlns:a16="http://schemas.microsoft.com/office/drawing/2014/main" id="{EF708254-944B-46F4-95BF-9B6C46F73CBE}"/>
            </a:ext>
          </a:extLst>
        </xdr:cNvPr>
        <xdr:cNvGrpSpPr>
          <a:grpSpLocks/>
        </xdr:cNvGrpSpPr>
      </xdr:nvGrpSpPr>
      <xdr:grpSpPr bwMode="auto">
        <a:xfrm rot="10800000" flipH="1" flipV="1">
          <a:off x="4143375" y="5829300"/>
          <a:ext cx="295275" cy="666750"/>
          <a:chOff x="390" y="605"/>
          <a:chExt cx="31" cy="70"/>
        </a:xfrm>
      </xdr:grpSpPr>
      <xdr:sp macro="" textlink="">
        <xdr:nvSpPr>
          <xdr:cNvPr id="81" name="Line 53">
            <a:extLst>
              <a:ext uri="{FF2B5EF4-FFF2-40B4-BE49-F238E27FC236}">
                <a16:creationId xmlns:a16="http://schemas.microsoft.com/office/drawing/2014/main" id="{EF091B27-3556-4A1C-A680-58C5D6304EC7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76" y="645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Freeform 54">
            <a:extLst>
              <a:ext uri="{FF2B5EF4-FFF2-40B4-BE49-F238E27FC236}">
                <a16:creationId xmlns:a16="http://schemas.microsoft.com/office/drawing/2014/main" id="{6E5EA10C-6947-47D6-89F5-5B7374613B5C}"/>
              </a:ext>
            </a:extLst>
          </xdr:cNvPr>
          <xdr:cNvSpPr>
            <a:spLocks/>
          </xdr:cNvSpPr>
        </xdr:nvSpPr>
        <xdr:spPr bwMode="auto">
          <a:xfrm rot="-5400000">
            <a:off x="398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55">
            <a:extLst>
              <a:ext uri="{FF2B5EF4-FFF2-40B4-BE49-F238E27FC236}">
                <a16:creationId xmlns:a16="http://schemas.microsoft.com/office/drawing/2014/main" id="{70DC8B6E-8C86-4C26-93EC-FA3ABE27D2B9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94" y="63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6">
            <a:extLst>
              <a:ext uri="{FF2B5EF4-FFF2-40B4-BE49-F238E27FC236}">
                <a16:creationId xmlns:a16="http://schemas.microsoft.com/office/drawing/2014/main" id="{0166FF37-C90B-4C3D-8D28-05D9FC59A751}"/>
              </a:ext>
            </a:extLst>
          </xdr:cNvPr>
          <xdr:cNvSpPr>
            <a:spLocks/>
          </xdr:cNvSpPr>
        </xdr:nvSpPr>
        <xdr:spPr bwMode="auto">
          <a:xfrm rot="-5400000">
            <a:off x="390" y="639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Freeform 57">
            <a:extLst>
              <a:ext uri="{FF2B5EF4-FFF2-40B4-BE49-F238E27FC236}">
                <a16:creationId xmlns:a16="http://schemas.microsoft.com/office/drawing/2014/main" id="{A2A6E116-EFDE-40A6-8885-811A76505151}"/>
              </a:ext>
            </a:extLst>
          </xdr:cNvPr>
          <xdr:cNvSpPr>
            <a:spLocks/>
          </xdr:cNvSpPr>
        </xdr:nvSpPr>
        <xdr:spPr bwMode="auto">
          <a:xfrm rot="-5400000">
            <a:off x="406" y="609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Line 58">
            <a:extLst>
              <a:ext uri="{FF2B5EF4-FFF2-40B4-BE49-F238E27FC236}">
                <a16:creationId xmlns:a16="http://schemas.microsoft.com/office/drawing/2014/main" id="{9DDF9E4D-B9AE-4362-A511-9BD04A9CE35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16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9">
            <a:extLst>
              <a:ext uri="{FF2B5EF4-FFF2-40B4-BE49-F238E27FC236}">
                <a16:creationId xmlns:a16="http://schemas.microsoft.com/office/drawing/2014/main" id="{9D7553A2-53CB-4D03-9EE4-958E2792FE09}"/>
              </a:ext>
            </a:extLst>
          </xdr:cNvPr>
          <xdr:cNvSpPr>
            <a:spLocks/>
          </xdr:cNvSpPr>
        </xdr:nvSpPr>
        <xdr:spPr bwMode="auto">
          <a:xfrm rot="-5400000">
            <a:off x="414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69737</xdr:colOff>
      <xdr:row>17</xdr:row>
      <xdr:rowOff>1366497</xdr:rowOff>
    </xdr:from>
    <xdr:ext cx="361244" cy="150041"/>
    <xdr:sp macro="" textlink="">
      <xdr:nvSpPr>
        <xdr:cNvPr id="91" name="Text Box 89">
          <a:extLst>
            <a:ext uri="{FF2B5EF4-FFF2-40B4-BE49-F238E27FC236}">
              <a16:creationId xmlns:a16="http://schemas.microsoft.com/office/drawing/2014/main" id="{6A5DE5FB-86D0-4775-8A40-63F783701DB8}"/>
            </a:ext>
          </a:extLst>
        </xdr:cNvPr>
        <xdr:cNvSpPr txBox="1">
          <a:spLocks noChangeArrowheads="1"/>
        </xdr:cNvSpPr>
      </xdr:nvSpPr>
      <xdr:spPr bwMode="auto">
        <a:xfrm>
          <a:off x="2952750" y="6562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12</xdr:col>
      <xdr:colOff>264661</xdr:colOff>
      <xdr:row>17</xdr:row>
      <xdr:rowOff>1340302</xdr:rowOff>
    </xdr:from>
    <xdr:ext cx="418952" cy="150041"/>
    <xdr:sp macro="" textlink="">
      <xdr:nvSpPr>
        <xdr:cNvPr id="92" name="Text Box 89">
          <a:extLst>
            <a:ext uri="{FF2B5EF4-FFF2-40B4-BE49-F238E27FC236}">
              <a16:creationId xmlns:a16="http://schemas.microsoft.com/office/drawing/2014/main" id="{FAD18DA6-16DC-4382-8F41-A5B0084E84D6}"/>
            </a:ext>
          </a:extLst>
        </xdr:cNvPr>
        <xdr:cNvSpPr txBox="1">
          <a:spLocks noChangeArrowheads="1"/>
        </xdr:cNvSpPr>
      </xdr:nvSpPr>
      <xdr:spPr bwMode="auto">
        <a:xfrm>
          <a:off x="4091670" y="6536530"/>
          <a:ext cx="418952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自転車</a:t>
          </a:r>
        </a:p>
      </xdr:txBody>
    </xdr:sp>
    <xdr:clientData/>
  </xdr:oneCellAnchor>
  <xdr:oneCellAnchor>
    <xdr:from>
      <xdr:col>20</xdr:col>
      <xdr:colOff>150019</xdr:colOff>
      <xdr:row>17</xdr:row>
      <xdr:rowOff>1059996</xdr:rowOff>
    </xdr:from>
    <xdr:ext cx="1343025" cy="885825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5EA791C0-E760-46E4-9FFE-9E069BB18DFA}"/>
            </a:ext>
          </a:extLst>
        </xdr:cNvPr>
        <xdr:cNvSpPr txBox="1">
          <a:spLocks noChangeArrowheads="1"/>
        </xdr:cNvSpPr>
      </xdr:nvSpPr>
      <xdr:spPr bwMode="auto">
        <a:xfrm>
          <a:off x="6493669" y="6251121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EC6680K-18293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PD1219A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</xdr:row>
      <xdr:rowOff>38100</xdr:rowOff>
    </xdr:from>
    <xdr:to>
      <xdr:col>19</xdr:col>
      <xdr:colOff>152400</xdr:colOff>
      <xdr:row>10</xdr:row>
      <xdr:rowOff>95250</xdr:rowOff>
    </xdr:to>
    <xdr:pic>
      <xdr:nvPicPr>
        <xdr:cNvPr id="2130" name="Picture 82">
          <a:extLst>
            <a:ext uri="{FF2B5EF4-FFF2-40B4-BE49-F238E27FC236}">
              <a16:creationId xmlns:a16="http://schemas.microsoft.com/office/drawing/2014/main" id="{8A798A01-2378-4D70-8595-E0DBE9D5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990600"/>
          <a:ext cx="4895850" cy="3076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55E95CF9-DE0E-4C75-A836-CB6619DA49E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AC72AEBF-93A8-45EB-9093-48B917DC80A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52" name="Freeform 4">
          <a:extLst>
            <a:ext uri="{FF2B5EF4-FFF2-40B4-BE49-F238E27FC236}">
              <a16:creationId xmlns:a16="http://schemas.microsoft.com/office/drawing/2014/main" id="{B1891D1C-DFE4-44AF-AA94-063267BF411C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053" name="Group 5">
          <a:extLst>
            <a:ext uri="{FF2B5EF4-FFF2-40B4-BE49-F238E27FC236}">
              <a16:creationId xmlns:a16="http://schemas.microsoft.com/office/drawing/2014/main" id="{BA92B855-F4C9-4B09-91F2-8D507CC54561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2F2EA56F-91F0-4D17-8EFB-BFFC92FCD96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4DE996E9-BBC7-424E-AA6E-E3323383393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6" name="Line 8">
            <a:extLst>
              <a:ext uri="{FF2B5EF4-FFF2-40B4-BE49-F238E27FC236}">
                <a16:creationId xmlns:a16="http://schemas.microsoft.com/office/drawing/2014/main" id="{F0DA8F93-243D-4D10-8986-7AE6734CB83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7" name="Line 9">
            <a:extLst>
              <a:ext uri="{FF2B5EF4-FFF2-40B4-BE49-F238E27FC236}">
                <a16:creationId xmlns:a16="http://schemas.microsoft.com/office/drawing/2014/main" id="{BE2DFFF3-FC82-449A-80DB-DF3EBA7D1CC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2058" name="Group 10">
          <a:extLst>
            <a:ext uri="{FF2B5EF4-FFF2-40B4-BE49-F238E27FC236}">
              <a16:creationId xmlns:a16="http://schemas.microsoft.com/office/drawing/2014/main" id="{3A4DF90A-6EB9-4F32-BDB5-06803A08CBC4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AE96558E-5CC5-4ACD-9ACA-EEE9920C96E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0" name="Line 12">
            <a:extLst>
              <a:ext uri="{FF2B5EF4-FFF2-40B4-BE49-F238E27FC236}">
                <a16:creationId xmlns:a16="http://schemas.microsoft.com/office/drawing/2014/main" id="{697FF355-07EA-4969-A2A7-AE231D6CE2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AD8CBE4B-766A-4642-97D5-359BD4DD7F4D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2062" name="Group 14">
          <a:extLst>
            <a:ext uri="{FF2B5EF4-FFF2-40B4-BE49-F238E27FC236}">
              <a16:creationId xmlns:a16="http://schemas.microsoft.com/office/drawing/2014/main" id="{78ED0A65-5DA0-4F00-AAC6-B8C87DC451C5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C9A30DBD-F10F-4F7E-85D2-27FF0A67C5D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3777AB68-9119-4D97-A7FA-520A8F9573F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2065" name="Freeform 17">
          <a:extLst>
            <a:ext uri="{FF2B5EF4-FFF2-40B4-BE49-F238E27FC236}">
              <a16:creationId xmlns:a16="http://schemas.microsoft.com/office/drawing/2014/main" id="{FC8724A6-5BE1-4FC8-AE42-65E0DB3415FF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2066" name="Group 18">
          <a:extLst>
            <a:ext uri="{FF2B5EF4-FFF2-40B4-BE49-F238E27FC236}">
              <a16:creationId xmlns:a16="http://schemas.microsoft.com/office/drawing/2014/main" id="{1D10688F-7D3C-45A7-A2CF-3E784829F400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BEBD24AE-A8B7-4A4A-9B08-68A2507069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3F880A6A-EC58-4181-A0EC-D5EA57C0F78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40869029-335F-4D81-8CB6-F75277C230F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Line 22">
            <a:extLst>
              <a:ext uri="{FF2B5EF4-FFF2-40B4-BE49-F238E27FC236}">
                <a16:creationId xmlns:a16="http://schemas.microsoft.com/office/drawing/2014/main" id="{AA2402E8-8D42-46E2-A7CA-1D42C2C467F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071" name="Group 23">
          <a:extLst>
            <a:ext uri="{FF2B5EF4-FFF2-40B4-BE49-F238E27FC236}">
              <a16:creationId xmlns:a16="http://schemas.microsoft.com/office/drawing/2014/main" id="{06D50622-A9C5-469D-AFBA-2B6ED73E38AA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67D9BAFE-72D2-486B-BFA1-B4D3110DEB2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ECBF439-F7F8-431C-ABB1-2D6BB9B56B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2074" name="Group 26">
          <a:extLst>
            <a:ext uri="{FF2B5EF4-FFF2-40B4-BE49-F238E27FC236}">
              <a16:creationId xmlns:a16="http://schemas.microsoft.com/office/drawing/2014/main" id="{22DF3823-6414-4992-950D-AE34E756A7FB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3B58D75D-5C89-487D-8F51-67F3827A480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Line 28">
            <a:extLst>
              <a:ext uri="{FF2B5EF4-FFF2-40B4-BE49-F238E27FC236}">
                <a16:creationId xmlns:a16="http://schemas.microsoft.com/office/drawing/2014/main" id="{182BC350-1D8A-4932-B03E-516CCD2EB21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2077" name="Group 29">
          <a:extLst>
            <a:ext uri="{FF2B5EF4-FFF2-40B4-BE49-F238E27FC236}">
              <a16:creationId xmlns:a16="http://schemas.microsoft.com/office/drawing/2014/main" id="{E8B66496-15A7-43FD-9F29-238155E1C071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2078" name="Line 30">
            <a:extLst>
              <a:ext uri="{FF2B5EF4-FFF2-40B4-BE49-F238E27FC236}">
                <a16:creationId xmlns:a16="http://schemas.microsoft.com/office/drawing/2014/main" id="{30961221-1295-4591-83BB-47192E059E1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2BD24DF-9057-4F61-8210-54391F80691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755F89F2-2206-41E8-BAED-F60D32FEFDBB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563FEB7A-E8F4-495E-95EB-C536CB9F41B9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082" name="Group 34">
          <a:extLst>
            <a:ext uri="{FF2B5EF4-FFF2-40B4-BE49-F238E27FC236}">
              <a16:creationId xmlns:a16="http://schemas.microsoft.com/office/drawing/2014/main" id="{780EF592-1BCF-4CA2-9349-BCFD4683B35B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BA71EABB-03A7-4036-AC1F-EAB57AC6B0A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Line 36">
            <a:extLst>
              <a:ext uri="{FF2B5EF4-FFF2-40B4-BE49-F238E27FC236}">
                <a16:creationId xmlns:a16="http://schemas.microsoft.com/office/drawing/2014/main" id="{2061DC0D-132A-469B-B0FB-75556B06BCE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457200</xdr:rowOff>
    </xdr:from>
    <xdr:to>
      <xdr:col>13</xdr:col>
      <xdr:colOff>38100</xdr:colOff>
      <xdr:row>15</xdr:row>
      <xdr:rowOff>1190625</xdr:rowOff>
    </xdr:to>
    <xdr:grpSp>
      <xdr:nvGrpSpPr>
        <xdr:cNvPr id="2085" name="Group 37">
          <a:extLst>
            <a:ext uri="{FF2B5EF4-FFF2-40B4-BE49-F238E27FC236}">
              <a16:creationId xmlns:a16="http://schemas.microsoft.com/office/drawing/2014/main" id="{25061D5A-ECD9-4E7F-BB3E-C53630253832}"/>
            </a:ext>
          </a:extLst>
        </xdr:cNvPr>
        <xdr:cNvGrpSpPr>
          <a:grpSpLocks/>
        </xdr:cNvGrpSpPr>
      </xdr:nvGrpSpPr>
      <xdr:grpSpPr bwMode="auto">
        <a:xfrm rot="5400000">
          <a:off x="3348037" y="5910263"/>
          <a:ext cx="733425" cy="57150"/>
          <a:chOff x="123" y="549"/>
          <a:chExt cx="77" cy="6"/>
        </a:xfrm>
      </xdr:grpSpPr>
      <xdr:sp macro="" textlink="">
        <xdr:nvSpPr>
          <xdr:cNvPr id="2086" name="Line 38">
            <a:extLst>
              <a:ext uri="{FF2B5EF4-FFF2-40B4-BE49-F238E27FC236}">
                <a16:creationId xmlns:a16="http://schemas.microsoft.com/office/drawing/2014/main" id="{111A37AC-DCEC-4818-AAEF-0FC4EB4EB0F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7" name="Freeform 39">
            <a:extLst>
              <a:ext uri="{FF2B5EF4-FFF2-40B4-BE49-F238E27FC236}">
                <a16:creationId xmlns:a16="http://schemas.microsoft.com/office/drawing/2014/main" id="{824EF2B0-67B6-4A4C-9506-6454D0B29A8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55AD9E47-97D1-4AB1-A026-6A11C1C1BE5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457200</xdr:rowOff>
    </xdr:from>
    <xdr:to>
      <xdr:col>10</xdr:col>
      <xdr:colOff>38100</xdr:colOff>
      <xdr:row>15</xdr:row>
      <xdr:rowOff>1190625</xdr:rowOff>
    </xdr:to>
    <xdr:grpSp>
      <xdr:nvGrpSpPr>
        <xdr:cNvPr id="2089" name="Group 41">
          <a:extLst>
            <a:ext uri="{FF2B5EF4-FFF2-40B4-BE49-F238E27FC236}">
              <a16:creationId xmlns:a16="http://schemas.microsoft.com/office/drawing/2014/main" id="{E6B97878-183B-4401-AAAB-977A71A0C987}"/>
            </a:ext>
          </a:extLst>
        </xdr:cNvPr>
        <xdr:cNvGrpSpPr>
          <a:grpSpLocks/>
        </xdr:cNvGrpSpPr>
      </xdr:nvGrpSpPr>
      <xdr:grpSpPr bwMode="auto">
        <a:xfrm rot="5400000">
          <a:off x="2405062" y="5910263"/>
          <a:ext cx="733425" cy="57150"/>
          <a:chOff x="123" y="549"/>
          <a:chExt cx="77" cy="6"/>
        </a:xfrm>
      </xdr:grpSpPr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268E27AD-629F-4448-BACB-77B531BC507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1" name="Freeform 43">
            <a:extLst>
              <a:ext uri="{FF2B5EF4-FFF2-40B4-BE49-F238E27FC236}">
                <a16:creationId xmlns:a16="http://schemas.microsoft.com/office/drawing/2014/main" id="{ED494222-A02B-4459-91BA-0D908588A98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8BCA19BB-7CCC-470F-A1C9-0010098ED20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2093" name="Text Box 45">
          <a:extLst>
            <a:ext uri="{FF2B5EF4-FFF2-40B4-BE49-F238E27FC236}">
              <a16:creationId xmlns:a16="http://schemas.microsoft.com/office/drawing/2014/main" id="{D2445BCE-8DE7-4F2F-8100-9298A6D9E115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28575</xdr:colOff>
      <xdr:row>15</xdr:row>
      <xdr:rowOff>1285875</xdr:rowOff>
    </xdr:from>
    <xdr:to>
      <xdr:col>7</xdr:col>
      <xdr:colOff>66675</xdr:colOff>
      <xdr:row>15</xdr:row>
      <xdr:rowOff>1447800</xdr:rowOff>
    </xdr:to>
    <xdr:sp macro="" textlink="">
      <xdr:nvSpPr>
        <xdr:cNvPr id="2094" name="Text Box 46">
          <a:extLst>
            <a:ext uri="{FF2B5EF4-FFF2-40B4-BE49-F238E27FC236}">
              <a16:creationId xmlns:a16="http://schemas.microsoft.com/office/drawing/2014/main" id="{55809D3A-8D9A-464C-92DC-785EC14601EC}"/>
            </a:ext>
          </a:extLst>
        </xdr:cNvPr>
        <xdr:cNvSpPr txBox="1">
          <a:spLocks noChangeArrowheads="1"/>
        </xdr:cNvSpPr>
      </xdr:nvSpPr>
      <xdr:spPr bwMode="auto">
        <a:xfrm>
          <a:off x="153352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8.3m</a:t>
          </a:r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2095" name="Text Box 47">
          <a:extLst>
            <a:ext uri="{FF2B5EF4-FFF2-40B4-BE49-F238E27FC236}">
              <a16:creationId xmlns:a16="http://schemas.microsoft.com/office/drawing/2014/main" id="{16F5DB58-D8BA-4DF0-9A09-43E70268473D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15.5m</a:t>
          </a:r>
        </a:p>
      </xdr:txBody>
    </xdr:sp>
    <xdr:clientData/>
  </xdr:twoCellAnchor>
  <xdr:twoCellAnchor>
    <xdr:from>
      <xdr:col>4</xdr:col>
      <xdr:colOff>276225</xdr:colOff>
      <xdr:row>15</xdr:row>
      <xdr:rowOff>600075</xdr:rowOff>
    </xdr:from>
    <xdr:to>
      <xdr:col>8</xdr:col>
      <xdr:colOff>19050</xdr:colOff>
      <xdr:row>15</xdr:row>
      <xdr:rowOff>781050</xdr:rowOff>
    </xdr:to>
    <xdr:grpSp>
      <xdr:nvGrpSpPr>
        <xdr:cNvPr id="2096" name="Group 48">
          <a:extLst>
            <a:ext uri="{FF2B5EF4-FFF2-40B4-BE49-F238E27FC236}">
              <a16:creationId xmlns:a16="http://schemas.microsoft.com/office/drawing/2014/main" id="{E441DA6B-628F-44BC-88A0-4D47501C076E}"/>
            </a:ext>
          </a:extLst>
        </xdr:cNvPr>
        <xdr:cNvGrpSpPr>
          <a:grpSpLocks/>
        </xdr:cNvGrpSpPr>
      </xdr:nvGrpSpPr>
      <xdr:grpSpPr bwMode="auto">
        <a:xfrm>
          <a:off x="1152525" y="5715000"/>
          <a:ext cx="1000125" cy="180975"/>
          <a:chOff x="121" y="600"/>
          <a:chExt cx="105" cy="19"/>
        </a:xfrm>
      </xdr:grpSpPr>
      <xdr:sp macro="" textlink="">
        <xdr:nvSpPr>
          <xdr:cNvPr id="2097" name="Line 49">
            <a:extLst>
              <a:ext uri="{FF2B5EF4-FFF2-40B4-BE49-F238E27FC236}">
                <a16:creationId xmlns:a16="http://schemas.microsoft.com/office/drawing/2014/main" id="{0CEF3CBA-1EE1-426E-95F0-F27B55236FA0}"/>
              </a:ext>
            </a:extLst>
          </xdr:cNvPr>
          <xdr:cNvSpPr>
            <a:spLocks noChangeShapeType="1"/>
          </xdr:cNvSpPr>
        </xdr:nvSpPr>
        <xdr:spPr bwMode="auto">
          <a:xfrm>
            <a:off x="121" y="60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8" name="Freeform 50">
            <a:extLst>
              <a:ext uri="{FF2B5EF4-FFF2-40B4-BE49-F238E27FC236}">
                <a16:creationId xmlns:a16="http://schemas.microsoft.com/office/drawing/2014/main" id="{447A9F65-C7EB-4E3E-905E-2824F9D60D55}"/>
              </a:ext>
            </a:extLst>
          </xdr:cNvPr>
          <xdr:cNvSpPr>
            <a:spLocks/>
          </xdr:cNvSpPr>
        </xdr:nvSpPr>
        <xdr:spPr bwMode="auto">
          <a:xfrm>
            <a:off x="219" y="60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9" name="Freeform 51">
            <a:extLst>
              <a:ext uri="{FF2B5EF4-FFF2-40B4-BE49-F238E27FC236}">
                <a16:creationId xmlns:a16="http://schemas.microsoft.com/office/drawing/2014/main" id="{DEB09F5E-0699-4EE6-B038-72C090EA898A}"/>
              </a:ext>
            </a:extLst>
          </xdr:cNvPr>
          <xdr:cNvSpPr>
            <a:spLocks/>
          </xdr:cNvSpPr>
        </xdr:nvSpPr>
        <xdr:spPr bwMode="auto">
          <a:xfrm>
            <a:off x="156" y="60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0" name="Line 52">
            <a:extLst>
              <a:ext uri="{FF2B5EF4-FFF2-40B4-BE49-F238E27FC236}">
                <a16:creationId xmlns:a16="http://schemas.microsoft.com/office/drawing/2014/main" id="{CA1850D2-5177-417C-9503-F41A9D0EE4FE}"/>
              </a:ext>
            </a:extLst>
          </xdr:cNvPr>
          <xdr:cNvSpPr>
            <a:spLocks noChangeShapeType="1"/>
          </xdr:cNvSpPr>
        </xdr:nvSpPr>
        <xdr:spPr bwMode="auto">
          <a:xfrm>
            <a:off x="164" y="61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1" name="Freeform 53">
            <a:extLst>
              <a:ext uri="{FF2B5EF4-FFF2-40B4-BE49-F238E27FC236}">
                <a16:creationId xmlns:a16="http://schemas.microsoft.com/office/drawing/2014/main" id="{D8210026-4E22-4F33-9657-C79CA67B1439}"/>
              </a:ext>
            </a:extLst>
          </xdr:cNvPr>
          <xdr:cNvSpPr>
            <a:spLocks/>
          </xdr:cNvSpPr>
        </xdr:nvSpPr>
        <xdr:spPr bwMode="auto">
          <a:xfrm>
            <a:off x="160" y="61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962025</xdr:rowOff>
    </xdr:from>
    <xdr:to>
      <xdr:col>8</xdr:col>
      <xdr:colOff>19050</xdr:colOff>
      <xdr:row>15</xdr:row>
      <xdr:rowOff>1143000</xdr:rowOff>
    </xdr:to>
    <xdr:grpSp>
      <xdr:nvGrpSpPr>
        <xdr:cNvPr id="2102" name="Group 54">
          <a:extLst>
            <a:ext uri="{FF2B5EF4-FFF2-40B4-BE49-F238E27FC236}">
              <a16:creationId xmlns:a16="http://schemas.microsoft.com/office/drawing/2014/main" id="{8E119DF7-DE0D-4F72-B409-0E40DFE1743B}"/>
            </a:ext>
          </a:extLst>
        </xdr:cNvPr>
        <xdr:cNvGrpSpPr>
          <a:grpSpLocks/>
        </xdr:cNvGrpSpPr>
      </xdr:nvGrpSpPr>
      <xdr:grpSpPr bwMode="auto">
        <a:xfrm>
          <a:off x="1152525" y="6076950"/>
          <a:ext cx="1000125" cy="180975"/>
          <a:chOff x="121" y="638"/>
          <a:chExt cx="105" cy="19"/>
        </a:xfrm>
      </xdr:grpSpPr>
      <xdr:sp macro="" textlink="">
        <xdr:nvSpPr>
          <xdr:cNvPr id="2103" name="Line 55">
            <a:extLst>
              <a:ext uri="{FF2B5EF4-FFF2-40B4-BE49-F238E27FC236}">
                <a16:creationId xmlns:a16="http://schemas.microsoft.com/office/drawing/2014/main" id="{531AC894-DCA8-4680-928C-45D16585EC96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2" y="64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4" name="Freeform 56">
            <a:extLst>
              <a:ext uri="{FF2B5EF4-FFF2-40B4-BE49-F238E27FC236}">
                <a16:creationId xmlns:a16="http://schemas.microsoft.com/office/drawing/2014/main" id="{FF7AF1F6-136B-4BBE-B941-0EB383859A8D}"/>
              </a:ext>
            </a:extLst>
          </xdr:cNvPr>
          <xdr:cNvSpPr>
            <a:spLocks/>
          </xdr:cNvSpPr>
        </xdr:nvSpPr>
        <xdr:spPr bwMode="auto">
          <a:xfrm rot="-10800000">
            <a:off x="121" y="63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5" name="Freeform 57">
            <a:extLst>
              <a:ext uri="{FF2B5EF4-FFF2-40B4-BE49-F238E27FC236}">
                <a16:creationId xmlns:a16="http://schemas.microsoft.com/office/drawing/2014/main" id="{556B8AF0-3801-4A87-8486-39C131C4540B}"/>
              </a:ext>
            </a:extLst>
          </xdr:cNvPr>
          <xdr:cNvSpPr>
            <a:spLocks/>
          </xdr:cNvSpPr>
        </xdr:nvSpPr>
        <xdr:spPr bwMode="auto">
          <a:xfrm rot="-10800000">
            <a:off x="194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6" name="Line 58">
            <a:extLst>
              <a:ext uri="{FF2B5EF4-FFF2-40B4-BE49-F238E27FC236}">
                <a16:creationId xmlns:a16="http://schemas.microsoft.com/office/drawing/2014/main" id="{DA3E6AC2-09CA-427C-A3ED-E79B06F4763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4" y="64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7" name="Freeform 59">
            <a:extLst>
              <a:ext uri="{FF2B5EF4-FFF2-40B4-BE49-F238E27FC236}">
                <a16:creationId xmlns:a16="http://schemas.microsoft.com/office/drawing/2014/main" id="{D102E0D5-B056-4DB1-8AC7-94A81756C71B}"/>
              </a:ext>
            </a:extLst>
          </xdr:cNvPr>
          <xdr:cNvSpPr>
            <a:spLocks/>
          </xdr:cNvSpPr>
        </xdr:nvSpPr>
        <xdr:spPr bwMode="auto">
          <a:xfrm rot="-10800000">
            <a:off x="190" y="650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85725</xdr:colOff>
      <xdr:row>15</xdr:row>
      <xdr:rowOff>1228725</xdr:rowOff>
    </xdr:from>
    <xdr:to>
      <xdr:col>7</xdr:col>
      <xdr:colOff>190500</xdr:colOff>
      <xdr:row>15</xdr:row>
      <xdr:rowOff>1285875</xdr:rowOff>
    </xdr:to>
    <xdr:grpSp>
      <xdr:nvGrpSpPr>
        <xdr:cNvPr id="2108" name="Group 60">
          <a:extLst>
            <a:ext uri="{FF2B5EF4-FFF2-40B4-BE49-F238E27FC236}">
              <a16:creationId xmlns:a16="http://schemas.microsoft.com/office/drawing/2014/main" id="{6C2529DB-BC92-483A-A6A5-55CD59862D0D}"/>
            </a:ext>
          </a:extLst>
        </xdr:cNvPr>
        <xdr:cNvGrpSpPr>
          <a:grpSpLocks/>
        </xdr:cNvGrpSpPr>
      </xdr:nvGrpSpPr>
      <xdr:grpSpPr bwMode="auto">
        <a:xfrm>
          <a:off x="1276350" y="6343650"/>
          <a:ext cx="733425" cy="57150"/>
          <a:chOff x="123" y="549"/>
          <a:chExt cx="77" cy="6"/>
        </a:xfrm>
      </xdr:grpSpPr>
      <xdr:sp macro="" textlink="">
        <xdr:nvSpPr>
          <xdr:cNvPr id="2109" name="Line 61">
            <a:extLst>
              <a:ext uri="{FF2B5EF4-FFF2-40B4-BE49-F238E27FC236}">
                <a16:creationId xmlns:a16="http://schemas.microsoft.com/office/drawing/2014/main" id="{F415F7AC-629C-489A-B61E-ECD4B9ADA60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0" name="Freeform 62">
            <a:extLst>
              <a:ext uri="{FF2B5EF4-FFF2-40B4-BE49-F238E27FC236}">
                <a16:creationId xmlns:a16="http://schemas.microsoft.com/office/drawing/2014/main" id="{3982B251-3AC3-4461-B502-27300BFA89B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1" name="Freeform 63">
            <a:extLst>
              <a:ext uri="{FF2B5EF4-FFF2-40B4-BE49-F238E27FC236}">
                <a16:creationId xmlns:a16="http://schemas.microsoft.com/office/drawing/2014/main" id="{FAAA8CB8-182A-455A-8EF3-4264B59E3FC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15</xdr:row>
      <xdr:rowOff>1162050</xdr:rowOff>
    </xdr:from>
    <xdr:to>
      <xdr:col>8</xdr:col>
      <xdr:colOff>295275</xdr:colOff>
      <xdr:row>15</xdr:row>
      <xdr:rowOff>1352550</xdr:rowOff>
    </xdr:to>
    <xdr:sp macro="" textlink="">
      <xdr:nvSpPr>
        <xdr:cNvPr id="2112" name="Text Box 64">
          <a:extLst>
            <a:ext uri="{FF2B5EF4-FFF2-40B4-BE49-F238E27FC236}">
              <a16:creationId xmlns:a16="http://schemas.microsoft.com/office/drawing/2014/main" id="{7AD8947A-444F-4ABF-8CE5-18EB72853412}"/>
            </a:ext>
          </a:extLst>
        </xdr:cNvPr>
        <xdr:cNvSpPr txBox="1">
          <a:spLocks noChangeArrowheads="1"/>
        </xdr:cNvSpPr>
      </xdr:nvSpPr>
      <xdr:spPr bwMode="auto">
        <a:xfrm>
          <a:off x="876300" y="627697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23</xdr:col>
      <xdr:colOff>114300</xdr:colOff>
      <xdr:row>5</xdr:row>
      <xdr:rowOff>47625</xdr:rowOff>
    </xdr:to>
    <xdr:pic>
      <xdr:nvPicPr>
        <xdr:cNvPr id="2113" name="Picture 65">
          <a:extLst>
            <a:ext uri="{FF2B5EF4-FFF2-40B4-BE49-F238E27FC236}">
              <a16:creationId xmlns:a16="http://schemas.microsoft.com/office/drawing/2014/main" id="{F30F56DC-2F9B-4BF3-AC77-50352CAE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7239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171450</xdr:colOff>
      <xdr:row>4</xdr:row>
      <xdr:rowOff>161925</xdr:rowOff>
    </xdr:from>
    <xdr:to>
      <xdr:col>20</xdr:col>
      <xdr:colOff>104775</xdr:colOff>
      <xdr:row>7</xdr:row>
      <xdr:rowOff>1066800</xdr:rowOff>
    </xdr:to>
    <xdr:sp macro="" textlink="">
      <xdr:nvSpPr>
        <xdr:cNvPr id="2114" name="Text Box 66">
          <a:extLst>
            <a:ext uri="{FF2B5EF4-FFF2-40B4-BE49-F238E27FC236}">
              <a16:creationId xmlns:a16="http://schemas.microsoft.com/office/drawing/2014/main" id="{8426DE82-97DD-4145-ADAC-E363FDD9BE80}"/>
            </a:ext>
          </a:extLst>
        </xdr:cNvPr>
        <xdr:cNvSpPr txBox="1">
          <a:spLocks noChangeArrowheads="1"/>
        </xdr:cNvSpPr>
      </xdr:nvSpPr>
      <xdr:spPr bwMode="auto">
        <a:xfrm>
          <a:off x="5762625" y="11144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2</xdr:col>
      <xdr:colOff>66675</xdr:colOff>
      <xdr:row>4</xdr:row>
      <xdr:rowOff>123825</xdr:rowOff>
    </xdr:from>
    <xdr:to>
      <xdr:col>2</xdr:col>
      <xdr:colOff>314325</xdr:colOff>
      <xdr:row>7</xdr:row>
      <xdr:rowOff>1028700</xdr:rowOff>
    </xdr:to>
    <xdr:sp macro="" textlink="">
      <xdr:nvSpPr>
        <xdr:cNvPr id="2115" name="Text Box 67">
          <a:extLst>
            <a:ext uri="{FF2B5EF4-FFF2-40B4-BE49-F238E27FC236}">
              <a16:creationId xmlns:a16="http://schemas.microsoft.com/office/drawing/2014/main" id="{05A5365F-5148-4B1E-A1E5-7574DCD9CC30}"/>
            </a:ext>
          </a:extLst>
        </xdr:cNvPr>
        <xdr:cNvSpPr txBox="1">
          <a:spLocks noChangeArrowheads="1"/>
        </xdr:cNvSpPr>
      </xdr:nvSpPr>
      <xdr:spPr bwMode="auto">
        <a:xfrm>
          <a:off x="523875" y="10763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7</xdr:col>
      <xdr:colOff>276225</xdr:colOff>
      <xdr:row>7</xdr:row>
      <xdr:rowOff>733425</xdr:rowOff>
    </xdr:from>
    <xdr:to>
      <xdr:col>14</xdr:col>
      <xdr:colOff>238125</xdr:colOff>
      <xdr:row>7</xdr:row>
      <xdr:rowOff>733425</xdr:rowOff>
    </xdr:to>
    <xdr:sp macro="" textlink="">
      <xdr:nvSpPr>
        <xdr:cNvPr id="2118" name="Line 70">
          <a:extLst>
            <a:ext uri="{FF2B5EF4-FFF2-40B4-BE49-F238E27FC236}">
              <a16:creationId xmlns:a16="http://schemas.microsoft.com/office/drawing/2014/main" id="{F11D8710-28F1-4ACF-A1CB-F80541F5F948}"/>
            </a:ext>
          </a:extLst>
        </xdr:cNvPr>
        <xdr:cNvSpPr>
          <a:spLocks noChangeShapeType="1"/>
        </xdr:cNvSpPr>
      </xdr:nvSpPr>
      <xdr:spPr bwMode="auto">
        <a:xfrm>
          <a:off x="2095500" y="2371725"/>
          <a:ext cx="216217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7</xdr:row>
      <xdr:rowOff>552450</xdr:rowOff>
    </xdr:from>
    <xdr:to>
      <xdr:col>11</xdr:col>
      <xdr:colOff>142875</xdr:colOff>
      <xdr:row>7</xdr:row>
      <xdr:rowOff>695325</xdr:rowOff>
    </xdr:to>
    <xdr:sp macro="" textlink="">
      <xdr:nvSpPr>
        <xdr:cNvPr id="2119" name="Text Box 71">
          <a:extLst>
            <a:ext uri="{FF2B5EF4-FFF2-40B4-BE49-F238E27FC236}">
              <a16:creationId xmlns:a16="http://schemas.microsoft.com/office/drawing/2014/main" id="{8A8658A5-4699-45FB-850E-19659F92B264}"/>
            </a:ext>
          </a:extLst>
        </xdr:cNvPr>
        <xdr:cNvSpPr txBox="1">
          <a:spLocks noChangeArrowheads="1"/>
        </xdr:cNvSpPr>
      </xdr:nvSpPr>
      <xdr:spPr bwMode="auto">
        <a:xfrm>
          <a:off x="2895600" y="2190750"/>
          <a:ext cx="3238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29.0m</a:t>
          </a:r>
        </a:p>
      </xdr:txBody>
    </xdr:sp>
    <xdr:clientData/>
  </xdr:twoCellAnchor>
  <xdr:twoCellAnchor>
    <xdr:from>
      <xdr:col>9</xdr:col>
      <xdr:colOff>161925</xdr:colOff>
      <xdr:row>5</xdr:row>
      <xdr:rowOff>47625</xdr:rowOff>
    </xdr:from>
    <xdr:to>
      <xdr:col>10</xdr:col>
      <xdr:colOff>0</xdr:colOff>
      <xdr:row>5</xdr:row>
      <xdr:rowOff>190500</xdr:rowOff>
    </xdr:to>
    <xdr:sp macro="" textlink="">
      <xdr:nvSpPr>
        <xdr:cNvPr id="2120" name="Text Box 72">
          <a:extLst>
            <a:ext uri="{FF2B5EF4-FFF2-40B4-BE49-F238E27FC236}">
              <a16:creationId xmlns:a16="http://schemas.microsoft.com/office/drawing/2014/main" id="{029461B0-63A8-4F0D-B10C-9C9DB73545E9}"/>
            </a:ext>
          </a:extLst>
        </xdr:cNvPr>
        <xdr:cNvSpPr txBox="1">
          <a:spLocks noChangeArrowheads="1"/>
        </xdr:cNvSpPr>
      </xdr:nvSpPr>
      <xdr:spPr bwMode="auto">
        <a:xfrm>
          <a:off x="2609850" y="1228725"/>
          <a:ext cx="1524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14</xdr:col>
      <xdr:colOff>171450</xdr:colOff>
      <xdr:row>6</xdr:row>
      <xdr:rowOff>152400</xdr:rowOff>
    </xdr:from>
    <xdr:to>
      <xdr:col>15</xdr:col>
      <xdr:colOff>9525</xdr:colOff>
      <xdr:row>7</xdr:row>
      <xdr:rowOff>66675</xdr:rowOff>
    </xdr:to>
    <xdr:sp macro="" textlink="">
      <xdr:nvSpPr>
        <xdr:cNvPr id="2121" name="Text Box 73">
          <a:extLst>
            <a:ext uri="{FF2B5EF4-FFF2-40B4-BE49-F238E27FC236}">
              <a16:creationId xmlns:a16="http://schemas.microsoft.com/office/drawing/2014/main" id="{8A8DCFE6-3EF2-4CB9-814D-02B99CDE2AE4}"/>
            </a:ext>
          </a:extLst>
        </xdr:cNvPr>
        <xdr:cNvSpPr txBox="1">
          <a:spLocks noChangeArrowheads="1"/>
        </xdr:cNvSpPr>
      </xdr:nvSpPr>
      <xdr:spPr bwMode="auto">
        <a:xfrm>
          <a:off x="4191000" y="1562100"/>
          <a:ext cx="1524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7</xdr:col>
      <xdr:colOff>28575</xdr:colOff>
      <xdr:row>7</xdr:row>
      <xdr:rowOff>752475</xdr:rowOff>
    </xdr:from>
    <xdr:to>
      <xdr:col>7</xdr:col>
      <xdr:colOff>180975</xdr:colOff>
      <xdr:row>7</xdr:row>
      <xdr:rowOff>895350</xdr:rowOff>
    </xdr:to>
    <xdr:sp macro="" textlink="">
      <xdr:nvSpPr>
        <xdr:cNvPr id="2122" name="Text Box 74">
          <a:extLst>
            <a:ext uri="{FF2B5EF4-FFF2-40B4-BE49-F238E27FC236}">
              <a16:creationId xmlns:a16="http://schemas.microsoft.com/office/drawing/2014/main" id="{8DAC37BB-F195-4923-A8D8-0FF3592E99F6}"/>
            </a:ext>
          </a:extLst>
        </xdr:cNvPr>
        <xdr:cNvSpPr txBox="1">
          <a:spLocks noChangeArrowheads="1"/>
        </xdr:cNvSpPr>
      </xdr:nvSpPr>
      <xdr:spPr bwMode="auto">
        <a:xfrm>
          <a:off x="1847850" y="2390775"/>
          <a:ext cx="1524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12</xdr:col>
      <xdr:colOff>238125</xdr:colOff>
      <xdr:row>7</xdr:row>
      <xdr:rowOff>1085850</xdr:rowOff>
    </xdr:from>
    <xdr:to>
      <xdr:col>13</xdr:col>
      <xdr:colOff>76200</xdr:colOff>
      <xdr:row>7</xdr:row>
      <xdr:rowOff>1228725</xdr:rowOff>
    </xdr:to>
    <xdr:sp macro="" textlink="">
      <xdr:nvSpPr>
        <xdr:cNvPr id="2123" name="Text Box 75">
          <a:extLst>
            <a:ext uri="{FF2B5EF4-FFF2-40B4-BE49-F238E27FC236}">
              <a16:creationId xmlns:a16="http://schemas.microsoft.com/office/drawing/2014/main" id="{0FABDB05-6FFE-4C3F-87FE-39EFC577F3AF}"/>
            </a:ext>
          </a:extLst>
        </xdr:cNvPr>
        <xdr:cNvSpPr txBox="1">
          <a:spLocks noChangeArrowheads="1"/>
        </xdr:cNvSpPr>
      </xdr:nvSpPr>
      <xdr:spPr bwMode="auto">
        <a:xfrm>
          <a:off x="3629025" y="2724150"/>
          <a:ext cx="1524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13</xdr:col>
      <xdr:colOff>57150</xdr:colOff>
      <xdr:row>7</xdr:row>
      <xdr:rowOff>933450</xdr:rowOff>
    </xdr:from>
    <xdr:to>
      <xdr:col>13</xdr:col>
      <xdr:colOff>285750</xdr:colOff>
      <xdr:row>7</xdr:row>
      <xdr:rowOff>1076325</xdr:rowOff>
    </xdr:to>
    <xdr:sp macro="" textlink="">
      <xdr:nvSpPr>
        <xdr:cNvPr id="2124" name="Text Box 76">
          <a:extLst>
            <a:ext uri="{FF2B5EF4-FFF2-40B4-BE49-F238E27FC236}">
              <a16:creationId xmlns:a16="http://schemas.microsoft.com/office/drawing/2014/main" id="{7D332D76-01BD-4648-ADC6-CD20BF2B713F}"/>
            </a:ext>
          </a:extLst>
        </xdr:cNvPr>
        <xdr:cNvSpPr txBox="1">
          <a:spLocks noChangeArrowheads="1"/>
        </xdr:cNvSpPr>
      </xdr:nvSpPr>
      <xdr:spPr bwMode="auto">
        <a:xfrm>
          <a:off x="3762375" y="2571750"/>
          <a:ext cx="2286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13</xdr:col>
      <xdr:colOff>171450</xdr:colOff>
      <xdr:row>5</xdr:row>
      <xdr:rowOff>95250</xdr:rowOff>
    </xdr:from>
    <xdr:to>
      <xdr:col>14</xdr:col>
      <xdr:colOff>85725</xdr:colOff>
      <xdr:row>6</xdr:row>
      <xdr:rowOff>9525</xdr:rowOff>
    </xdr:to>
    <xdr:sp macro="" textlink="">
      <xdr:nvSpPr>
        <xdr:cNvPr id="2125" name="Text Box 77">
          <a:extLst>
            <a:ext uri="{FF2B5EF4-FFF2-40B4-BE49-F238E27FC236}">
              <a16:creationId xmlns:a16="http://schemas.microsoft.com/office/drawing/2014/main" id="{180DC678-0758-485B-ABBD-C9777509A3EC}"/>
            </a:ext>
          </a:extLst>
        </xdr:cNvPr>
        <xdr:cNvSpPr txBox="1">
          <a:spLocks noChangeArrowheads="1"/>
        </xdr:cNvSpPr>
      </xdr:nvSpPr>
      <xdr:spPr bwMode="auto">
        <a:xfrm>
          <a:off x="3876675" y="1276350"/>
          <a:ext cx="2286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8</xdr:col>
      <xdr:colOff>180975</xdr:colOff>
      <xdr:row>5</xdr:row>
      <xdr:rowOff>38100</xdr:rowOff>
    </xdr:from>
    <xdr:to>
      <xdr:col>9</xdr:col>
      <xdr:colOff>95250</xdr:colOff>
      <xdr:row>5</xdr:row>
      <xdr:rowOff>180975</xdr:rowOff>
    </xdr:to>
    <xdr:sp macro="" textlink="">
      <xdr:nvSpPr>
        <xdr:cNvPr id="2127" name="Text Box 79">
          <a:extLst>
            <a:ext uri="{FF2B5EF4-FFF2-40B4-BE49-F238E27FC236}">
              <a16:creationId xmlns:a16="http://schemas.microsoft.com/office/drawing/2014/main" id="{0093AA5E-E9D8-4B18-9E54-7D429F9B3828}"/>
            </a:ext>
          </a:extLst>
        </xdr:cNvPr>
        <xdr:cNvSpPr txBox="1">
          <a:spLocks noChangeArrowheads="1"/>
        </xdr:cNvSpPr>
      </xdr:nvSpPr>
      <xdr:spPr bwMode="auto">
        <a:xfrm>
          <a:off x="2314575" y="1219200"/>
          <a:ext cx="2286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7</xdr:col>
      <xdr:colOff>257175</xdr:colOff>
      <xdr:row>7</xdr:row>
      <xdr:rowOff>1066800</xdr:rowOff>
    </xdr:from>
    <xdr:to>
      <xdr:col>8</xdr:col>
      <xdr:colOff>190500</xdr:colOff>
      <xdr:row>7</xdr:row>
      <xdr:rowOff>1209675</xdr:rowOff>
    </xdr:to>
    <xdr:sp macro="" textlink="">
      <xdr:nvSpPr>
        <xdr:cNvPr id="2128" name="Text Box 80">
          <a:extLst>
            <a:ext uri="{FF2B5EF4-FFF2-40B4-BE49-F238E27FC236}">
              <a16:creationId xmlns:a16="http://schemas.microsoft.com/office/drawing/2014/main" id="{EFB37686-CD45-4459-8E32-CC980160C5AF}"/>
            </a:ext>
          </a:extLst>
        </xdr:cNvPr>
        <xdr:cNvSpPr txBox="1">
          <a:spLocks noChangeArrowheads="1"/>
        </xdr:cNvSpPr>
      </xdr:nvSpPr>
      <xdr:spPr bwMode="auto">
        <a:xfrm>
          <a:off x="2076450" y="2705100"/>
          <a:ext cx="2476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>
    <xdr:from>
      <xdr:col>9</xdr:col>
      <xdr:colOff>171450</xdr:colOff>
      <xdr:row>15</xdr:row>
      <xdr:rowOff>1200150</xdr:rowOff>
    </xdr:from>
    <xdr:to>
      <xdr:col>10</xdr:col>
      <xdr:colOff>209550</xdr:colOff>
      <xdr:row>15</xdr:row>
      <xdr:rowOff>1362075</xdr:rowOff>
    </xdr:to>
    <xdr:sp macro="" textlink="">
      <xdr:nvSpPr>
        <xdr:cNvPr id="2129" name="Text Box 81">
          <a:extLst>
            <a:ext uri="{FF2B5EF4-FFF2-40B4-BE49-F238E27FC236}">
              <a16:creationId xmlns:a16="http://schemas.microsoft.com/office/drawing/2014/main" id="{4BD941A4-7010-490E-A3A2-8741B55B5209}"/>
            </a:ext>
          </a:extLst>
        </xdr:cNvPr>
        <xdr:cNvSpPr txBox="1">
          <a:spLocks noChangeArrowheads="1"/>
        </xdr:cNvSpPr>
      </xdr:nvSpPr>
      <xdr:spPr bwMode="auto">
        <a:xfrm>
          <a:off x="2619375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17.6m</a:t>
          </a:r>
        </a:p>
      </xdr:txBody>
    </xdr:sp>
    <xdr:clientData/>
  </xdr:twoCellAnchor>
  <xdr:twoCellAnchor>
    <xdr:from>
      <xdr:col>20</xdr:col>
      <xdr:colOff>133350</xdr:colOff>
      <xdr:row>7</xdr:row>
      <xdr:rowOff>209550</xdr:rowOff>
    </xdr:from>
    <xdr:to>
      <xdr:col>21</xdr:col>
      <xdr:colOff>38100</xdr:colOff>
      <xdr:row>7</xdr:row>
      <xdr:rowOff>428625</xdr:rowOff>
    </xdr:to>
    <xdr:sp macro="" textlink="">
      <xdr:nvSpPr>
        <xdr:cNvPr id="2131" name="Oval 83">
          <a:extLst>
            <a:ext uri="{FF2B5EF4-FFF2-40B4-BE49-F238E27FC236}">
              <a16:creationId xmlns:a16="http://schemas.microsoft.com/office/drawing/2014/main" id="{8324F427-998C-4DB9-8FCB-E0BFF9F0DF5D}"/>
            </a:ext>
          </a:extLst>
        </xdr:cNvPr>
        <xdr:cNvSpPr>
          <a:spLocks noChangeArrowheads="1"/>
        </xdr:cNvSpPr>
      </xdr:nvSpPr>
      <xdr:spPr bwMode="auto">
        <a:xfrm>
          <a:off x="6038850" y="1847850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</a:t>
          </a:r>
        </a:p>
      </xdr:txBody>
    </xdr:sp>
    <xdr:clientData/>
  </xdr:twoCellAnchor>
  <xdr:twoCellAnchor>
    <xdr:from>
      <xdr:col>0</xdr:col>
      <xdr:colOff>219075</xdr:colOff>
      <xdr:row>7</xdr:row>
      <xdr:rowOff>247650</xdr:rowOff>
    </xdr:from>
    <xdr:to>
      <xdr:col>1</xdr:col>
      <xdr:colOff>47625</xdr:colOff>
      <xdr:row>7</xdr:row>
      <xdr:rowOff>466725</xdr:rowOff>
    </xdr:to>
    <xdr:sp macro="" textlink="">
      <xdr:nvSpPr>
        <xdr:cNvPr id="2132" name="Oval 84">
          <a:extLst>
            <a:ext uri="{FF2B5EF4-FFF2-40B4-BE49-F238E27FC236}">
              <a16:creationId xmlns:a16="http://schemas.microsoft.com/office/drawing/2014/main" id="{98FF9E98-A417-4E1C-A2AE-FF146BC9F03C}"/>
            </a:ext>
          </a:extLst>
        </xdr:cNvPr>
        <xdr:cNvSpPr>
          <a:spLocks noChangeArrowheads="1"/>
        </xdr:cNvSpPr>
      </xdr:nvSpPr>
      <xdr:spPr bwMode="auto">
        <a:xfrm>
          <a:off x="219075" y="1885950"/>
          <a:ext cx="219075" cy="219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</a:t>
          </a:r>
        </a:p>
      </xdr:txBody>
    </xdr:sp>
    <xdr:clientData/>
  </xdr:twoCellAnchor>
  <xdr:twoCellAnchor editAs="oneCell">
    <xdr:from>
      <xdr:col>10</xdr:col>
      <xdr:colOff>238125</xdr:colOff>
      <xdr:row>7</xdr:row>
      <xdr:rowOff>352425</xdr:rowOff>
    </xdr:from>
    <xdr:to>
      <xdr:col>13</xdr:col>
      <xdr:colOff>104775</xdr:colOff>
      <xdr:row>7</xdr:row>
      <xdr:rowOff>1133475</xdr:rowOff>
    </xdr:to>
    <xdr:pic>
      <xdr:nvPicPr>
        <xdr:cNvPr id="2134" name="Picture 86">
          <a:extLst>
            <a:ext uri="{FF2B5EF4-FFF2-40B4-BE49-F238E27FC236}">
              <a16:creationId xmlns:a16="http://schemas.microsoft.com/office/drawing/2014/main" id="{C50DCE22-C663-4CAE-865A-7B221DEFB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990725"/>
          <a:ext cx="80962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228600</xdr:colOff>
      <xdr:row>15</xdr:row>
      <xdr:rowOff>247650</xdr:rowOff>
    </xdr:from>
    <xdr:to>
      <xdr:col>13</xdr:col>
      <xdr:colOff>266700</xdr:colOff>
      <xdr:row>15</xdr:row>
      <xdr:rowOff>409575</xdr:rowOff>
    </xdr:to>
    <xdr:sp macro="" textlink="">
      <xdr:nvSpPr>
        <xdr:cNvPr id="2135" name="Text Box 87">
          <a:extLst>
            <a:ext uri="{FF2B5EF4-FFF2-40B4-BE49-F238E27FC236}">
              <a16:creationId xmlns:a16="http://schemas.microsoft.com/office/drawing/2014/main" id="{A0C78BD8-CC16-44A8-80DF-65DDCBF4B0F6}"/>
            </a:ext>
          </a:extLst>
        </xdr:cNvPr>
        <xdr:cNvSpPr txBox="1">
          <a:spLocks noChangeArrowheads="1"/>
        </xdr:cNvSpPr>
      </xdr:nvSpPr>
      <xdr:spPr bwMode="auto">
        <a:xfrm>
          <a:off x="36195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219075</xdr:colOff>
      <xdr:row>15</xdr:row>
      <xdr:rowOff>257175</xdr:rowOff>
    </xdr:from>
    <xdr:to>
      <xdr:col>10</xdr:col>
      <xdr:colOff>257175</xdr:colOff>
      <xdr:row>15</xdr:row>
      <xdr:rowOff>419100</xdr:rowOff>
    </xdr:to>
    <xdr:sp macro="" textlink="">
      <xdr:nvSpPr>
        <xdr:cNvPr id="2136" name="Text Box 88">
          <a:extLst>
            <a:ext uri="{FF2B5EF4-FFF2-40B4-BE49-F238E27FC236}">
              <a16:creationId xmlns:a16="http://schemas.microsoft.com/office/drawing/2014/main" id="{9AF557B4-21B6-44ED-906A-2FD96D7C136A}"/>
            </a:ext>
          </a:extLst>
        </xdr:cNvPr>
        <xdr:cNvSpPr txBox="1">
          <a:spLocks noChangeArrowheads="1"/>
        </xdr:cNvSpPr>
      </xdr:nvSpPr>
      <xdr:spPr bwMode="auto">
        <a:xfrm>
          <a:off x="2667000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266700</xdr:colOff>
      <xdr:row>15</xdr:row>
      <xdr:rowOff>1333500</xdr:rowOff>
    </xdr:from>
    <xdr:to>
      <xdr:col>8</xdr:col>
      <xdr:colOff>304800</xdr:colOff>
      <xdr:row>15</xdr:row>
      <xdr:rowOff>1495425</xdr:rowOff>
    </xdr:to>
    <xdr:sp macro="" textlink="">
      <xdr:nvSpPr>
        <xdr:cNvPr id="2137" name="Text Box 89">
          <a:extLst>
            <a:ext uri="{FF2B5EF4-FFF2-40B4-BE49-F238E27FC236}">
              <a16:creationId xmlns:a16="http://schemas.microsoft.com/office/drawing/2014/main" id="{427E5F10-627D-4DBF-84EC-F6A315C60204}"/>
            </a:ext>
          </a:extLst>
        </xdr:cNvPr>
        <xdr:cNvSpPr txBox="1">
          <a:spLocks noChangeArrowheads="1"/>
        </xdr:cNvSpPr>
      </xdr:nvSpPr>
      <xdr:spPr bwMode="auto">
        <a:xfrm>
          <a:off x="2085975" y="6448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3</xdr:row>
      <xdr:rowOff>9525</xdr:rowOff>
    </xdr:from>
    <xdr:to>
      <xdr:col>19</xdr:col>
      <xdr:colOff>133350</xdr:colOff>
      <xdr:row>10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8E6CBD6-A2C6-4F6D-A61B-A374C023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733425"/>
          <a:ext cx="41433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535F4305-4ACF-4A60-8DCE-0A043707DBF8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D105FFD5-A5FB-4E7B-8602-A0DCF6DCCB34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8" name="Freeform 4">
          <a:extLst>
            <a:ext uri="{FF2B5EF4-FFF2-40B4-BE49-F238E27FC236}">
              <a16:creationId xmlns:a16="http://schemas.microsoft.com/office/drawing/2014/main" id="{F67D4AE2-D8D8-4383-B515-33BD78BC79CC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9" name="Group 5">
          <a:extLst>
            <a:ext uri="{FF2B5EF4-FFF2-40B4-BE49-F238E27FC236}">
              <a16:creationId xmlns:a16="http://schemas.microsoft.com/office/drawing/2014/main" id="{DDF98B7A-03B9-4E28-80C8-B28A6B608B51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238CED13-B9F6-4D06-8EB8-3B4A0A9B17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B279E086-29D7-48F6-AD3C-33397D42FBB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2675AACC-92A3-403E-8A16-A3272741DE2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EBC10CBE-7DE7-4F92-9B2F-B49D62B927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4" name="Group 10">
          <a:extLst>
            <a:ext uri="{FF2B5EF4-FFF2-40B4-BE49-F238E27FC236}">
              <a16:creationId xmlns:a16="http://schemas.microsoft.com/office/drawing/2014/main" id="{C69E748E-3435-4069-9304-C880C2386313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97BF713C-E527-45EC-9BF3-2AF4A149B64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2383F58C-7D90-4D1A-A417-33972C19270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EECDA33E-9E10-4B21-B7B0-A55A9D13C224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8" name="Group 14">
          <a:extLst>
            <a:ext uri="{FF2B5EF4-FFF2-40B4-BE49-F238E27FC236}">
              <a16:creationId xmlns:a16="http://schemas.microsoft.com/office/drawing/2014/main" id="{8E7CE85D-A188-426A-84FA-F6C3D2DBB0E3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24FEA728-2AE4-45B6-B120-C67A6C79557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4F2A453F-556F-4301-BFC3-35AE608B433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1" name="Freeform 17">
          <a:extLst>
            <a:ext uri="{FF2B5EF4-FFF2-40B4-BE49-F238E27FC236}">
              <a16:creationId xmlns:a16="http://schemas.microsoft.com/office/drawing/2014/main" id="{567B1105-6A53-4A41-9ABD-95D652EED848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110E52E5-FFE6-4C3A-A653-F4063BC86B51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42C7CE4A-B70E-452B-BB92-845BCA4F7B5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A2937A7A-DCE5-4AAD-9062-C8BA8497A8F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57885DF1-4E0C-4FC6-85FD-5CBD21B0B47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86F3C894-81A9-4665-9E7B-6B15DF2B19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7" name="Group 23">
          <a:extLst>
            <a:ext uri="{FF2B5EF4-FFF2-40B4-BE49-F238E27FC236}">
              <a16:creationId xmlns:a16="http://schemas.microsoft.com/office/drawing/2014/main" id="{21EE4BA9-94F5-44DF-BC94-831B2481B0F6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BDECDA8A-F692-460F-B701-91292E4F956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9" name="Line 25">
            <a:extLst>
              <a:ext uri="{FF2B5EF4-FFF2-40B4-BE49-F238E27FC236}">
                <a16:creationId xmlns:a16="http://schemas.microsoft.com/office/drawing/2014/main" id="{6BB49951-FDD0-4EDC-B0C6-84FB980E1C3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50" name="Group 26">
          <a:extLst>
            <a:ext uri="{FF2B5EF4-FFF2-40B4-BE49-F238E27FC236}">
              <a16:creationId xmlns:a16="http://schemas.microsoft.com/office/drawing/2014/main" id="{088B59CA-9273-41E1-A5B1-9793D2C99BB1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2CA23BB7-98FF-4BAB-A0E8-CDEFB66D08B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2" name="Line 28">
            <a:extLst>
              <a:ext uri="{FF2B5EF4-FFF2-40B4-BE49-F238E27FC236}">
                <a16:creationId xmlns:a16="http://schemas.microsoft.com/office/drawing/2014/main" id="{2E5241E8-5AE8-4DA6-851E-6EEEB24BF79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3" name="Group 29">
          <a:extLst>
            <a:ext uri="{FF2B5EF4-FFF2-40B4-BE49-F238E27FC236}">
              <a16:creationId xmlns:a16="http://schemas.microsoft.com/office/drawing/2014/main" id="{A36BCD89-5BD2-41D0-B4E4-A31C9267174F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5FD01538-EF58-4A35-8C99-26497F72E6B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Line 31">
            <a:extLst>
              <a:ext uri="{FF2B5EF4-FFF2-40B4-BE49-F238E27FC236}">
                <a16:creationId xmlns:a16="http://schemas.microsoft.com/office/drawing/2014/main" id="{E4090789-B28F-4C90-92F1-850DBD2D13B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C197FCFE-90B9-41C8-A146-588B62054B3E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2F896DC6-9359-4B64-9169-7215EAB0557A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8" name="Group 34">
          <a:extLst>
            <a:ext uri="{FF2B5EF4-FFF2-40B4-BE49-F238E27FC236}">
              <a16:creationId xmlns:a16="http://schemas.microsoft.com/office/drawing/2014/main" id="{3E29B203-1C8B-450F-8E1E-50A92EDE80B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59C66A45-3494-4A15-AD21-6BCDBA78B08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B3A15E00-FE72-46F0-8939-FC561D4E3F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457200</xdr:rowOff>
    </xdr:from>
    <xdr:to>
      <xdr:col>13</xdr:col>
      <xdr:colOff>38100</xdr:colOff>
      <xdr:row>15</xdr:row>
      <xdr:rowOff>1190625</xdr:rowOff>
    </xdr:to>
    <xdr:grpSp>
      <xdr:nvGrpSpPr>
        <xdr:cNvPr id="1061" name="Group 37">
          <a:extLst>
            <a:ext uri="{FF2B5EF4-FFF2-40B4-BE49-F238E27FC236}">
              <a16:creationId xmlns:a16="http://schemas.microsoft.com/office/drawing/2014/main" id="{75642A76-4DCD-4184-A7F2-2316C2263A85}"/>
            </a:ext>
          </a:extLst>
        </xdr:cNvPr>
        <xdr:cNvGrpSpPr>
          <a:grpSpLocks/>
        </xdr:cNvGrpSpPr>
      </xdr:nvGrpSpPr>
      <xdr:grpSpPr bwMode="auto">
        <a:xfrm rot="5400000">
          <a:off x="3348037" y="5910263"/>
          <a:ext cx="733425" cy="57150"/>
          <a:chOff x="123" y="549"/>
          <a:chExt cx="77" cy="6"/>
        </a:xfrm>
      </xdr:grpSpPr>
      <xdr:sp macro="" textlink="">
        <xdr:nvSpPr>
          <xdr:cNvPr id="1062" name="Line 38">
            <a:extLst>
              <a:ext uri="{FF2B5EF4-FFF2-40B4-BE49-F238E27FC236}">
                <a16:creationId xmlns:a16="http://schemas.microsoft.com/office/drawing/2014/main" id="{FED87FD7-3D3B-4FF3-AD3F-C610CCA995F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21331D2A-F16A-47A1-8805-483C3B72FC2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3420FBE2-AD19-4B9E-8F4F-6C2E31248C3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457200</xdr:rowOff>
    </xdr:from>
    <xdr:to>
      <xdr:col>10</xdr:col>
      <xdr:colOff>38100</xdr:colOff>
      <xdr:row>15</xdr:row>
      <xdr:rowOff>1190625</xdr:rowOff>
    </xdr:to>
    <xdr:grpSp>
      <xdr:nvGrpSpPr>
        <xdr:cNvPr id="1065" name="Group 41">
          <a:extLst>
            <a:ext uri="{FF2B5EF4-FFF2-40B4-BE49-F238E27FC236}">
              <a16:creationId xmlns:a16="http://schemas.microsoft.com/office/drawing/2014/main" id="{96524304-DCA9-4629-B88F-111A7608FF2D}"/>
            </a:ext>
          </a:extLst>
        </xdr:cNvPr>
        <xdr:cNvGrpSpPr>
          <a:grpSpLocks/>
        </xdr:cNvGrpSpPr>
      </xdr:nvGrpSpPr>
      <xdr:grpSpPr bwMode="auto">
        <a:xfrm rot="5400000">
          <a:off x="2405062" y="5910263"/>
          <a:ext cx="733425" cy="57150"/>
          <a:chOff x="123" y="549"/>
          <a:chExt cx="77" cy="6"/>
        </a:xfrm>
      </xdr:grpSpPr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8BF23AA1-1B6F-439B-8F0B-DFCA7FCE933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Freeform 43">
            <a:extLst>
              <a:ext uri="{FF2B5EF4-FFF2-40B4-BE49-F238E27FC236}">
                <a16:creationId xmlns:a16="http://schemas.microsoft.com/office/drawing/2014/main" id="{488D374D-6052-4FD5-BCC1-DA272FF4686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CC6455E5-C637-4DC2-943C-499D48B1958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114300</xdr:rowOff>
    </xdr:from>
    <xdr:to>
      <xdr:col>5</xdr:col>
      <xdr:colOff>171450</xdr:colOff>
      <xdr:row>13</xdr:row>
      <xdr:rowOff>19050</xdr:rowOff>
    </xdr:to>
    <xdr:sp macro="" textlink="">
      <xdr:nvSpPr>
        <xdr:cNvPr id="1069" name="Text Box 45">
          <a:extLst>
            <a:ext uri="{FF2B5EF4-FFF2-40B4-BE49-F238E27FC236}">
              <a16:creationId xmlns:a16="http://schemas.microsoft.com/office/drawing/2014/main" id="{8B573428-5350-455E-A177-C618FED1CB1B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28575</xdr:colOff>
      <xdr:row>15</xdr:row>
      <xdr:rowOff>1285875</xdr:rowOff>
    </xdr:from>
    <xdr:to>
      <xdr:col>7</xdr:col>
      <xdr:colOff>66675</xdr:colOff>
      <xdr:row>15</xdr:row>
      <xdr:rowOff>1447800</xdr:rowOff>
    </xdr:to>
    <xdr:sp macro="" textlink="">
      <xdr:nvSpPr>
        <xdr:cNvPr id="1070" name="Text Box 46">
          <a:extLst>
            <a:ext uri="{FF2B5EF4-FFF2-40B4-BE49-F238E27FC236}">
              <a16:creationId xmlns:a16="http://schemas.microsoft.com/office/drawing/2014/main" id="{68C1866A-AB40-4967-B8A1-91C45AE99EB6}"/>
            </a:ext>
          </a:extLst>
        </xdr:cNvPr>
        <xdr:cNvSpPr txBox="1">
          <a:spLocks noChangeArrowheads="1"/>
        </xdr:cNvSpPr>
      </xdr:nvSpPr>
      <xdr:spPr bwMode="auto">
        <a:xfrm>
          <a:off x="153352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7.6m</a:t>
          </a:r>
        </a:p>
      </xdr:txBody>
    </xdr:sp>
    <xdr:clientData/>
  </xdr:twoCellAnchor>
  <xdr:twoCellAnchor>
    <xdr:from>
      <xdr:col>12</xdr:col>
      <xdr:colOff>161925</xdr:colOff>
      <xdr:row>15</xdr:row>
      <xdr:rowOff>1181100</xdr:rowOff>
    </xdr:from>
    <xdr:to>
      <xdr:col>13</xdr:col>
      <xdr:colOff>200025</xdr:colOff>
      <xdr:row>15</xdr:row>
      <xdr:rowOff>1343025</xdr:rowOff>
    </xdr:to>
    <xdr:sp macro="" textlink="">
      <xdr:nvSpPr>
        <xdr:cNvPr id="1071" name="Text Box 47">
          <a:extLst>
            <a:ext uri="{FF2B5EF4-FFF2-40B4-BE49-F238E27FC236}">
              <a16:creationId xmlns:a16="http://schemas.microsoft.com/office/drawing/2014/main" id="{2428686D-65B6-4C7D-A037-3E101FC366A4}"/>
            </a:ext>
          </a:extLst>
        </xdr:cNvPr>
        <xdr:cNvSpPr txBox="1">
          <a:spLocks noChangeArrowheads="1"/>
        </xdr:cNvSpPr>
      </xdr:nvSpPr>
      <xdr:spPr bwMode="auto">
        <a:xfrm>
          <a:off x="35528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16.1m</a:t>
          </a:r>
        </a:p>
      </xdr:txBody>
    </xdr:sp>
    <xdr:clientData/>
  </xdr:twoCellAnchor>
  <xdr:twoCellAnchor>
    <xdr:from>
      <xdr:col>4</xdr:col>
      <xdr:colOff>276225</xdr:colOff>
      <xdr:row>15</xdr:row>
      <xdr:rowOff>600075</xdr:rowOff>
    </xdr:from>
    <xdr:to>
      <xdr:col>8</xdr:col>
      <xdr:colOff>19050</xdr:colOff>
      <xdr:row>15</xdr:row>
      <xdr:rowOff>781050</xdr:rowOff>
    </xdr:to>
    <xdr:grpSp>
      <xdr:nvGrpSpPr>
        <xdr:cNvPr id="1072" name="Group 48">
          <a:extLst>
            <a:ext uri="{FF2B5EF4-FFF2-40B4-BE49-F238E27FC236}">
              <a16:creationId xmlns:a16="http://schemas.microsoft.com/office/drawing/2014/main" id="{EAFC7ABD-6FA1-469B-BA5F-6E7489D1DCA8}"/>
            </a:ext>
          </a:extLst>
        </xdr:cNvPr>
        <xdr:cNvGrpSpPr>
          <a:grpSpLocks/>
        </xdr:cNvGrpSpPr>
      </xdr:nvGrpSpPr>
      <xdr:grpSpPr bwMode="auto">
        <a:xfrm>
          <a:off x="1152525" y="5715000"/>
          <a:ext cx="1000125" cy="180975"/>
          <a:chOff x="121" y="600"/>
          <a:chExt cx="105" cy="19"/>
        </a:xfrm>
      </xdr:grpSpPr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99BED599-A3CD-4DAD-A2EA-AB8D029161E2}"/>
              </a:ext>
            </a:extLst>
          </xdr:cNvPr>
          <xdr:cNvSpPr>
            <a:spLocks noChangeShapeType="1"/>
          </xdr:cNvSpPr>
        </xdr:nvSpPr>
        <xdr:spPr bwMode="auto">
          <a:xfrm>
            <a:off x="121" y="60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AC4F331B-AF59-4610-A80A-1141FDAE751B}"/>
              </a:ext>
            </a:extLst>
          </xdr:cNvPr>
          <xdr:cNvSpPr>
            <a:spLocks/>
          </xdr:cNvSpPr>
        </xdr:nvSpPr>
        <xdr:spPr bwMode="auto">
          <a:xfrm>
            <a:off x="219" y="60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" name="Freeform 51">
            <a:extLst>
              <a:ext uri="{FF2B5EF4-FFF2-40B4-BE49-F238E27FC236}">
                <a16:creationId xmlns:a16="http://schemas.microsoft.com/office/drawing/2014/main" id="{47D0CCEC-2044-4354-A957-2404D0258B9E}"/>
              </a:ext>
            </a:extLst>
          </xdr:cNvPr>
          <xdr:cNvSpPr>
            <a:spLocks/>
          </xdr:cNvSpPr>
        </xdr:nvSpPr>
        <xdr:spPr bwMode="auto">
          <a:xfrm>
            <a:off x="156" y="60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A3AA86D7-07A2-4222-B3EF-D28584FD6C69}"/>
              </a:ext>
            </a:extLst>
          </xdr:cNvPr>
          <xdr:cNvSpPr>
            <a:spLocks noChangeShapeType="1"/>
          </xdr:cNvSpPr>
        </xdr:nvSpPr>
        <xdr:spPr bwMode="auto">
          <a:xfrm>
            <a:off x="164" y="61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FAB44332-FB3B-497D-BFE7-B43D0DFCD711}"/>
              </a:ext>
            </a:extLst>
          </xdr:cNvPr>
          <xdr:cNvSpPr>
            <a:spLocks/>
          </xdr:cNvSpPr>
        </xdr:nvSpPr>
        <xdr:spPr bwMode="auto">
          <a:xfrm>
            <a:off x="160" y="61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962025</xdr:rowOff>
    </xdr:from>
    <xdr:to>
      <xdr:col>8</xdr:col>
      <xdr:colOff>19050</xdr:colOff>
      <xdr:row>15</xdr:row>
      <xdr:rowOff>1143000</xdr:rowOff>
    </xdr:to>
    <xdr:grpSp>
      <xdr:nvGrpSpPr>
        <xdr:cNvPr id="1078" name="Group 54">
          <a:extLst>
            <a:ext uri="{FF2B5EF4-FFF2-40B4-BE49-F238E27FC236}">
              <a16:creationId xmlns:a16="http://schemas.microsoft.com/office/drawing/2014/main" id="{0B17A972-A58D-4073-A87C-BD205F7DF038}"/>
            </a:ext>
          </a:extLst>
        </xdr:cNvPr>
        <xdr:cNvGrpSpPr>
          <a:grpSpLocks/>
        </xdr:cNvGrpSpPr>
      </xdr:nvGrpSpPr>
      <xdr:grpSpPr bwMode="auto">
        <a:xfrm>
          <a:off x="1152525" y="6076950"/>
          <a:ext cx="1000125" cy="180975"/>
          <a:chOff x="121" y="638"/>
          <a:chExt cx="105" cy="19"/>
        </a:xfrm>
      </xdr:grpSpPr>
      <xdr:sp macro="" textlink="">
        <xdr:nvSpPr>
          <xdr:cNvPr id="1079" name="Line 55">
            <a:extLst>
              <a:ext uri="{FF2B5EF4-FFF2-40B4-BE49-F238E27FC236}">
                <a16:creationId xmlns:a16="http://schemas.microsoft.com/office/drawing/2014/main" id="{A5A98B0A-AFBA-4A15-A1E6-FC824A58522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2" y="64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" name="Freeform 56">
            <a:extLst>
              <a:ext uri="{FF2B5EF4-FFF2-40B4-BE49-F238E27FC236}">
                <a16:creationId xmlns:a16="http://schemas.microsoft.com/office/drawing/2014/main" id="{6AA30353-90DE-45BB-9112-DCA265D55D41}"/>
              </a:ext>
            </a:extLst>
          </xdr:cNvPr>
          <xdr:cNvSpPr>
            <a:spLocks/>
          </xdr:cNvSpPr>
        </xdr:nvSpPr>
        <xdr:spPr bwMode="auto">
          <a:xfrm rot="-10800000">
            <a:off x="121" y="63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F0BCC8D6-F477-49AD-97B7-324D899E5E68}"/>
              </a:ext>
            </a:extLst>
          </xdr:cNvPr>
          <xdr:cNvSpPr>
            <a:spLocks/>
          </xdr:cNvSpPr>
        </xdr:nvSpPr>
        <xdr:spPr bwMode="auto">
          <a:xfrm rot="-10800000">
            <a:off x="194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2" name="Line 58">
            <a:extLst>
              <a:ext uri="{FF2B5EF4-FFF2-40B4-BE49-F238E27FC236}">
                <a16:creationId xmlns:a16="http://schemas.microsoft.com/office/drawing/2014/main" id="{1D8D9136-FFD9-438F-80AA-F3B31EF2B66D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4" y="64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" name="Freeform 59">
            <a:extLst>
              <a:ext uri="{FF2B5EF4-FFF2-40B4-BE49-F238E27FC236}">
                <a16:creationId xmlns:a16="http://schemas.microsoft.com/office/drawing/2014/main" id="{4DFDF909-CCF1-42BC-9737-74549AF63E3D}"/>
              </a:ext>
            </a:extLst>
          </xdr:cNvPr>
          <xdr:cNvSpPr>
            <a:spLocks/>
          </xdr:cNvSpPr>
        </xdr:nvSpPr>
        <xdr:spPr bwMode="auto">
          <a:xfrm rot="-10800000">
            <a:off x="190" y="650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85725</xdr:colOff>
      <xdr:row>15</xdr:row>
      <xdr:rowOff>1228725</xdr:rowOff>
    </xdr:from>
    <xdr:to>
      <xdr:col>7</xdr:col>
      <xdr:colOff>190500</xdr:colOff>
      <xdr:row>15</xdr:row>
      <xdr:rowOff>1285875</xdr:rowOff>
    </xdr:to>
    <xdr:grpSp>
      <xdr:nvGrpSpPr>
        <xdr:cNvPr id="1084" name="Group 60">
          <a:extLst>
            <a:ext uri="{FF2B5EF4-FFF2-40B4-BE49-F238E27FC236}">
              <a16:creationId xmlns:a16="http://schemas.microsoft.com/office/drawing/2014/main" id="{5445AAC7-7038-4D46-8F23-0E0AB0128D98}"/>
            </a:ext>
          </a:extLst>
        </xdr:cNvPr>
        <xdr:cNvGrpSpPr>
          <a:grpSpLocks/>
        </xdr:cNvGrpSpPr>
      </xdr:nvGrpSpPr>
      <xdr:grpSpPr bwMode="auto">
        <a:xfrm>
          <a:off x="1276350" y="6343650"/>
          <a:ext cx="733425" cy="57150"/>
          <a:chOff x="123" y="549"/>
          <a:chExt cx="77" cy="6"/>
        </a:xfrm>
      </xdr:grpSpPr>
      <xdr:sp macro="" textlink="">
        <xdr:nvSpPr>
          <xdr:cNvPr id="1085" name="Line 61">
            <a:extLst>
              <a:ext uri="{FF2B5EF4-FFF2-40B4-BE49-F238E27FC236}">
                <a16:creationId xmlns:a16="http://schemas.microsoft.com/office/drawing/2014/main" id="{12BCBFFC-5B2A-42B8-9186-6F86BDDDB67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" name="Freeform 62">
            <a:extLst>
              <a:ext uri="{FF2B5EF4-FFF2-40B4-BE49-F238E27FC236}">
                <a16:creationId xmlns:a16="http://schemas.microsoft.com/office/drawing/2014/main" id="{2B170E37-C18C-4831-87B5-846A0DDD96C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EE9260AD-C634-4F6E-AC4C-FE587680518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15</xdr:row>
      <xdr:rowOff>1162050</xdr:rowOff>
    </xdr:from>
    <xdr:to>
      <xdr:col>8</xdr:col>
      <xdr:colOff>295275</xdr:colOff>
      <xdr:row>15</xdr:row>
      <xdr:rowOff>1352550</xdr:rowOff>
    </xdr:to>
    <xdr:sp macro="" textlink="">
      <xdr:nvSpPr>
        <xdr:cNvPr id="1088" name="Text Box 64">
          <a:extLst>
            <a:ext uri="{FF2B5EF4-FFF2-40B4-BE49-F238E27FC236}">
              <a16:creationId xmlns:a16="http://schemas.microsoft.com/office/drawing/2014/main" id="{E7251729-3720-438A-8BEC-9D794E32EC81}"/>
            </a:ext>
          </a:extLst>
        </xdr:cNvPr>
        <xdr:cNvSpPr txBox="1">
          <a:spLocks noChangeArrowheads="1"/>
        </xdr:cNvSpPr>
      </xdr:nvSpPr>
      <xdr:spPr bwMode="auto">
        <a:xfrm>
          <a:off x="876300" y="627697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23</xdr:col>
      <xdr:colOff>114300</xdr:colOff>
      <xdr:row>5</xdr:row>
      <xdr:rowOff>47625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53E93F0A-D01F-411C-A3BF-11D8ED756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7239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171450</xdr:colOff>
      <xdr:row>4</xdr:row>
      <xdr:rowOff>161925</xdr:rowOff>
    </xdr:from>
    <xdr:to>
      <xdr:col>20</xdr:col>
      <xdr:colOff>104775</xdr:colOff>
      <xdr:row>7</xdr:row>
      <xdr:rowOff>1066800</xdr:rowOff>
    </xdr:to>
    <xdr:sp macro="" textlink="">
      <xdr:nvSpPr>
        <xdr:cNvPr id="1090" name="Text Box 66">
          <a:extLst>
            <a:ext uri="{FF2B5EF4-FFF2-40B4-BE49-F238E27FC236}">
              <a16:creationId xmlns:a16="http://schemas.microsoft.com/office/drawing/2014/main" id="{55F12E86-FDB6-4702-A69D-946514BAAC03}"/>
            </a:ext>
          </a:extLst>
        </xdr:cNvPr>
        <xdr:cNvSpPr txBox="1">
          <a:spLocks noChangeArrowheads="1"/>
        </xdr:cNvSpPr>
      </xdr:nvSpPr>
      <xdr:spPr bwMode="auto">
        <a:xfrm>
          <a:off x="5762625" y="11144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95250</xdr:colOff>
      <xdr:row>4</xdr:row>
      <xdr:rowOff>219075</xdr:rowOff>
    </xdr:from>
    <xdr:to>
      <xdr:col>6</xdr:col>
      <xdr:colOff>28575</xdr:colOff>
      <xdr:row>7</xdr:row>
      <xdr:rowOff>1123950</xdr:rowOff>
    </xdr:to>
    <xdr:sp macro="" textlink="">
      <xdr:nvSpPr>
        <xdr:cNvPr id="1091" name="Text Box 67">
          <a:extLst>
            <a:ext uri="{FF2B5EF4-FFF2-40B4-BE49-F238E27FC236}">
              <a16:creationId xmlns:a16="http://schemas.microsoft.com/office/drawing/2014/main" id="{8C2A36EA-5CBF-4227-8092-CC47C6D0FF33}"/>
            </a:ext>
          </a:extLst>
        </xdr:cNvPr>
        <xdr:cNvSpPr txBox="1">
          <a:spLocks noChangeArrowheads="1"/>
        </xdr:cNvSpPr>
      </xdr:nvSpPr>
      <xdr:spPr bwMode="auto">
        <a:xfrm>
          <a:off x="1285875" y="11715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警固屋</a:t>
          </a:r>
        </a:p>
      </xdr:txBody>
    </xdr:sp>
    <xdr:clientData/>
  </xdr:twoCellAnchor>
  <xdr:twoCellAnchor>
    <xdr:from>
      <xdr:col>6</xdr:col>
      <xdr:colOff>76200</xdr:colOff>
      <xdr:row>7</xdr:row>
      <xdr:rowOff>314325</xdr:rowOff>
    </xdr:from>
    <xdr:to>
      <xdr:col>7</xdr:col>
      <xdr:colOff>152400</xdr:colOff>
      <xdr:row>7</xdr:row>
      <xdr:rowOff>457200</xdr:rowOff>
    </xdr:to>
    <xdr:sp macro="" textlink="">
      <xdr:nvSpPr>
        <xdr:cNvPr id="1092" name="Text Box 68">
          <a:extLst>
            <a:ext uri="{FF2B5EF4-FFF2-40B4-BE49-F238E27FC236}">
              <a16:creationId xmlns:a16="http://schemas.microsoft.com/office/drawing/2014/main" id="{429DA4D5-8E4E-4F53-8C33-D5D864BC12DA}"/>
            </a:ext>
          </a:extLst>
        </xdr:cNvPr>
        <xdr:cNvSpPr txBox="1">
          <a:spLocks noChangeArrowheads="1"/>
        </xdr:cNvSpPr>
      </xdr:nvSpPr>
      <xdr:spPr bwMode="auto">
        <a:xfrm>
          <a:off x="1581150" y="1952625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S18" sqref="S18"/>
    </sheetView>
  </sheetViews>
  <sheetFormatPr defaultRowHeight="12" x14ac:dyDescent="0.15"/>
  <cols>
    <col min="1" max="1" width="7.5" style="46" bestFit="1" customWidth="1"/>
    <col min="2" max="2" width="2.25" style="37" bestFit="1" customWidth="1"/>
    <col min="3" max="3" width="5.25" style="37" bestFit="1" customWidth="1"/>
    <col min="4" max="4" width="2.25" style="36" bestFit="1" customWidth="1"/>
    <col min="5" max="24" width="4.125" style="28" customWidth="1"/>
    <col min="25" max="16384" width="9" style="28"/>
  </cols>
  <sheetData>
    <row r="1" spans="1:30" ht="15" customHeight="1" x14ac:dyDescent="0.15">
      <c r="A1" s="55" t="s">
        <v>0</v>
      </c>
      <c r="B1" s="93"/>
      <c r="C1" s="93"/>
      <c r="D1" s="93"/>
      <c r="E1" s="56"/>
      <c r="F1" s="97" t="s">
        <v>61</v>
      </c>
      <c r="G1" s="93"/>
      <c r="H1" s="98" t="s">
        <v>60</v>
      </c>
      <c r="I1" s="98"/>
      <c r="J1" s="98"/>
      <c r="K1" s="98"/>
      <c r="L1" s="93" t="s">
        <v>62</v>
      </c>
      <c r="M1" s="56"/>
      <c r="N1" s="82" t="s">
        <v>56</v>
      </c>
      <c r="O1" s="56"/>
      <c r="P1" s="84">
        <v>46072</v>
      </c>
      <c r="Q1" s="85"/>
      <c r="R1" s="85"/>
      <c r="S1" s="86"/>
      <c r="T1" s="83" t="s">
        <v>5</v>
      </c>
      <c r="U1" s="83"/>
      <c r="V1" s="83" t="s">
        <v>69</v>
      </c>
      <c r="W1" s="83"/>
      <c r="X1" s="83"/>
    </row>
    <row r="2" spans="1:30" ht="7.5" customHeight="1" x14ac:dyDescent="0.15">
      <c r="A2" s="94"/>
      <c r="B2" s="95"/>
      <c r="C2" s="95"/>
      <c r="D2" s="95"/>
      <c r="E2" s="96"/>
      <c r="F2" s="94"/>
      <c r="G2" s="95"/>
      <c r="H2" s="99"/>
      <c r="I2" s="99"/>
      <c r="J2" s="99"/>
      <c r="K2" s="99"/>
      <c r="L2" s="95"/>
      <c r="M2" s="96"/>
      <c r="N2" s="65"/>
      <c r="O2" s="67"/>
      <c r="P2" s="87"/>
      <c r="Q2" s="88"/>
      <c r="R2" s="88"/>
      <c r="S2" s="89"/>
      <c r="T2" s="55" t="s">
        <v>13</v>
      </c>
      <c r="U2" s="56"/>
      <c r="V2" s="59">
        <v>45992</v>
      </c>
      <c r="W2" s="60"/>
      <c r="X2" s="61"/>
    </row>
    <row r="3" spans="1:30" ht="7.5" customHeight="1" x14ac:dyDescent="0.15">
      <c r="A3" s="65" t="s">
        <v>7</v>
      </c>
      <c r="B3" s="66"/>
      <c r="C3" s="66"/>
      <c r="D3" s="66"/>
      <c r="E3" s="67"/>
      <c r="F3" s="69" t="s">
        <v>52</v>
      </c>
      <c r="G3" s="70"/>
      <c r="H3" s="71" t="s">
        <v>60</v>
      </c>
      <c r="I3" s="71"/>
      <c r="J3" s="71"/>
      <c r="K3" s="71"/>
      <c r="L3" s="73" t="s">
        <v>57</v>
      </c>
      <c r="M3" s="74"/>
      <c r="N3" s="65"/>
      <c r="O3" s="67"/>
      <c r="P3" s="77">
        <v>7.4305555555555555E-2</v>
      </c>
      <c r="Q3" s="78"/>
      <c r="R3" s="78"/>
      <c r="S3" s="81" t="s">
        <v>12</v>
      </c>
      <c r="T3" s="57"/>
      <c r="U3" s="58"/>
      <c r="V3" s="62"/>
      <c r="W3" s="63"/>
      <c r="X3" s="64"/>
    </row>
    <row r="4" spans="1:30" ht="15" customHeight="1" x14ac:dyDescent="0.15">
      <c r="A4" s="57"/>
      <c r="B4" s="68"/>
      <c r="C4" s="68"/>
      <c r="D4" s="68"/>
      <c r="E4" s="58"/>
      <c r="F4" s="57"/>
      <c r="G4" s="68"/>
      <c r="H4" s="72"/>
      <c r="I4" s="72"/>
      <c r="J4" s="72"/>
      <c r="K4" s="72"/>
      <c r="L4" s="75"/>
      <c r="M4" s="76"/>
      <c r="N4" s="57"/>
      <c r="O4" s="58"/>
      <c r="P4" s="79"/>
      <c r="Q4" s="80"/>
      <c r="R4" s="80"/>
      <c r="S4" s="58"/>
      <c r="T4" s="83" t="s">
        <v>58</v>
      </c>
      <c r="U4" s="83"/>
      <c r="V4" s="83" t="s">
        <v>68</v>
      </c>
      <c r="W4" s="83"/>
      <c r="X4" s="83"/>
      <c r="Z4" s="29" t="s">
        <v>59</v>
      </c>
      <c r="AA4" s="30">
        <v>2243</v>
      </c>
    </row>
    <row r="5" spans="1:30" ht="18" customHeight="1" x14ac:dyDescent="0.15">
      <c r="A5" s="112"/>
      <c r="B5" s="113"/>
      <c r="C5" s="113"/>
      <c r="D5" s="11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30" ht="18" customHeight="1" x14ac:dyDescent="0.15">
      <c r="A6" s="110"/>
      <c r="B6" s="111"/>
      <c r="C6" s="111"/>
      <c r="D6" s="111"/>
      <c r="X6" s="35"/>
    </row>
    <row r="7" spans="1:30" ht="18" customHeight="1" x14ac:dyDescent="0.15">
      <c r="A7" s="110"/>
      <c r="B7" s="111"/>
      <c r="C7" s="111"/>
      <c r="D7" s="111"/>
      <c r="X7" s="35"/>
    </row>
    <row r="8" spans="1:30" ht="18" customHeight="1" x14ac:dyDescent="0.15">
      <c r="A8" s="110"/>
      <c r="B8" s="111"/>
      <c r="C8" s="111"/>
      <c r="D8" s="111"/>
      <c r="X8" s="35"/>
    </row>
    <row r="9" spans="1:30" ht="18" customHeight="1" x14ac:dyDescent="0.15">
      <c r="A9" s="110"/>
      <c r="B9" s="111"/>
      <c r="C9" s="111"/>
      <c r="D9" s="111"/>
      <c r="X9" s="35"/>
    </row>
    <row r="10" spans="1:30" ht="147.75" customHeight="1" x14ac:dyDescent="0.15">
      <c r="A10" s="110"/>
      <c r="B10" s="111"/>
      <c r="C10" s="111"/>
      <c r="D10" s="111"/>
      <c r="X10" s="35"/>
    </row>
    <row r="11" spans="1:30" ht="18" customHeight="1" x14ac:dyDescent="0.15">
      <c r="A11" s="110"/>
      <c r="B11" s="111"/>
      <c r="C11" s="111"/>
      <c r="D11" s="111"/>
      <c r="X11" s="35"/>
    </row>
    <row r="12" spans="1:30" ht="18" customHeight="1" x14ac:dyDescent="0.15">
      <c r="A12" s="110"/>
      <c r="B12" s="111"/>
      <c r="C12" s="111"/>
      <c r="D12" s="111"/>
      <c r="X12" s="35"/>
    </row>
    <row r="13" spans="1:30" ht="18" customHeight="1" x14ac:dyDescent="0.15">
      <c r="A13" s="103"/>
      <c r="B13" s="104"/>
      <c r="C13" s="105"/>
      <c r="D13" s="105"/>
      <c r="E13" s="36"/>
      <c r="F13" s="37"/>
      <c r="G13" s="37"/>
      <c r="H13" s="37"/>
      <c r="I13" s="37"/>
      <c r="X13" s="35"/>
    </row>
    <row r="14" spans="1:30" ht="18" customHeight="1" x14ac:dyDescent="0.15">
      <c r="A14" s="103"/>
      <c r="B14" s="104"/>
      <c r="C14" s="105"/>
      <c r="D14" s="105"/>
      <c r="E14" s="36"/>
      <c r="X14" s="35"/>
      <c r="Z14" s="28">
        <v>50</v>
      </c>
      <c r="AA14" s="28">
        <f>Z14/3.6</f>
        <v>13.888888888888889</v>
      </c>
      <c r="AC14" s="54">
        <v>28.4</v>
      </c>
      <c r="AD14" s="54">
        <f>AC14/AA14</f>
        <v>2.0448</v>
      </c>
    </row>
    <row r="15" spans="1:30" ht="18" customHeight="1" x14ac:dyDescent="0.15">
      <c r="A15" s="106"/>
      <c r="B15" s="107"/>
      <c r="C15" s="108"/>
      <c r="D15" s="108"/>
      <c r="E15" s="38"/>
      <c r="F15" s="38"/>
      <c r="G15" s="38"/>
      <c r="H15" s="3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40"/>
      <c r="Z15" s="28">
        <v>30</v>
      </c>
      <c r="AA15" s="28">
        <f>Z15/3.6</f>
        <v>8.3333333333333339</v>
      </c>
      <c r="AC15" s="54">
        <v>23</v>
      </c>
      <c r="AD15" s="54">
        <f>AC15/AA15</f>
        <v>2.76</v>
      </c>
    </row>
    <row r="16" spans="1:30" s="43" customFormat="1" ht="18" customHeight="1" x14ac:dyDescent="0.15">
      <c r="A16" s="109" t="s">
        <v>15</v>
      </c>
      <c r="B16" s="109"/>
      <c r="C16" s="109"/>
      <c r="D16" s="109"/>
      <c r="E16" s="41">
        <v>1</v>
      </c>
      <c r="F16" s="41">
        <v>2</v>
      </c>
      <c r="G16" s="41">
        <v>3</v>
      </c>
      <c r="H16" s="41">
        <v>4</v>
      </c>
      <c r="I16" s="41" t="s">
        <v>53</v>
      </c>
      <c r="J16" s="41">
        <v>6</v>
      </c>
      <c r="K16" s="41">
        <v>7</v>
      </c>
      <c r="L16" s="41">
        <v>8</v>
      </c>
      <c r="M16" s="41">
        <v>9</v>
      </c>
      <c r="N16" s="41" t="s">
        <v>54</v>
      </c>
      <c r="O16" s="41">
        <v>11</v>
      </c>
      <c r="P16" s="41">
        <v>12</v>
      </c>
      <c r="Q16" s="41">
        <v>13</v>
      </c>
      <c r="R16" s="42">
        <v>14</v>
      </c>
      <c r="S16" s="41">
        <v>15</v>
      </c>
      <c r="T16" s="41">
        <v>16</v>
      </c>
      <c r="U16" s="41">
        <v>17</v>
      </c>
      <c r="V16" s="41">
        <v>18</v>
      </c>
      <c r="W16" s="41">
        <v>19</v>
      </c>
      <c r="X16" s="41">
        <v>20</v>
      </c>
    </row>
    <row r="17" spans="1:25" s="46" customFormat="1" ht="18" customHeight="1" x14ac:dyDescent="0.15">
      <c r="A17" s="109" t="s">
        <v>16</v>
      </c>
      <c r="B17" s="109"/>
      <c r="C17" s="109"/>
      <c r="D17" s="109"/>
      <c r="E17" s="44" t="s">
        <v>17</v>
      </c>
      <c r="F17" s="44" t="s">
        <v>18</v>
      </c>
      <c r="G17" s="44" t="s">
        <v>19</v>
      </c>
      <c r="H17" s="44" t="s">
        <v>20</v>
      </c>
      <c r="I17" s="44" t="s">
        <v>21</v>
      </c>
      <c r="J17" s="44" t="s">
        <v>22</v>
      </c>
      <c r="K17" s="44" t="s">
        <v>23</v>
      </c>
      <c r="L17" s="45" t="s">
        <v>26</v>
      </c>
      <c r="M17" s="44" t="s">
        <v>65</v>
      </c>
      <c r="N17" s="44" t="s">
        <v>66</v>
      </c>
      <c r="O17" s="45" t="s">
        <v>67</v>
      </c>
      <c r="P17" s="44"/>
      <c r="Q17" s="44"/>
      <c r="R17" s="45"/>
      <c r="S17" s="44"/>
      <c r="T17" s="44"/>
      <c r="U17" s="44"/>
      <c r="V17" s="44"/>
      <c r="W17" s="44"/>
      <c r="X17" s="44"/>
    </row>
    <row r="18" spans="1:25" s="46" customFormat="1" ht="125.1" customHeight="1" x14ac:dyDescent="0.15">
      <c r="A18" s="90"/>
      <c r="B18" s="91"/>
      <c r="C18" s="91"/>
      <c r="D18" s="92"/>
      <c r="E18" s="47"/>
      <c r="F18" s="48"/>
      <c r="G18" s="48"/>
      <c r="H18" s="48"/>
      <c r="I18" s="48"/>
      <c r="J18" s="47"/>
      <c r="K18" s="48"/>
      <c r="L18" s="48"/>
      <c r="M18" s="47"/>
      <c r="N18" s="48"/>
      <c r="O18" s="45"/>
      <c r="P18" s="48"/>
      <c r="Q18" s="48"/>
      <c r="R18" s="48"/>
      <c r="S18" s="48"/>
      <c r="T18" s="48"/>
      <c r="U18" s="48"/>
      <c r="V18" s="48"/>
      <c r="W18" s="48"/>
      <c r="X18" s="45"/>
    </row>
    <row r="19" spans="1:25" ht="18" customHeight="1" x14ac:dyDescent="0.15">
      <c r="A19" s="90" t="s">
        <v>64</v>
      </c>
      <c r="B19" s="91"/>
      <c r="C19" s="91" t="s">
        <v>28</v>
      </c>
      <c r="D19" s="92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50"/>
    </row>
    <row r="20" spans="1:25" ht="18" customHeight="1" x14ac:dyDescent="0.15">
      <c r="A20" s="90" t="s">
        <v>29</v>
      </c>
      <c r="B20" s="91"/>
      <c r="C20" s="91" t="s">
        <v>30</v>
      </c>
      <c r="D20" s="92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 spans="1:25" ht="18" customHeight="1" x14ac:dyDescent="0.15">
      <c r="A21" s="90" t="s">
        <v>63</v>
      </c>
      <c r="B21" s="91"/>
      <c r="C21" s="91" t="s">
        <v>32</v>
      </c>
      <c r="D21" s="92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  <row r="22" spans="1:25" ht="18" customHeight="1" x14ac:dyDescent="0.15">
      <c r="A22" s="90" t="s">
        <v>33</v>
      </c>
      <c r="B22" s="91"/>
      <c r="C22" s="91" t="s">
        <v>34</v>
      </c>
      <c r="D22" s="92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r="23" spans="1:25" ht="18" customHeight="1" x14ac:dyDescent="0.15">
      <c r="A23" s="90"/>
      <c r="B23" s="91"/>
      <c r="C23" s="91"/>
      <c r="D23" s="92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r="24" spans="1:25" ht="18" customHeight="1" x14ac:dyDescent="0.15">
      <c r="A24" s="90"/>
      <c r="B24" s="91"/>
      <c r="C24" s="91"/>
      <c r="D24" s="92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r="25" spans="1:25" ht="18" customHeight="1" x14ac:dyDescent="0.15">
      <c r="A25" s="90"/>
      <c r="B25" s="91"/>
      <c r="C25" s="91"/>
      <c r="D25" s="92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r="26" spans="1:25" ht="18" customHeight="1" x14ac:dyDescent="0.15">
      <c r="A26" s="90"/>
      <c r="B26" s="91"/>
      <c r="C26" s="91"/>
      <c r="D26" s="92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r="27" spans="1:25" ht="18" customHeight="1" x14ac:dyDescent="0.15">
      <c r="A27" s="100"/>
      <c r="B27" s="101"/>
      <c r="C27" s="101"/>
      <c r="D27" s="102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r="28" spans="1:25" ht="18" customHeight="1" x14ac:dyDescent="0.15">
      <c r="A28" s="100"/>
      <c r="B28" s="101"/>
      <c r="C28" s="101"/>
      <c r="D28" s="102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r="29" spans="1:25" ht="18" customHeight="1" x14ac:dyDescent="0.15">
      <c r="A29" s="100"/>
      <c r="B29" s="101"/>
      <c r="C29" s="101"/>
      <c r="D29" s="102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r="30" spans="1:25" ht="18" customHeight="1" x14ac:dyDescent="0.15">
      <c r="A30" s="100"/>
      <c r="B30" s="101"/>
      <c r="C30" s="101"/>
      <c r="D30" s="102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r="31" spans="1:25" ht="18" customHeight="1" x14ac:dyDescent="0.15">
      <c r="A31" s="100"/>
      <c r="B31" s="101"/>
      <c r="C31" s="101"/>
      <c r="D31" s="102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r="32" spans="1:25" ht="18" customHeight="1" x14ac:dyDescent="0.15">
      <c r="A32" s="100"/>
      <c r="B32" s="101"/>
      <c r="C32" s="101"/>
      <c r="D32" s="102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r="33" spans="1:27" ht="18" customHeight="1" x14ac:dyDescent="0.15">
      <c r="A33" s="51" t="s">
        <v>48</v>
      </c>
      <c r="B33" s="52"/>
      <c r="C33" s="32"/>
      <c r="D33" s="53"/>
      <c r="E33" s="41">
        <v>109</v>
      </c>
      <c r="F33" s="41"/>
      <c r="G33" s="41"/>
      <c r="H33" s="41"/>
      <c r="I33" s="41"/>
      <c r="J33" s="41">
        <v>109</v>
      </c>
      <c r="K33" s="41"/>
      <c r="L33" s="41"/>
      <c r="M33" s="41">
        <v>109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spans="1:27" ht="18" customHeight="1" x14ac:dyDescent="0.15">
      <c r="A34" s="51" t="s">
        <v>49</v>
      </c>
      <c r="B34" s="52" t="s">
        <v>41</v>
      </c>
      <c r="C34" s="32">
        <f>SUM(E34:X34)</f>
        <v>60</v>
      </c>
      <c r="D34" s="53" t="s">
        <v>42</v>
      </c>
      <c r="E34" s="41">
        <v>10</v>
      </c>
      <c r="F34" s="41">
        <v>5</v>
      </c>
      <c r="G34" s="41">
        <v>2</v>
      </c>
      <c r="H34" s="41">
        <v>3</v>
      </c>
      <c r="I34" s="41">
        <v>2</v>
      </c>
      <c r="J34" s="41">
        <v>18</v>
      </c>
      <c r="K34" s="41">
        <v>6</v>
      </c>
      <c r="L34" s="41">
        <v>4</v>
      </c>
      <c r="M34" s="41">
        <v>5</v>
      </c>
      <c r="N34" s="41">
        <v>3</v>
      </c>
      <c r="O34" s="41">
        <v>2</v>
      </c>
      <c r="P34" s="41"/>
      <c r="Q34" s="41"/>
      <c r="R34" s="41"/>
      <c r="S34" s="41"/>
      <c r="T34" s="41"/>
      <c r="U34" s="41"/>
      <c r="V34" s="41"/>
      <c r="W34" s="41"/>
      <c r="X34" s="41"/>
      <c r="Y34" s="31"/>
      <c r="Z34" s="28">
        <v>120</v>
      </c>
      <c r="AA34" s="28">
        <f>Z34-INT(Z34/8)-3</f>
        <v>102</v>
      </c>
    </row>
    <row r="35" spans="1:27" ht="18" customHeight="1" x14ac:dyDescent="0.15">
      <c r="A35" s="51" t="s">
        <v>40</v>
      </c>
      <c r="B35" s="52" t="s">
        <v>41</v>
      </c>
      <c r="C35" s="32">
        <f>SUM(E35:X35)</f>
        <v>140</v>
      </c>
      <c r="D35" s="53" t="s">
        <v>42</v>
      </c>
      <c r="E35" s="41">
        <v>86</v>
      </c>
      <c r="F35" s="41">
        <v>5</v>
      </c>
      <c r="G35" s="41">
        <v>2</v>
      </c>
      <c r="H35" s="41">
        <v>3</v>
      </c>
      <c r="I35" s="41">
        <v>2</v>
      </c>
      <c r="J35" s="41">
        <v>22</v>
      </c>
      <c r="K35" s="41">
        <v>6</v>
      </c>
      <c r="L35" s="41">
        <v>4</v>
      </c>
      <c r="M35" s="41">
        <v>5</v>
      </c>
      <c r="N35" s="41">
        <v>3</v>
      </c>
      <c r="O35" s="41">
        <v>2</v>
      </c>
      <c r="P35" s="41"/>
      <c r="Q35" s="41"/>
      <c r="R35" s="41"/>
      <c r="S35" s="41"/>
      <c r="T35" s="41"/>
      <c r="U35" s="41"/>
      <c r="V35" s="41"/>
      <c r="W35" s="41"/>
      <c r="X35" s="41"/>
      <c r="Y35" s="31"/>
      <c r="Z35" s="28">
        <v>140</v>
      </c>
      <c r="AA35" s="28">
        <f>Z35-INT(Z35/8)-3</f>
        <v>120</v>
      </c>
    </row>
    <row r="36" spans="1:27" ht="18" customHeight="1" x14ac:dyDescent="0.15">
      <c r="A36" s="90" t="s">
        <v>43</v>
      </c>
      <c r="B36" s="91"/>
      <c r="C36" s="91"/>
      <c r="D36" s="92"/>
      <c r="E36" s="41">
        <v>110</v>
      </c>
      <c r="F36" s="41">
        <v>110</v>
      </c>
      <c r="G36" s="41">
        <v>110</v>
      </c>
      <c r="H36" s="41">
        <v>10</v>
      </c>
      <c r="I36" s="41">
        <v>10</v>
      </c>
      <c r="J36" s="41">
        <v>110</v>
      </c>
      <c r="K36" s="41">
        <v>110</v>
      </c>
      <c r="L36" s="41">
        <v>10</v>
      </c>
      <c r="M36" s="41">
        <v>110</v>
      </c>
      <c r="N36" s="41">
        <v>10</v>
      </c>
      <c r="O36" s="41">
        <v>10</v>
      </c>
      <c r="P36" s="41"/>
      <c r="Q36" s="41"/>
      <c r="R36" s="41"/>
      <c r="S36" s="41"/>
      <c r="T36" s="41"/>
      <c r="U36" s="41"/>
      <c r="V36" s="41"/>
      <c r="W36" s="41"/>
      <c r="X36" s="41"/>
    </row>
    <row r="37" spans="1:27" ht="18" customHeight="1" x14ac:dyDescent="0.15">
      <c r="A37" s="90" t="s">
        <v>44</v>
      </c>
      <c r="B37" s="91"/>
      <c r="C37" s="91"/>
      <c r="D37" s="92"/>
      <c r="E37" s="41">
        <v>6</v>
      </c>
      <c r="F37" s="41">
        <v>0.95</v>
      </c>
      <c r="G37" s="41">
        <v>0.95</v>
      </c>
      <c r="H37" s="41">
        <v>0.95</v>
      </c>
      <c r="I37" s="41">
        <v>0.95</v>
      </c>
      <c r="J37" s="41">
        <v>6</v>
      </c>
      <c r="K37" s="41">
        <v>0.95</v>
      </c>
      <c r="L37" s="41">
        <v>0.95</v>
      </c>
      <c r="M37" s="41">
        <v>0.95</v>
      </c>
      <c r="N37" s="41">
        <v>0.95</v>
      </c>
      <c r="O37" s="41">
        <v>0.95</v>
      </c>
      <c r="P37" s="41"/>
      <c r="Q37" s="41"/>
      <c r="R37" s="41"/>
      <c r="S37" s="41"/>
      <c r="T37" s="41"/>
      <c r="U37" s="41"/>
      <c r="V37" s="41"/>
      <c r="W37" s="41"/>
      <c r="X37" s="41"/>
    </row>
    <row r="38" spans="1:27" ht="18" customHeight="1" x14ac:dyDescent="0.15">
      <c r="A38" s="90" t="s">
        <v>45</v>
      </c>
      <c r="B38" s="91"/>
      <c r="C38" s="91"/>
      <c r="D38" s="92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32:D32"/>
    <mergeCell ref="A25:B25"/>
    <mergeCell ref="C25:D25"/>
    <mergeCell ref="A26:B26"/>
    <mergeCell ref="C26:D26"/>
    <mergeCell ref="A27:B27"/>
    <mergeCell ref="C27:D27"/>
    <mergeCell ref="A38:D38"/>
    <mergeCell ref="A1:E2"/>
    <mergeCell ref="F1:G2"/>
    <mergeCell ref="H1:K2"/>
    <mergeCell ref="L1:M2"/>
    <mergeCell ref="A29:B29"/>
    <mergeCell ref="C29:D29"/>
    <mergeCell ref="A30:B30"/>
    <mergeCell ref="C30:D30"/>
    <mergeCell ref="A36:D36"/>
    <mergeCell ref="A37:D37"/>
    <mergeCell ref="A28:B28"/>
    <mergeCell ref="C28:D28"/>
    <mergeCell ref="A31:B31"/>
    <mergeCell ref="C31:D31"/>
    <mergeCell ref="A32:B32"/>
    <mergeCell ref="T2:U3"/>
    <mergeCell ref="V2:X3"/>
    <mergeCell ref="A3:E4"/>
    <mergeCell ref="F3:G4"/>
    <mergeCell ref="H3:K4"/>
    <mergeCell ref="L3:M4"/>
    <mergeCell ref="P3:R4"/>
    <mergeCell ref="S3:S4"/>
    <mergeCell ref="N1:O4"/>
    <mergeCell ref="V1:X1"/>
    <mergeCell ref="T4:U4"/>
    <mergeCell ref="V4:X4"/>
    <mergeCell ref="P1:S2"/>
    <mergeCell ref="T1:U1"/>
  </mergeCells>
  <phoneticPr fontId="1"/>
  <pageMargins left="0.78740157480314965" right="0" top="0.39370078740157483" bottom="0" header="0.23622047244094491" footer="0.31496062992125984"/>
  <pageSetup paperSize="9" scale="94" firstPageNumber="47" orientation="portrait" useFirstPageNumber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topLeftCell="A14" zoomScaleNormal="100" workbookViewId="0">
      <selection activeCell="Q33" sqref="Q3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4" ht="20.100000000000001" customHeight="1" x14ac:dyDescent="0.15">
      <c r="A1" s="149" t="s">
        <v>0</v>
      </c>
      <c r="B1" s="149"/>
      <c r="C1" s="149"/>
      <c r="D1" s="149"/>
      <c r="E1" s="149"/>
      <c r="F1" s="150" t="s">
        <v>52</v>
      </c>
      <c r="G1" s="151"/>
      <c r="H1" s="152" t="s">
        <v>2</v>
      </c>
      <c r="I1" s="153"/>
      <c r="J1" s="153"/>
      <c r="K1" s="153"/>
      <c r="L1" s="153"/>
      <c r="M1" s="153"/>
      <c r="N1" s="154" t="s">
        <v>3</v>
      </c>
      <c r="O1" s="154"/>
      <c r="P1" s="149" t="s">
        <v>55</v>
      </c>
      <c r="Q1" s="149"/>
      <c r="R1" s="149"/>
      <c r="S1" s="149"/>
      <c r="T1" s="132" t="s">
        <v>5</v>
      </c>
      <c r="U1" s="132"/>
      <c r="V1" s="133" t="s">
        <v>6</v>
      </c>
      <c r="W1" s="133"/>
      <c r="X1" s="133"/>
    </row>
    <row r="2" spans="1:24" ht="20.100000000000001" customHeight="1" x14ac:dyDescent="0.15">
      <c r="A2" s="134" t="s">
        <v>7</v>
      </c>
      <c r="B2" s="134"/>
      <c r="C2" s="134"/>
      <c r="D2" s="134"/>
      <c r="E2" s="134"/>
      <c r="F2" s="135" t="s">
        <v>52</v>
      </c>
      <c r="G2" s="125"/>
      <c r="H2" s="136" t="s">
        <v>2</v>
      </c>
      <c r="I2" s="136"/>
      <c r="J2" s="136"/>
      <c r="K2" s="136"/>
      <c r="L2" s="137" t="s">
        <v>10</v>
      </c>
      <c r="M2" s="138"/>
      <c r="N2" s="134" t="s">
        <v>11</v>
      </c>
      <c r="O2" s="134"/>
      <c r="P2" s="139">
        <v>0.58263888888888882</v>
      </c>
      <c r="Q2" s="140"/>
      <c r="R2" s="141"/>
      <c r="S2" s="3" t="s">
        <v>12</v>
      </c>
      <c r="T2" s="132" t="s">
        <v>13</v>
      </c>
      <c r="U2" s="132"/>
      <c r="V2" s="142" t="s">
        <v>14</v>
      </c>
      <c r="W2" s="142"/>
      <c r="X2" s="142"/>
    </row>
    <row r="3" spans="1:24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4" ht="18" customHeight="1" x14ac:dyDescent="0.15">
      <c r="A4" s="123"/>
      <c r="B4" s="124"/>
      <c r="C4" s="124"/>
      <c r="D4" s="124"/>
      <c r="X4" s="8"/>
    </row>
    <row r="5" spans="1:24" ht="18" customHeight="1" x14ac:dyDescent="0.15">
      <c r="A5" s="123"/>
      <c r="B5" s="124"/>
      <c r="C5" s="124"/>
      <c r="D5" s="124"/>
      <c r="X5" s="8"/>
    </row>
    <row r="6" spans="1:24" ht="18" customHeight="1" x14ac:dyDescent="0.15">
      <c r="A6" s="123"/>
      <c r="B6" s="124"/>
      <c r="C6" s="124"/>
      <c r="D6" s="124"/>
      <c r="X6" s="8"/>
    </row>
    <row r="7" spans="1:24" ht="18" customHeight="1" x14ac:dyDescent="0.15">
      <c r="A7" s="123"/>
      <c r="B7" s="124"/>
      <c r="C7" s="124"/>
      <c r="D7" s="124"/>
      <c r="X7" s="8"/>
    </row>
    <row r="8" spans="1:24" ht="147.75" customHeight="1" x14ac:dyDescent="0.15">
      <c r="A8" s="123"/>
      <c r="B8" s="124"/>
      <c r="C8" s="124"/>
      <c r="D8" s="124"/>
      <c r="X8" s="8"/>
    </row>
    <row r="9" spans="1:24" ht="18" customHeight="1" x14ac:dyDescent="0.15">
      <c r="A9" s="123"/>
      <c r="B9" s="124"/>
      <c r="C9" s="124"/>
      <c r="D9" s="124"/>
      <c r="X9" s="8"/>
    </row>
    <row r="10" spans="1:24" ht="18" customHeight="1" x14ac:dyDescent="0.15">
      <c r="A10" s="123"/>
      <c r="B10" s="124"/>
      <c r="C10" s="124"/>
      <c r="D10" s="124"/>
      <c r="X10" s="8"/>
    </row>
    <row r="11" spans="1:24" ht="18" customHeight="1" x14ac:dyDescent="0.15">
      <c r="A11" s="128"/>
      <c r="B11" s="129"/>
      <c r="C11" s="131"/>
      <c r="D11" s="131"/>
      <c r="E11" s="9"/>
      <c r="F11" s="7"/>
      <c r="G11" s="7"/>
      <c r="H11" s="7"/>
      <c r="I11" s="7"/>
      <c r="X11" s="8"/>
    </row>
    <row r="12" spans="1:24" ht="18" customHeight="1" x14ac:dyDescent="0.15">
      <c r="A12" s="128"/>
      <c r="B12" s="129"/>
      <c r="C12" s="131"/>
      <c r="D12" s="131"/>
      <c r="E12" s="9"/>
      <c r="X12" s="8"/>
    </row>
    <row r="13" spans="1:24" ht="18" customHeight="1" x14ac:dyDescent="0.15">
      <c r="A13" s="125"/>
      <c r="B13" s="126"/>
      <c r="C13" s="130"/>
      <c r="D13" s="13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4" s="13" customFormat="1" ht="18" customHeight="1" x14ac:dyDescent="0.15">
      <c r="A14" s="127" t="s">
        <v>15</v>
      </c>
      <c r="B14" s="127"/>
      <c r="C14" s="127"/>
      <c r="D14" s="127"/>
      <c r="E14" s="1">
        <v>1</v>
      </c>
      <c r="F14" s="1">
        <v>2</v>
      </c>
      <c r="G14" s="1">
        <v>3</v>
      </c>
      <c r="H14" s="1">
        <v>4</v>
      </c>
      <c r="I14" s="1" t="s">
        <v>53</v>
      </c>
      <c r="J14" s="1">
        <v>6</v>
      </c>
      <c r="K14" s="1">
        <v>7</v>
      </c>
      <c r="L14" s="1">
        <v>8</v>
      </c>
      <c r="M14" s="1">
        <v>9</v>
      </c>
      <c r="N14" s="1" t="s">
        <v>54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4" s="16" customFormat="1" ht="18" customHeight="1" x14ac:dyDescent="0.15">
      <c r="A15" s="127" t="s">
        <v>16</v>
      </c>
      <c r="B15" s="127"/>
      <c r="C15" s="127"/>
      <c r="D15" s="127"/>
      <c r="E15" s="14" t="s">
        <v>17</v>
      </c>
      <c r="F15" s="14" t="s">
        <v>18</v>
      </c>
      <c r="G15" s="14" t="s">
        <v>19</v>
      </c>
      <c r="H15" s="14" t="s">
        <v>20</v>
      </c>
      <c r="I15" s="14" t="s">
        <v>21</v>
      </c>
      <c r="J15" s="14" t="s">
        <v>22</v>
      </c>
      <c r="K15" s="14" t="s">
        <v>23</v>
      </c>
      <c r="L15" s="14" t="s">
        <v>24</v>
      </c>
      <c r="M15" s="14" t="s">
        <v>25</v>
      </c>
      <c r="N15" s="15" t="s">
        <v>26</v>
      </c>
      <c r="O15" s="15"/>
      <c r="P15" s="14"/>
      <c r="Q15" s="14"/>
      <c r="R15" s="15"/>
      <c r="S15" s="14"/>
      <c r="T15" s="14"/>
      <c r="U15" s="14"/>
      <c r="V15" s="14"/>
      <c r="W15" s="14"/>
      <c r="X15" s="14"/>
    </row>
    <row r="16" spans="1:24" s="16" customFormat="1" ht="125.1" customHeight="1" x14ac:dyDescent="0.15">
      <c r="A16" s="122"/>
      <c r="B16" s="114"/>
      <c r="C16" s="114"/>
      <c r="D16" s="115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5"/>
    </row>
    <row r="17" spans="1:25" ht="18" customHeight="1" x14ac:dyDescent="0.15">
      <c r="A17" s="122" t="s">
        <v>27</v>
      </c>
      <c r="B17" s="114"/>
      <c r="C17" s="114" t="s">
        <v>28</v>
      </c>
      <c r="D17" s="11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7"/>
    </row>
    <row r="18" spans="1:25" ht="18" customHeight="1" x14ac:dyDescent="0.15">
      <c r="A18" s="122" t="s">
        <v>29</v>
      </c>
      <c r="B18" s="114"/>
      <c r="C18" s="114" t="s">
        <v>30</v>
      </c>
      <c r="D18" s="11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5" ht="18" customHeight="1" x14ac:dyDescent="0.15">
      <c r="A19" s="122" t="s">
        <v>31</v>
      </c>
      <c r="B19" s="114"/>
      <c r="C19" s="114" t="s">
        <v>32</v>
      </c>
      <c r="D19" s="11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5" ht="18" customHeight="1" x14ac:dyDescent="0.15">
      <c r="A20" s="122" t="s">
        <v>33</v>
      </c>
      <c r="B20" s="114"/>
      <c r="C20" s="114" t="s">
        <v>34</v>
      </c>
      <c r="D20" s="11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5" ht="18" customHeight="1" x14ac:dyDescent="0.15">
      <c r="A21" s="122"/>
      <c r="B21" s="114"/>
      <c r="C21" s="114"/>
      <c r="D21" s="11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5" ht="18" customHeight="1" x14ac:dyDescent="0.15">
      <c r="A22" s="122"/>
      <c r="B22" s="114"/>
      <c r="C22" s="114"/>
      <c r="D22" s="115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5" ht="18" customHeight="1" x14ac:dyDescent="0.15">
      <c r="A23" s="122"/>
      <c r="B23" s="114"/>
      <c r="C23" s="114"/>
      <c r="D23" s="11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5" ht="18" customHeight="1" x14ac:dyDescent="0.15">
      <c r="A24" s="122"/>
      <c r="B24" s="114"/>
      <c r="C24" s="114"/>
      <c r="D24" s="11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5" ht="18" customHeight="1" x14ac:dyDescent="0.15">
      <c r="A25" s="121"/>
      <c r="B25" s="119"/>
      <c r="C25" s="119"/>
      <c r="D25" s="1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5" ht="18" customHeight="1" x14ac:dyDescent="0.15">
      <c r="A26" s="121"/>
      <c r="B26" s="119"/>
      <c r="C26" s="119"/>
      <c r="D26" s="1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5" ht="18" customHeight="1" x14ac:dyDescent="0.15">
      <c r="A27" s="121"/>
      <c r="B27" s="119"/>
      <c r="C27" s="119"/>
      <c r="D27" s="1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5" ht="18" customHeight="1" x14ac:dyDescent="0.15">
      <c r="A28" s="121"/>
      <c r="B28" s="119"/>
      <c r="C28" s="119"/>
      <c r="D28" s="1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5" ht="18" customHeight="1" x14ac:dyDescent="0.15">
      <c r="A29" s="22" t="s">
        <v>48</v>
      </c>
      <c r="B29" s="24"/>
      <c r="C29" s="25"/>
      <c r="D29" s="26"/>
      <c r="E29" s="1">
        <v>109</v>
      </c>
      <c r="F29" s="1"/>
      <c r="G29" s="1"/>
      <c r="H29" s="1"/>
      <c r="I29" s="1"/>
      <c r="J29" s="1">
        <v>109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5" ht="18" customHeight="1" x14ac:dyDescent="0.15">
      <c r="A30" s="22" t="s">
        <v>49</v>
      </c>
      <c r="B30" s="24" t="s">
        <v>50</v>
      </c>
      <c r="C30" s="25">
        <f>SUM(E30:X30)</f>
        <v>52</v>
      </c>
      <c r="D30" s="26" t="s">
        <v>51</v>
      </c>
      <c r="E30" s="1">
        <v>9</v>
      </c>
      <c r="F30" s="1">
        <v>5</v>
      </c>
      <c r="G30" s="1">
        <v>2</v>
      </c>
      <c r="H30" s="1">
        <v>3</v>
      </c>
      <c r="I30" s="1">
        <v>2</v>
      </c>
      <c r="J30" s="1">
        <v>18</v>
      </c>
      <c r="K30" s="1">
        <v>6</v>
      </c>
      <c r="L30" s="1">
        <v>2</v>
      </c>
      <c r="M30" s="1">
        <v>3</v>
      </c>
      <c r="N30" s="1">
        <v>2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5" ht="18" customHeight="1" x14ac:dyDescent="0.15">
      <c r="A31" s="116" t="s">
        <v>35</v>
      </c>
      <c r="B31" s="117"/>
      <c r="C31" s="117"/>
      <c r="D31" s="118"/>
      <c r="E31" s="20"/>
      <c r="F31" s="20"/>
      <c r="G31" s="20"/>
      <c r="H31" s="20"/>
      <c r="I31" s="1" t="s">
        <v>36</v>
      </c>
      <c r="J31" s="20"/>
      <c r="K31" s="20"/>
      <c r="L31" s="20"/>
      <c r="M31" s="20"/>
      <c r="N31" s="1" t="s">
        <v>36</v>
      </c>
      <c r="O31" s="143" t="s">
        <v>37</v>
      </c>
      <c r="P31" s="144"/>
      <c r="Q31" s="147">
        <v>2</v>
      </c>
      <c r="R31" s="20"/>
      <c r="S31" s="20"/>
      <c r="T31" s="20"/>
      <c r="U31" s="20"/>
      <c r="V31" s="20"/>
      <c r="W31" s="20"/>
      <c r="X31" s="20"/>
    </row>
    <row r="32" spans="1:25" ht="18" customHeight="1" x14ac:dyDescent="0.15">
      <c r="A32" s="116" t="s">
        <v>38</v>
      </c>
      <c r="B32" s="117"/>
      <c r="C32" s="117"/>
      <c r="D32" s="118"/>
      <c r="E32" s="1" t="s">
        <v>39</v>
      </c>
      <c r="F32" s="20"/>
      <c r="G32" s="20"/>
      <c r="H32" s="20"/>
      <c r="I32" s="20"/>
      <c r="J32" s="1" t="s">
        <v>39</v>
      </c>
      <c r="K32" s="20"/>
      <c r="L32" s="20"/>
      <c r="M32" s="20"/>
      <c r="N32" s="20"/>
      <c r="O32" s="145"/>
      <c r="P32" s="146"/>
      <c r="Q32" s="148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3" t="s">
        <v>40</v>
      </c>
      <c r="B33" s="24" t="s">
        <v>41</v>
      </c>
      <c r="C33" s="25">
        <f>SUM(E33:X33)</f>
        <v>130</v>
      </c>
      <c r="D33" s="26" t="s">
        <v>42</v>
      </c>
      <c r="E33" s="1">
        <v>88</v>
      </c>
      <c r="F33" s="1">
        <v>5</v>
      </c>
      <c r="G33" s="1">
        <v>2</v>
      </c>
      <c r="H33" s="1">
        <v>3</v>
      </c>
      <c r="I33" s="1">
        <v>2</v>
      </c>
      <c r="J33" s="1">
        <v>17</v>
      </c>
      <c r="K33" s="1">
        <v>6</v>
      </c>
      <c r="L33" s="1">
        <v>2</v>
      </c>
      <c r="M33" s="1">
        <v>3</v>
      </c>
      <c r="N33" s="1">
        <v>2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6" t="s">
        <v>43</v>
      </c>
      <c r="B34" s="117"/>
      <c r="C34" s="117"/>
      <c r="D34" s="11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6" t="s">
        <v>44</v>
      </c>
      <c r="B35" s="117"/>
      <c r="C35" s="117"/>
      <c r="D35" s="11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6" t="s">
        <v>45</v>
      </c>
      <c r="B36" s="117"/>
      <c r="C36" s="117"/>
      <c r="D36" s="118"/>
      <c r="E36" s="4" t="s">
        <v>46</v>
      </c>
      <c r="F36" s="4" t="s">
        <v>47</v>
      </c>
      <c r="G36" s="4" t="s">
        <v>47</v>
      </c>
      <c r="H36" s="4" t="s">
        <v>47</v>
      </c>
      <c r="I36" s="4" t="s">
        <v>47</v>
      </c>
      <c r="J36" s="4" t="s">
        <v>47</v>
      </c>
      <c r="K36" s="4" t="s">
        <v>46</v>
      </c>
      <c r="L36" s="4" t="s">
        <v>46</v>
      </c>
      <c r="M36" s="4" t="s">
        <v>46</v>
      </c>
      <c r="N36" s="4" t="s">
        <v>46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1">
    <mergeCell ref="O31:P32"/>
    <mergeCell ref="Q31:Q32"/>
    <mergeCell ref="A32:D32"/>
    <mergeCell ref="A1:E1"/>
    <mergeCell ref="F1:G1"/>
    <mergeCell ref="H1:M1"/>
    <mergeCell ref="N1:O1"/>
    <mergeCell ref="P1:S1"/>
    <mergeCell ref="A3:B3"/>
    <mergeCell ref="A6:B6"/>
    <mergeCell ref="C6:D6"/>
    <mergeCell ref="C3:D3"/>
    <mergeCell ref="A4:B4"/>
    <mergeCell ref="C4:D4"/>
    <mergeCell ref="A5:B5"/>
    <mergeCell ref="C5:D5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A7:B7"/>
    <mergeCell ref="C7:D7"/>
    <mergeCell ref="A8:B8"/>
    <mergeCell ref="C8:D8"/>
    <mergeCell ref="A9:B9"/>
    <mergeCell ref="C9:D9"/>
    <mergeCell ref="A22:B22"/>
    <mergeCell ref="C22:D22"/>
    <mergeCell ref="A10:B10"/>
    <mergeCell ref="C10:D10"/>
    <mergeCell ref="A13:B13"/>
    <mergeCell ref="A14:D14"/>
    <mergeCell ref="A15:D15"/>
    <mergeCell ref="A11:B11"/>
    <mergeCell ref="A12:B12"/>
    <mergeCell ref="C13:D13"/>
    <mergeCell ref="C12:D12"/>
    <mergeCell ref="C11:D11"/>
    <mergeCell ref="A20:B20"/>
    <mergeCell ref="C20:D20"/>
    <mergeCell ref="A19:B19"/>
    <mergeCell ref="C19:D19"/>
    <mergeCell ref="A21:B21"/>
    <mergeCell ref="C21:D21"/>
    <mergeCell ref="A16:D16"/>
    <mergeCell ref="A17:B17"/>
    <mergeCell ref="C17:D17"/>
    <mergeCell ref="A18:B18"/>
    <mergeCell ref="C18:D18"/>
    <mergeCell ref="C23:D23"/>
    <mergeCell ref="A36:D36"/>
    <mergeCell ref="C25:D25"/>
    <mergeCell ref="A26:B26"/>
    <mergeCell ref="C26:D26"/>
    <mergeCell ref="A27:B27"/>
    <mergeCell ref="A25:B25"/>
    <mergeCell ref="A34:D34"/>
    <mergeCell ref="A35:D35"/>
    <mergeCell ref="C27:D27"/>
    <mergeCell ref="A28:B28"/>
    <mergeCell ref="C28:D28"/>
    <mergeCell ref="A31:D31"/>
    <mergeCell ref="A24:B24"/>
    <mergeCell ref="C24:D24"/>
    <mergeCell ref="A23:B23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7" orientation="portrait" useFirstPageNumber="1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topLeftCell="A9" zoomScaleNormal="100" workbookViewId="0">
      <selection activeCell="C3" sqref="C3:D3"/>
    </sheetView>
  </sheetViews>
  <sheetFormatPr defaultRowHeight="11.25" x14ac:dyDescent="0.15"/>
  <cols>
    <col min="1" max="1" width="5.125" style="7" customWidth="1"/>
    <col min="2" max="2" width="0.875" style="7" customWidth="1"/>
    <col min="3" max="3" width="4.625" style="7" customWidth="1"/>
    <col min="4" max="4" width="0.875" style="7" customWidth="1"/>
    <col min="5" max="24" width="4.125" style="2" customWidth="1"/>
    <col min="25" max="16384" width="9" style="2"/>
  </cols>
  <sheetData>
    <row r="1" spans="1:25" ht="20.100000000000001" customHeight="1" x14ac:dyDescent="0.15">
      <c r="A1" s="149" t="s">
        <v>0</v>
      </c>
      <c r="B1" s="149"/>
      <c r="C1" s="149"/>
      <c r="D1" s="149"/>
      <c r="E1" s="149"/>
      <c r="F1" s="150" t="s">
        <v>1</v>
      </c>
      <c r="G1" s="151"/>
      <c r="H1" s="152" t="s">
        <v>2</v>
      </c>
      <c r="I1" s="153"/>
      <c r="J1" s="153"/>
      <c r="K1" s="153"/>
      <c r="L1" s="153"/>
      <c r="M1" s="153"/>
      <c r="N1" s="154" t="s">
        <v>3</v>
      </c>
      <c r="O1" s="154"/>
      <c r="P1" s="149" t="s">
        <v>4</v>
      </c>
      <c r="Q1" s="149"/>
      <c r="R1" s="149"/>
      <c r="S1" s="149"/>
      <c r="T1" s="132" t="s">
        <v>5</v>
      </c>
      <c r="U1" s="132"/>
      <c r="V1" s="133" t="s">
        <v>6</v>
      </c>
      <c r="W1" s="133"/>
      <c r="X1" s="133"/>
    </row>
    <row r="2" spans="1:25" ht="20.100000000000001" customHeight="1" x14ac:dyDescent="0.15">
      <c r="A2" s="134" t="s">
        <v>7</v>
      </c>
      <c r="B2" s="134"/>
      <c r="C2" s="134"/>
      <c r="D2" s="134"/>
      <c r="E2" s="134"/>
      <c r="F2" s="135" t="s">
        <v>8</v>
      </c>
      <c r="G2" s="125"/>
      <c r="H2" s="136" t="s">
        <v>9</v>
      </c>
      <c r="I2" s="136"/>
      <c r="J2" s="136"/>
      <c r="K2" s="136"/>
      <c r="L2" s="137" t="s">
        <v>10</v>
      </c>
      <c r="M2" s="138"/>
      <c r="N2" s="134" t="s">
        <v>11</v>
      </c>
      <c r="O2" s="134"/>
      <c r="P2" s="139">
        <v>0.61736111111111114</v>
      </c>
      <c r="Q2" s="140"/>
      <c r="R2" s="141"/>
      <c r="S2" s="3" t="s">
        <v>12</v>
      </c>
      <c r="T2" s="132" t="s">
        <v>13</v>
      </c>
      <c r="U2" s="132"/>
      <c r="V2" s="142" t="s">
        <v>14</v>
      </c>
      <c r="W2" s="142"/>
      <c r="X2" s="142"/>
    </row>
    <row r="3" spans="1:25" ht="18" customHeight="1" x14ac:dyDescent="0.15">
      <c r="A3" s="155"/>
      <c r="B3" s="156"/>
      <c r="C3" s="156"/>
      <c r="D3" s="15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23"/>
      <c r="B4" s="124"/>
      <c r="C4" s="124"/>
      <c r="D4" s="124"/>
      <c r="X4" s="8"/>
    </row>
    <row r="5" spans="1:25" ht="18" customHeight="1" x14ac:dyDescent="0.15">
      <c r="A5" s="123"/>
      <c r="B5" s="124"/>
      <c r="C5" s="124"/>
      <c r="D5" s="124"/>
      <c r="X5" s="8"/>
    </row>
    <row r="6" spans="1:25" ht="18" customHeight="1" x14ac:dyDescent="0.15">
      <c r="A6" s="123"/>
      <c r="B6" s="124"/>
      <c r="C6" s="124"/>
      <c r="D6" s="124"/>
      <c r="X6" s="8"/>
    </row>
    <row r="7" spans="1:25" ht="18" customHeight="1" x14ac:dyDescent="0.15">
      <c r="A7" s="123"/>
      <c r="B7" s="124"/>
      <c r="C7" s="124"/>
      <c r="D7" s="124"/>
      <c r="X7" s="8"/>
    </row>
    <row r="8" spans="1:25" ht="147.75" customHeight="1" x14ac:dyDescent="0.15">
      <c r="A8" s="123"/>
      <c r="B8" s="124"/>
      <c r="C8" s="124"/>
      <c r="D8" s="124"/>
      <c r="X8" s="8"/>
    </row>
    <row r="9" spans="1:25" ht="18" customHeight="1" x14ac:dyDescent="0.15">
      <c r="A9" s="123"/>
      <c r="B9" s="124"/>
      <c r="C9" s="124"/>
      <c r="D9" s="124"/>
      <c r="X9" s="8"/>
    </row>
    <row r="10" spans="1:25" ht="18" customHeight="1" x14ac:dyDescent="0.15">
      <c r="A10" s="123"/>
      <c r="B10" s="124"/>
      <c r="C10" s="124"/>
      <c r="D10" s="124"/>
      <c r="X10" s="8"/>
    </row>
    <row r="11" spans="1:25" ht="18" customHeight="1" x14ac:dyDescent="0.15">
      <c r="A11" s="128"/>
      <c r="B11" s="129"/>
      <c r="C11" s="131"/>
      <c r="D11" s="131"/>
      <c r="E11" s="9"/>
      <c r="F11" s="7"/>
      <c r="G11" s="7"/>
      <c r="H11" s="7"/>
      <c r="I11" s="7"/>
      <c r="X11" s="8"/>
    </row>
    <row r="12" spans="1:25" ht="18" customHeight="1" x14ac:dyDescent="0.15">
      <c r="A12" s="128"/>
      <c r="B12" s="129"/>
      <c r="C12" s="131"/>
      <c r="D12" s="131"/>
      <c r="E12" s="9"/>
      <c r="X12" s="8"/>
    </row>
    <row r="13" spans="1:25" ht="18" customHeight="1" x14ac:dyDescent="0.15">
      <c r="A13" s="125"/>
      <c r="B13" s="126"/>
      <c r="C13" s="130"/>
      <c r="D13" s="130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3"/>
    </row>
    <row r="14" spans="1:25" s="13" customFormat="1" ht="18" customHeight="1" x14ac:dyDescent="0.15">
      <c r="A14" s="127" t="s">
        <v>15</v>
      </c>
      <c r="B14" s="127"/>
      <c r="C14" s="127"/>
      <c r="D14" s="127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27" t="s">
        <v>16</v>
      </c>
      <c r="B15" s="127"/>
      <c r="C15" s="127"/>
      <c r="D15" s="127"/>
      <c r="E15" s="14" t="s">
        <v>17</v>
      </c>
      <c r="F15" s="14" t="s">
        <v>18</v>
      </c>
      <c r="G15" s="14" t="s">
        <v>19</v>
      </c>
      <c r="H15" s="14" t="s">
        <v>20</v>
      </c>
      <c r="I15" s="14" t="s">
        <v>21</v>
      </c>
      <c r="J15" s="14" t="s">
        <v>22</v>
      </c>
      <c r="K15" s="14" t="s">
        <v>23</v>
      </c>
      <c r="L15" s="14" t="s">
        <v>24</v>
      </c>
      <c r="M15" s="14" t="s">
        <v>25</v>
      </c>
      <c r="N15" s="15" t="s">
        <v>26</v>
      </c>
      <c r="O15" s="15"/>
      <c r="P15" s="14"/>
      <c r="Q15" s="14"/>
      <c r="R15" s="15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22"/>
      <c r="B16" s="114"/>
      <c r="C16" s="114"/>
      <c r="D16" s="115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5"/>
      <c r="Y16" s="19"/>
    </row>
    <row r="17" spans="1:24" ht="18" customHeight="1" x14ac:dyDescent="0.15">
      <c r="A17" s="122" t="s">
        <v>27</v>
      </c>
      <c r="B17" s="114"/>
      <c r="C17" s="114" t="s">
        <v>28</v>
      </c>
      <c r="D17" s="11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22" t="s">
        <v>29</v>
      </c>
      <c r="B18" s="114"/>
      <c r="C18" s="114" t="s">
        <v>30</v>
      </c>
      <c r="D18" s="11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22" t="s">
        <v>31</v>
      </c>
      <c r="B19" s="114"/>
      <c r="C19" s="114" t="s">
        <v>32</v>
      </c>
      <c r="D19" s="11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22" t="s">
        <v>33</v>
      </c>
      <c r="B20" s="114"/>
      <c r="C20" s="114" t="s">
        <v>34</v>
      </c>
      <c r="D20" s="11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22"/>
      <c r="B21" s="114"/>
      <c r="C21" s="114"/>
      <c r="D21" s="11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22"/>
      <c r="B22" s="114"/>
      <c r="C22" s="114"/>
      <c r="D22" s="115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22"/>
      <c r="B23" s="114"/>
      <c r="C23" s="114"/>
      <c r="D23" s="11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22"/>
      <c r="B24" s="114"/>
      <c r="C24" s="114"/>
      <c r="D24" s="11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21"/>
      <c r="B25" s="119"/>
      <c r="C25" s="119"/>
      <c r="D25" s="1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21"/>
      <c r="B26" s="119"/>
      <c r="C26" s="119"/>
      <c r="D26" s="1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21"/>
      <c r="B27" s="119"/>
      <c r="C27" s="119"/>
      <c r="D27" s="1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21"/>
      <c r="B28" s="119"/>
      <c r="C28" s="119"/>
      <c r="D28" s="1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21"/>
      <c r="B29" s="119"/>
      <c r="C29" s="119"/>
      <c r="D29" s="120"/>
      <c r="E29" s="20"/>
      <c r="F29" s="20"/>
      <c r="G29" s="20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21"/>
      <c r="B30" s="119"/>
      <c r="C30" s="119"/>
      <c r="D30" s="1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16" t="s">
        <v>35</v>
      </c>
      <c r="B31" s="117"/>
      <c r="C31" s="117"/>
      <c r="D31" s="118"/>
      <c r="E31" s="20"/>
      <c r="F31" s="20"/>
      <c r="G31" s="20"/>
      <c r="H31" s="20"/>
      <c r="I31" s="1" t="s">
        <v>36</v>
      </c>
      <c r="J31" s="20"/>
      <c r="K31" s="20"/>
      <c r="L31" s="20"/>
      <c r="M31" s="20"/>
      <c r="N31" s="1" t="s">
        <v>36</v>
      </c>
      <c r="O31" s="143" t="s">
        <v>37</v>
      </c>
      <c r="P31" s="144"/>
      <c r="Q31" s="147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16" t="s">
        <v>38</v>
      </c>
      <c r="B32" s="117"/>
      <c r="C32" s="117"/>
      <c r="D32" s="118"/>
      <c r="E32" s="1" t="s">
        <v>39</v>
      </c>
      <c r="F32" s="20"/>
      <c r="G32" s="20"/>
      <c r="H32" s="20"/>
      <c r="I32" s="20"/>
      <c r="J32" s="1" t="s">
        <v>39</v>
      </c>
      <c r="K32" s="20"/>
      <c r="L32" s="20"/>
      <c r="M32" s="20"/>
      <c r="N32" s="20"/>
      <c r="O32" s="145"/>
      <c r="P32" s="146"/>
      <c r="Q32" s="148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3" t="s">
        <v>40</v>
      </c>
      <c r="B33" s="24" t="s">
        <v>41</v>
      </c>
      <c r="C33" s="25">
        <f>SUM(E33:X33)</f>
        <v>130</v>
      </c>
      <c r="D33" s="26" t="s">
        <v>42</v>
      </c>
      <c r="E33" s="1">
        <v>88</v>
      </c>
      <c r="F33" s="1">
        <v>5</v>
      </c>
      <c r="G33" s="1">
        <v>2</v>
      </c>
      <c r="H33" s="1">
        <v>3</v>
      </c>
      <c r="I33" s="1">
        <v>2</v>
      </c>
      <c r="J33" s="1">
        <v>17</v>
      </c>
      <c r="K33" s="1">
        <v>6</v>
      </c>
      <c r="L33" s="1">
        <v>2</v>
      </c>
      <c r="M33" s="1">
        <v>3</v>
      </c>
      <c r="N33" s="1">
        <v>2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6" t="s">
        <v>43</v>
      </c>
      <c r="B34" s="117"/>
      <c r="C34" s="117"/>
      <c r="D34" s="11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6" t="s">
        <v>44</v>
      </c>
      <c r="B35" s="117"/>
      <c r="C35" s="117"/>
      <c r="D35" s="11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6" t="s">
        <v>45</v>
      </c>
      <c r="B36" s="117"/>
      <c r="C36" s="117"/>
      <c r="D36" s="118"/>
      <c r="E36" s="4" t="s">
        <v>46</v>
      </c>
      <c r="F36" s="4" t="s">
        <v>47</v>
      </c>
      <c r="G36" s="4" t="s">
        <v>47</v>
      </c>
      <c r="H36" s="4" t="s">
        <v>47</v>
      </c>
      <c r="I36" s="4" t="s">
        <v>47</v>
      </c>
      <c r="J36" s="4" t="s">
        <v>47</v>
      </c>
      <c r="K36" s="4" t="s">
        <v>46</v>
      </c>
      <c r="L36" s="4" t="s">
        <v>46</v>
      </c>
      <c r="M36" s="4" t="s">
        <v>46</v>
      </c>
      <c r="N36" s="4" t="s">
        <v>46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30:B30"/>
    <mergeCell ref="C30:D30"/>
    <mergeCell ref="A28:B28"/>
    <mergeCell ref="C28:D28"/>
    <mergeCell ref="A29:B29"/>
    <mergeCell ref="C23:D23"/>
    <mergeCell ref="A24:B24"/>
    <mergeCell ref="C24:D24"/>
    <mergeCell ref="A23:B23"/>
    <mergeCell ref="C27:D27"/>
    <mergeCell ref="A21:B21"/>
    <mergeCell ref="C21:D21"/>
    <mergeCell ref="A22:B22"/>
    <mergeCell ref="C22:D22"/>
    <mergeCell ref="A20:B20"/>
    <mergeCell ref="C20:D20"/>
    <mergeCell ref="A19:B19"/>
    <mergeCell ref="C19:D19"/>
    <mergeCell ref="A16:D16"/>
    <mergeCell ref="A17:B17"/>
    <mergeCell ref="C17:D17"/>
    <mergeCell ref="A18:B18"/>
    <mergeCell ref="C18:D18"/>
    <mergeCell ref="A13:B13"/>
    <mergeCell ref="A14:D14"/>
    <mergeCell ref="A15:D15"/>
    <mergeCell ref="A11:B11"/>
    <mergeCell ref="A12:B12"/>
    <mergeCell ref="C13:D13"/>
    <mergeCell ref="C12:D12"/>
    <mergeCell ref="C11:D11"/>
    <mergeCell ref="C4:D4"/>
    <mergeCell ref="A9:B9"/>
    <mergeCell ref="C9:D9"/>
    <mergeCell ref="A10:B10"/>
    <mergeCell ref="C10:D10"/>
    <mergeCell ref="A7:B7"/>
    <mergeCell ref="C7:D7"/>
    <mergeCell ref="A8:B8"/>
    <mergeCell ref="C8:D8"/>
    <mergeCell ref="T1:U1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Q31:Q32"/>
    <mergeCell ref="A32:D32"/>
    <mergeCell ref="A1:E1"/>
    <mergeCell ref="F1:G1"/>
    <mergeCell ref="H1:M1"/>
    <mergeCell ref="N1:O1"/>
    <mergeCell ref="A31:D31"/>
    <mergeCell ref="O31:P32"/>
    <mergeCell ref="P1:S1"/>
    <mergeCell ref="A5:B5"/>
    <mergeCell ref="C5:D5"/>
    <mergeCell ref="A6:B6"/>
    <mergeCell ref="C6:D6"/>
    <mergeCell ref="A3:B3"/>
    <mergeCell ref="C3:D3"/>
    <mergeCell ref="A4:B4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7" orientation="portrait" useFirstPageNumber="1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2026-02-16</vt:lpstr>
      <vt:lpstr>250096</vt:lpstr>
      <vt:lpstr>旧250096</vt:lpstr>
      <vt:lpstr>'2026-02-16'!Print_Area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2025-06-04T07:33:03Z</cp:lastPrinted>
  <dcterms:created xsi:type="dcterms:W3CDTF">2003-01-27T00:57:01Z</dcterms:created>
  <dcterms:modified xsi:type="dcterms:W3CDTF">2026-02-26T09:33:59Z</dcterms:modified>
</cp:coreProperties>
</file>