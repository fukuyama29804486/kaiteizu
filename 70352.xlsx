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DD933A72-D9F1-47FB-A1EE-A0D0338EA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0" sheetId="2" r:id="rId1"/>
    <sheet name="420352" sheetId="1" r:id="rId2"/>
  </sheets>
  <definedNames>
    <definedName name="_xlnm.Print_Area" localSheetId="0">'2026-02-10'!$A$1:$X$38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2" l="1"/>
  <c r="AA34" i="2"/>
  <c r="C34" i="2"/>
  <c r="AA15" i="2"/>
  <c r="AD15" i="2" s="1"/>
  <c r="AA14" i="2"/>
  <c r="AD14" i="2" s="1"/>
  <c r="C35" i="2"/>
  <c r="C33" i="1"/>
</calcChain>
</file>

<file path=xl/sharedStrings.xml><?xml version="1.0" encoding="utf-8"?>
<sst xmlns="http://schemas.openxmlformats.org/spreadsheetml/2006/main" count="98" uniqueCount="57">
  <si>
    <t>規制番号　名称</t>
    <rPh sb="0" eb="2">
      <t>キセイ</t>
    </rPh>
    <rPh sb="2" eb="4">
      <t>バンゴウ</t>
    </rPh>
    <rPh sb="5" eb="7">
      <t>メイショウ</t>
    </rPh>
    <phoneticPr fontId="2"/>
  </si>
  <si>
    <t>東福山駅口</t>
    <rPh sb="0" eb="3">
      <t>ヒガシフクヤマ</t>
    </rPh>
    <rPh sb="3" eb="4">
      <t>エキ</t>
    </rPh>
    <rPh sb="4" eb="5">
      <t>グチ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</si>
  <si>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</si>
  <si>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</si>
  <si>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</si>
  <si>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</si>
  <si>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</si>
  <si>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 xml:space="preserve"> </t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</si>
  <si>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</si>
  <si>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</si>
  <si>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</si>
  <si>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</si>
  <si>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</si>
  <si>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</si>
  <si>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</si>
  <si>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</si>
  <si>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</si>
  <si>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</si>
  <si>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</si>
  <si>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</si>
  <si>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 xml:space="preserve">  １Ｐ</t>
    <phoneticPr fontId="2"/>
  </si>
  <si>
    <t>[ 1P ]</t>
    <phoneticPr fontId="2"/>
  </si>
  <si>
    <t>１</t>
    <phoneticPr fontId="2"/>
  </si>
  <si>
    <t>[ 1V ]</t>
    <phoneticPr fontId="2"/>
  </si>
  <si>
    <t xml:space="preserve"> ２Ｐ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</si>
  <si>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</si>
  <si>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</si>
  <si>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</si>
  <si>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</si>
  <si>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</si>
  <si>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</si>
  <si>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</si>
  <si>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</si>
  <si>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</si>
  <si>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</si>
  <si>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</si>
  <si>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>7-0352</t>
    <phoneticPr fontId="2"/>
  </si>
  <si>
    <t>070352</t>
    <phoneticPr fontId="2"/>
  </si>
  <si>
    <t>　</t>
    <phoneticPr fontId="2"/>
  </si>
  <si>
    <t>ＵＣ－ＵＤ（ＴＣＵ）</t>
    <phoneticPr fontId="2"/>
  </si>
  <si>
    <t>3N1849</t>
    <phoneticPr fontId="2"/>
  </si>
  <si>
    <t>11:25～</t>
    <phoneticPr fontId="2"/>
  </si>
  <si>
    <t>(S9-TCU)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</si>
  <si>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</si>
  <si>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</si>
  <si>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</si>
  <si>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</si>
  <si>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</si>
  <si>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ＰＵ</t>
    <phoneticPr fontId="2"/>
  </si>
  <si>
    <t>ＰＬ</t>
    <phoneticPr fontId="2"/>
  </si>
  <si>
    <t>東福山駅口</t>
    <rPh sb="0" eb="1">
      <t>ヒガシ</t>
    </rPh>
    <rPh sb="1" eb="4">
      <t>フクヤマエキ</t>
    </rPh>
    <rPh sb="4" eb="5">
      <t>クチ</t>
    </rPh>
    <phoneticPr fontId="2"/>
  </si>
  <si>
    <t>07-0352</t>
    <phoneticPr fontId="2"/>
  </si>
  <si>
    <t>70352</t>
    <phoneticPr fontId="2"/>
  </si>
  <si>
    <t>１Ｐ</t>
    <phoneticPr fontId="2"/>
  </si>
  <si>
    <t>２Ｐ</t>
    <phoneticPr fontId="2"/>
  </si>
  <si>
    <t>日本信号</t>
    <rPh sb="0" eb="4">
      <t>ニホンシンゴウ</t>
    </rPh>
    <phoneticPr fontId="2"/>
  </si>
  <si>
    <t>K0000001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</si>
</sst>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81" fontId="9" fillId="0" borderId="0" xfId="0" applyNumberFormat="1" applyFont="1" applyAlignment="1">
      <alignment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right" vertical="center"/>
    </xf>
    <xf numFmtId="177" fontId="10" fillId="0" borderId="8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4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2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9" fontId="9" fillId="0" borderId="14" xfId="0" quotePrefix="1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4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2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49" fontId="3" fillId="0" borderId="13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57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180976</xdr:colOff>
      <xdr:row>4</xdr:row>
      <xdr:rowOff>133351</xdr:rowOff>
    </xdr:from>
    <xdr:to>
      <xdr:col>21</xdr:col>
      <xdr:colOff>299771</xdr:colOff>
      <xdr:row>14</xdr:row>
      <xdr:rowOff>66676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567EA202-EB27-4B02-87AD-7D4DD0247B46}"/>
            </a:ext>
          </a:extLst>
        </xdr:cNvPr>
        <xdr:cNvGrpSpPr>
          <a:grpSpLocks noChangeAspect="1"/>
        </xdr:cNvGrpSpPr>
      </xdr:nvGrpSpPr>
      <xdr:grpSpPr>
        <a:xfrm>
          <a:off x="923926" y="704851"/>
          <a:ext cx="6033820" cy="3867150"/>
          <a:chOff x="8086725" y="1781175"/>
          <a:chExt cx="12944475" cy="8296275"/>
        </a:xfrm>
      </xdr:grpSpPr>
      <xdr:pic>
        <xdr:nvPicPr>
          <xdr:cNvPr id="101" name="図 100">
            <a:extLst>
              <a:ext uri="{FF2B5EF4-FFF2-40B4-BE49-F238E27FC236}">
                <a16:creationId xmlns:a16="http://schemas.microsoft.com/office/drawing/2014/main" id="{8F45A71A-D70B-48F1-9AAA-DC60B16A1A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086725" y="1781175"/>
            <a:ext cx="12944475" cy="8296275"/>
          </a:xfrm>
          <a:prstGeom prst="rect">
            <a:avLst/>
          </a:prstGeom>
        </xdr:spPr>
      </xdr:pic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FC94B962-ADD1-47C3-A282-15FA09249909}"/>
              </a:ext>
            </a:extLst>
          </xdr:cNvPr>
          <xdr:cNvSpPr/>
        </xdr:nvSpPr>
        <xdr:spPr bwMode="auto">
          <a:xfrm>
            <a:off x="8086725" y="1781175"/>
            <a:ext cx="4171950" cy="1447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AC425B3-945B-4001-8891-36C779E4E8EF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3</xdr:col>
      <xdr:colOff>57150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FD10561F-1E59-42B3-9565-CC857A724AD0}"/>
            </a:ext>
          </a:extLst>
        </xdr:cNvPr>
        <xdr:cNvSpPr>
          <a:spLocks noChangeShapeType="1"/>
        </xdr:cNvSpPr>
      </xdr:nvSpPr>
      <xdr:spPr bwMode="auto">
        <a:xfrm>
          <a:off x="866775" y="6810375"/>
          <a:ext cx="3238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482F29D0-4929-46CA-97EE-568B8C692785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7E35B80-249E-47D0-9519-F90964530D4D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87A7C882-41D0-4CE5-9AAF-A6160A5EC94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7CED2E29-0707-480C-A54B-AFF31F7E56C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76AC89FC-96AC-4107-AF9A-4002460DC2A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BE8D5D58-B32A-4711-ACD7-2ABEA4EEC3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BD59E86-E922-4B46-8708-0E3CC58A8DE8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35D1E40F-28F8-40BA-B67E-3EB5FABD32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20416657-641C-42D7-92FE-1FFA2F9D947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2DB46301-200A-48F8-AA88-9C6C8F801828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0E0412-4D24-4A32-95B3-F14D06DDA48C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893BB32E-7385-42CD-A19E-73A5F914E67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FCE31BE1-AB6C-4499-8EA5-99B9D060BA1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9" name="Freeform 18">
          <a:extLst>
            <a:ext uri="{FF2B5EF4-FFF2-40B4-BE49-F238E27FC236}">
              <a16:creationId xmlns:a16="http://schemas.microsoft.com/office/drawing/2014/main" id="{1C7FDF6E-DD39-4E8E-A304-D527126421B9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CC7A164-12CD-46F5-A059-78182A5DA4FE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7397C448-DC52-4C0D-895B-5153B985A3D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93E8AFFF-BF76-4401-80A3-4CAB5D024D1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FA87777D-8893-4DED-B2D2-E6B9B29657C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4B6DC4DC-A366-443A-BBE2-2EC5D9D807B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9B0A418E-48EB-489A-B12F-E67592E33B01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id="{21EB19AA-DFA4-42BA-995F-65011217FCE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683A196F-E108-4DC1-BDFF-5EB95437395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9F1A43FB-0794-4886-BEF5-B5027D097946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id="{58636C81-E4BE-4B64-8C39-1E43F576542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6A0D7E77-EB74-4AF9-91A4-00EF4505C1B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65A4B173-CDC3-478F-B8E1-199B8DFC62C2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1571625" cy="47625"/>
          <a:chOff x="158" y="715"/>
          <a:chExt cx="33" cy="5"/>
        </a:xfrm>
      </xdr:grpSpPr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AF0AD664-8274-4EFD-AFD1-D9AF779AC22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id="{7B5C845D-5310-4560-B885-7643506B852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A2AAFCE2-F400-4ADC-89FC-A518CF869A3A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FD34D72B-F939-4CD6-A40A-496B40D11F16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89BF6E5-AA14-44A0-83B5-01729C07719A}"/>
            </a:ext>
          </a:extLst>
        </xdr:cNvPr>
        <xdr:cNvGrpSpPr>
          <a:grpSpLocks/>
        </xdr:cNvGrpSpPr>
      </xdr:nvGrpSpPr>
      <xdr:grpSpPr bwMode="auto">
        <a:xfrm>
          <a:off x="1200150" y="7553325"/>
          <a:ext cx="1685925" cy="47625"/>
          <a:chOff x="158" y="715"/>
          <a:chExt cx="33" cy="5"/>
        </a:xfrm>
      </xdr:grpSpPr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2E674359-D40C-4929-B53B-C5F0720E965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C21527D2-68DB-4FB4-94AD-9EB005E29DA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17</xdr:row>
      <xdr:rowOff>257175</xdr:rowOff>
    </xdr:from>
    <xdr:to>
      <xdr:col>8</xdr:col>
      <xdr:colOff>28575</xdr:colOff>
      <xdr:row>17</xdr:row>
      <xdr:rowOff>1266825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87EA18B9-4EE1-4481-A6BD-AC22FB746026}"/>
            </a:ext>
          </a:extLst>
        </xdr:cNvPr>
        <xdr:cNvGrpSpPr/>
      </xdr:nvGrpSpPr>
      <xdr:grpSpPr>
        <a:xfrm>
          <a:off x="1600200" y="5448300"/>
          <a:ext cx="1000125" cy="1009650"/>
          <a:chOff x="3181350" y="5448300"/>
          <a:chExt cx="1000125" cy="1009650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BA6201-5641-4F71-89B0-EF4738392076}"/>
              </a:ext>
            </a:extLst>
          </xdr:cNvPr>
          <xdr:cNvGrpSpPr>
            <a:grpSpLocks/>
          </xdr:cNvGrpSpPr>
        </xdr:nvGrpSpPr>
        <xdr:grpSpPr bwMode="auto">
          <a:xfrm rot="5400000">
            <a:off x="3786187" y="5910263"/>
            <a:ext cx="733425" cy="57150"/>
            <a:chOff x="123" y="549"/>
            <a:chExt cx="77" cy="6"/>
          </a:xfrm>
        </xdr:grpSpPr>
        <xdr:sp macro="" textlink="">
          <xdr:nvSpPr>
            <xdr:cNvPr id="40" name="Line 39">
              <a:extLst>
                <a:ext uri="{FF2B5EF4-FFF2-40B4-BE49-F238E27FC236}">
                  <a16:creationId xmlns:a16="http://schemas.microsoft.com/office/drawing/2014/main" id="{7D98C90B-00DB-4804-BF7D-6FA443BAD9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Freeform 40">
              <a:extLst>
                <a:ext uri="{FF2B5EF4-FFF2-40B4-BE49-F238E27FC236}">
                  <a16:creationId xmlns:a16="http://schemas.microsoft.com/office/drawing/2014/main" id="{3CE37331-3039-46EF-9E89-9E6F9BBE41B1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2" name="Freeform 41">
              <a:extLst>
                <a:ext uri="{FF2B5EF4-FFF2-40B4-BE49-F238E27FC236}">
                  <a16:creationId xmlns:a16="http://schemas.microsoft.com/office/drawing/2014/main" id="{C313B689-6125-46CA-A80A-2D8DF040A446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00B19B8B-B100-4C59-99FE-8D9909FA25AE}"/>
              </a:ext>
            </a:extLst>
          </xdr:cNvPr>
          <xdr:cNvGrpSpPr>
            <a:grpSpLocks/>
          </xdr:cNvGrpSpPr>
        </xdr:nvGrpSpPr>
        <xdr:grpSpPr bwMode="auto">
          <a:xfrm>
            <a:off x="3324225" y="5448300"/>
            <a:ext cx="695325" cy="1009650"/>
            <a:chOff x="336" y="565"/>
            <a:chExt cx="73" cy="106"/>
          </a:xfrm>
        </xdr:grpSpPr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05618488-8380-494E-A893-91FCCF4D31B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6" y="565"/>
              <a:ext cx="32" cy="106"/>
              <a:chOff x="369" y="565"/>
              <a:chExt cx="32" cy="106"/>
            </a:xfrm>
          </xdr:grpSpPr>
          <xdr:sp macro="" textlink="">
            <xdr:nvSpPr>
              <xdr:cNvPr id="54" name="Line 44">
                <a:extLst>
                  <a:ext uri="{FF2B5EF4-FFF2-40B4-BE49-F238E27FC236}">
                    <a16:creationId xmlns:a16="http://schemas.microsoft.com/office/drawing/2014/main" id="{AD779DFA-8357-4900-8739-AC5FB9AD24A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333" y="619"/>
                <a:ext cx="10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5" name="Freeform 45">
                <a:extLst>
                  <a:ext uri="{FF2B5EF4-FFF2-40B4-BE49-F238E27FC236}">
                    <a16:creationId xmlns:a16="http://schemas.microsoft.com/office/drawing/2014/main" id="{C6EB6B7C-456D-4786-AEE9-2026D15EE8E1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381" y="566"/>
                <a:ext cx="7" cy="6"/>
              </a:xfrm>
              <a:custGeom>
                <a:avLst/>
                <a:gdLst>
                  <a:gd name="T0" fmla="*/ 0 w 181"/>
                  <a:gd name="T1" fmla="*/ 204 h 204"/>
                  <a:gd name="T2" fmla="*/ 181 w 181"/>
                  <a:gd name="T3" fmla="*/ 102 h 204"/>
                  <a:gd name="T4" fmla="*/ 0 w 181"/>
                  <a:gd name="T5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181" h="204">
                    <a:moveTo>
                      <a:pt x="0" y="204"/>
                    </a:moveTo>
                    <a:lnTo>
                      <a:pt x="181" y="102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6" name="Freeform 46">
                <a:extLst>
                  <a:ext uri="{FF2B5EF4-FFF2-40B4-BE49-F238E27FC236}">
                    <a16:creationId xmlns:a16="http://schemas.microsoft.com/office/drawing/2014/main" id="{0146A190-F93E-4ECE-AB81-D0D9F0FE6A35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377" y="639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7" name="Line 47">
                <a:extLst>
                  <a:ext uri="{FF2B5EF4-FFF2-40B4-BE49-F238E27FC236}">
                    <a16:creationId xmlns:a16="http://schemas.microsoft.com/office/drawing/2014/main" id="{DAEF7BDB-E6AE-49E4-B52C-8C81BD8FCD0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V="1">
                <a:off x="373" y="635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8" name="Freeform 48">
                <a:extLst>
                  <a:ext uri="{FF2B5EF4-FFF2-40B4-BE49-F238E27FC236}">
                    <a16:creationId xmlns:a16="http://schemas.microsoft.com/office/drawing/2014/main" id="{03C324F2-DDD1-44EC-B058-6AFC96BD1B97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369" y="635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9" name="Freeform 49">
                <a:extLst>
                  <a:ext uri="{FF2B5EF4-FFF2-40B4-BE49-F238E27FC236}">
                    <a16:creationId xmlns:a16="http://schemas.microsoft.com/office/drawing/2014/main" id="{F99364EA-285D-4631-B3BC-D715DF4ECB73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385" y="628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60" name="Line 50">
                <a:extLst>
                  <a:ext uri="{FF2B5EF4-FFF2-40B4-BE49-F238E27FC236}">
                    <a16:creationId xmlns:a16="http://schemas.microsoft.com/office/drawing/2014/main" id="{3AB57008-C3B0-44EF-A4BD-F01960672C4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396" y="624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61" name="Freeform 51">
                <a:extLst>
                  <a:ext uri="{FF2B5EF4-FFF2-40B4-BE49-F238E27FC236}">
                    <a16:creationId xmlns:a16="http://schemas.microsoft.com/office/drawing/2014/main" id="{216A0E44-3214-4A1B-894C-47166B26EBEB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394" y="624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45" name="Group 52">
              <a:extLst>
                <a:ext uri="{FF2B5EF4-FFF2-40B4-BE49-F238E27FC236}">
                  <a16:creationId xmlns:a16="http://schemas.microsoft.com/office/drawing/2014/main" id="{259A1759-EDBD-46CE-8571-7385EBED039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77" y="566"/>
              <a:ext cx="32" cy="105"/>
              <a:chOff x="410" y="566"/>
              <a:chExt cx="32" cy="105"/>
            </a:xfrm>
          </xdr:grpSpPr>
          <xdr:sp macro="" textlink="">
            <xdr:nvSpPr>
              <xdr:cNvPr id="46" name="Line 53">
                <a:extLst>
                  <a:ext uri="{FF2B5EF4-FFF2-40B4-BE49-F238E27FC236}">
                    <a16:creationId xmlns:a16="http://schemas.microsoft.com/office/drawing/2014/main" id="{7C7361B1-3718-480B-AF87-D57E3A4A315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374" y="618"/>
                <a:ext cx="10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47" name="Freeform 54">
                <a:extLst>
                  <a:ext uri="{FF2B5EF4-FFF2-40B4-BE49-F238E27FC236}">
                    <a16:creationId xmlns:a16="http://schemas.microsoft.com/office/drawing/2014/main" id="{1759A9AD-4EDC-418C-A832-5ACFA391D034}"/>
                  </a:ext>
                </a:extLst>
              </xdr:cNvPr>
              <xdr:cNvSpPr>
                <a:spLocks/>
              </xdr:cNvSpPr>
            </xdr:nvSpPr>
            <xdr:spPr bwMode="auto">
              <a:xfrm rot="5400000">
                <a:off x="422" y="665"/>
                <a:ext cx="7" cy="6"/>
              </a:xfrm>
              <a:custGeom>
                <a:avLst/>
                <a:gdLst>
                  <a:gd name="T0" fmla="*/ 0 w 181"/>
                  <a:gd name="T1" fmla="*/ 204 h 204"/>
                  <a:gd name="T2" fmla="*/ 181 w 181"/>
                  <a:gd name="T3" fmla="*/ 102 h 204"/>
                  <a:gd name="T4" fmla="*/ 0 w 181"/>
                  <a:gd name="T5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181" h="204">
                    <a:moveTo>
                      <a:pt x="0" y="204"/>
                    </a:moveTo>
                    <a:lnTo>
                      <a:pt x="181" y="102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48" name="Freeform 55">
                <a:extLst>
                  <a:ext uri="{FF2B5EF4-FFF2-40B4-BE49-F238E27FC236}">
                    <a16:creationId xmlns:a16="http://schemas.microsoft.com/office/drawing/2014/main" id="{E66407D5-3828-453C-8BA8-230C07D8EE75}"/>
                  </a:ext>
                </a:extLst>
              </xdr:cNvPr>
              <xdr:cNvSpPr>
                <a:spLocks/>
              </xdr:cNvSpPr>
            </xdr:nvSpPr>
            <xdr:spPr bwMode="auto">
              <a:xfrm rot="5400000">
                <a:off x="426" y="590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49" name="Line 56">
                <a:extLst>
                  <a:ext uri="{FF2B5EF4-FFF2-40B4-BE49-F238E27FC236}">
                    <a16:creationId xmlns:a16="http://schemas.microsoft.com/office/drawing/2014/main" id="{F5C89B6D-6CCF-4B3A-81DF-A726207DE61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 flipV="1">
                <a:off x="438" y="593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0" name="Freeform 57">
                <a:extLst>
                  <a:ext uri="{FF2B5EF4-FFF2-40B4-BE49-F238E27FC236}">
                    <a16:creationId xmlns:a16="http://schemas.microsoft.com/office/drawing/2014/main" id="{029078BD-F7B8-4AB8-9461-A99F50F0E5B1}"/>
                  </a:ext>
                </a:extLst>
              </xdr:cNvPr>
              <xdr:cNvSpPr>
                <a:spLocks/>
              </xdr:cNvSpPr>
            </xdr:nvSpPr>
            <xdr:spPr bwMode="auto">
              <a:xfrm rot="5400000">
                <a:off x="435" y="593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1" name="Freeform 58">
                <a:extLst>
                  <a:ext uri="{FF2B5EF4-FFF2-40B4-BE49-F238E27FC236}">
                    <a16:creationId xmlns:a16="http://schemas.microsoft.com/office/drawing/2014/main" id="{406DAD78-B0C1-4C69-86C5-5FF9782B98F1}"/>
                  </a:ext>
                </a:extLst>
              </xdr:cNvPr>
              <xdr:cNvSpPr>
                <a:spLocks/>
              </xdr:cNvSpPr>
            </xdr:nvSpPr>
            <xdr:spPr bwMode="auto">
              <a:xfrm rot="5400000">
                <a:off x="419" y="601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" name="Line 59">
                <a:extLst>
                  <a:ext uri="{FF2B5EF4-FFF2-40B4-BE49-F238E27FC236}">
                    <a16:creationId xmlns:a16="http://schemas.microsoft.com/office/drawing/2014/main" id="{9CE5EC32-C56C-47E8-BD67-1537D01ED07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5400000">
                <a:off x="416" y="605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53" name="Freeform 60">
                <a:extLst>
                  <a:ext uri="{FF2B5EF4-FFF2-40B4-BE49-F238E27FC236}">
                    <a16:creationId xmlns:a16="http://schemas.microsoft.com/office/drawing/2014/main" id="{1C30EE0A-247D-494A-A00D-37A93D5FEE56}"/>
                  </a:ext>
                </a:extLst>
              </xdr:cNvPr>
              <xdr:cNvSpPr>
                <a:spLocks/>
              </xdr:cNvSpPr>
            </xdr:nvSpPr>
            <xdr:spPr bwMode="auto">
              <a:xfrm rot="5400000">
                <a:off x="410" y="605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6AD7FD55-5CA9-440E-987C-677A6BF6CF4C}"/>
              </a:ext>
            </a:extLst>
          </xdr:cNvPr>
          <xdr:cNvGrpSpPr>
            <a:grpSpLocks/>
          </xdr:cNvGrpSpPr>
        </xdr:nvGrpSpPr>
        <xdr:grpSpPr bwMode="auto">
          <a:xfrm rot="5400000">
            <a:off x="2843212" y="5910263"/>
            <a:ext cx="733425" cy="57150"/>
            <a:chOff x="123" y="549"/>
            <a:chExt cx="77" cy="6"/>
          </a:xfrm>
        </xdr:grpSpPr>
        <xdr:sp macro="" textlink="">
          <xdr:nvSpPr>
            <xdr:cNvPr id="63" name="Line 62">
              <a:extLst>
                <a:ext uri="{FF2B5EF4-FFF2-40B4-BE49-F238E27FC236}">
                  <a16:creationId xmlns:a16="http://schemas.microsoft.com/office/drawing/2014/main" id="{752FDACC-E8E2-4B50-85D8-E73B077B08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" name="Freeform 63">
              <a:extLst>
                <a:ext uri="{FF2B5EF4-FFF2-40B4-BE49-F238E27FC236}">
                  <a16:creationId xmlns:a16="http://schemas.microsoft.com/office/drawing/2014/main" id="{A55724F8-1F70-46B5-B90D-009C0023B5FC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5" name="Freeform 64">
              <a:extLst>
                <a:ext uri="{FF2B5EF4-FFF2-40B4-BE49-F238E27FC236}">
                  <a16:creationId xmlns:a16="http://schemas.microsoft.com/office/drawing/2014/main" id="{4AC058B6-2817-401C-83F5-038884D008D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9</xdr:col>
      <xdr:colOff>266700</xdr:colOff>
      <xdr:row>17</xdr:row>
      <xdr:rowOff>314325</xdr:rowOff>
    </xdr:from>
    <xdr:to>
      <xdr:col>13</xdr:col>
      <xdr:colOff>19050</xdr:colOff>
      <xdr:row>17</xdr:row>
      <xdr:rowOff>1352550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114C623D-96EE-477B-A2D1-8852BF7B9A66}"/>
            </a:ext>
          </a:extLst>
        </xdr:cNvPr>
        <xdr:cNvGrpSpPr/>
      </xdr:nvGrpSpPr>
      <xdr:grpSpPr>
        <a:xfrm>
          <a:off x="3152775" y="5505450"/>
          <a:ext cx="1009650" cy="1038225"/>
          <a:chOff x="1438275" y="5419725"/>
          <a:chExt cx="1009650" cy="1038225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40A9ED0F-7DC5-4500-B9E6-254EAAA19AFA}"/>
              </a:ext>
            </a:extLst>
          </xdr:cNvPr>
          <xdr:cNvGrpSpPr>
            <a:grpSpLocks/>
          </xdr:cNvGrpSpPr>
        </xdr:nvGrpSpPr>
        <xdr:grpSpPr bwMode="auto">
          <a:xfrm>
            <a:off x="1447800" y="5629275"/>
            <a:ext cx="1000125" cy="304800"/>
            <a:chOff x="110" y="567"/>
            <a:chExt cx="105" cy="32"/>
          </a:xfrm>
        </xdr:grpSpPr>
        <xdr:sp macro="" textlink="">
          <xdr:nvSpPr>
            <xdr:cNvPr id="67" name="Line 66">
              <a:extLst>
                <a:ext uri="{FF2B5EF4-FFF2-40B4-BE49-F238E27FC236}">
                  <a16:creationId xmlns:a16="http://schemas.microsoft.com/office/drawing/2014/main" id="{7A0F614E-43A0-4CC1-9FCF-830490C675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8" name="Freeform 67">
              <a:extLst>
                <a:ext uri="{FF2B5EF4-FFF2-40B4-BE49-F238E27FC236}">
                  <a16:creationId xmlns:a16="http://schemas.microsoft.com/office/drawing/2014/main" id="{F12EB8F5-6461-4526-A433-4462CDEF4F26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9" name="Freeform 68">
              <a:extLst>
                <a:ext uri="{FF2B5EF4-FFF2-40B4-BE49-F238E27FC236}">
                  <a16:creationId xmlns:a16="http://schemas.microsoft.com/office/drawing/2014/main" id="{53CA94D8-F8D4-4347-B290-0B248953DC04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0" name="Line 69">
              <a:extLst>
                <a:ext uri="{FF2B5EF4-FFF2-40B4-BE49-F238E27FC236}">
                  <a16:creationId xmlns:a16="http://schemas.microsoft.com/office/drawing/2014/main" id="{3C9BAFA9-867B-4B60-9CBF-30BA44CFDA9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" name="Freeform 70">
              <a:extLst>
                <a:ext uri="{FF2B5EF4-FFF2-40B4-BE49-F238E27FC236}">
                  <a16:creationId xmlns:a16="http://schemas.microsoft.com/office/drawing/2014/main" id="{A4494B36-692C-41A6-9EB8-619FE24D3017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2" name="Freeform 71">
              <a:extLst>
                <a:ext uri="{FF2B5EF4-FFF2-40B4-BE49-F238E27FC236}">
                  <a16:creationId xmlns:a16="http://schemas.microsoft.com/office/drawing/2014/main" id="{62561FA8-B0B8-4D44-A419-CF9BCCA944D4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3" name="Line 72">
              <a:extLst>
                <a:ext uri="{FF2B5EF4-FFF2-40B4-BE49-F238E27FC236}">
                  <a16:creationId xmlns:a16="http://schemas.microsoft.com/office/drawing/2014/main" id="{A390A2C3-F9F3-4A2A-9171-1824ED5BA3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4" name="Freeform 73">
              <a:extLst>
                <a:ext uri="{FF2B5EF4-FFF2-40B4-BE49-F238E27FC236}">
                  <a16:creationId xmlns:a16="http://schemas.microsoft.com/office/drawing/2014/main" id="{F64EDF1D-D298-41A3-991D-6F7245FCB8DF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FD368565-6C6F-4C60-969B-B29A0655B7B0}"/>
              </a:ext>
            </a:extLst>
          </xdr:cNvPr>
          <xdr:cNvGrpSpPr>
            <a:grpSpLocks/>
          </xdr:cNvGrpSpPr>
        </xdr:nvGrpSpPr>
        <xdr:grpSpPr bwMode="auto">
          <a:xfrm>
            <a:off x="1438275" y="5991225"/>
            <a:ext cx="1009650" cy="304800"/>
            <a:chOff x="105" y="627"/>
            <a:chExt cx="106" cy="32"/>
          </a:xfrm>
        </xdr:grpSpPr>
        <xdr:sp macro="" textlink="">
          <xdr:nvSpPr>
            <xdr:cNvPr id="76" name="Line 75">
              <a:extLst>
                <a:ext uri="{FF2B5EF4-FFF2-40B4-BE49-F238E27FC236}">
                  <a16:creationId xmlns:a16="http://schemas.microsoft.com/office/drawing/2014/main" id="{1E9054FC-3E0E-4AB4-8C7F-480DCDA0F95A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07" y="64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Freeform 76">
              <a:extLst>
                <a:ext uri="{FF2B5EF4-FFF2-40B4-BE49-F238E27FC236}">
                  <a16:creationId xmlns:a16="http://schemas.microsoft.com/office/drawing/2014/main" id="{298C9984-76C5-4CBB-AC4A-D1AC5922E6C2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05" y="640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8" name="Freeform 77">
              <a:extLst>
                <a:ext uri="{FF2B5EF4-FFF2-40B4-BE49-F238E27FC236}">
                  <a16:creationId xmlns:a16="http://schemas.microsoft.com/office/drawing/2014/main" id="{C8ED23ED-430A-4CF8-82C3-EDFB9BAD5CA1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9" y="643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9" name="Line 78">
              <a:extLst>
                <a:ext uri="{FF2B5EF4-FFF2-40B4-BE49-F238E27FC236}">
                  <a16:creationId xmlns:a16="http://schemas.microsoft.com/office/drawing/2014/main" id="{D41DC13D-7C36-4E57-A5CC-DA0EDD3EA23F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79" y="651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0" name="Freeform 79">
              <a:extLst>
                <a:ext uri="{FF2B5EF4-FFF2-40B4-BE49-F238E27FC236}">
                  <a16:creationId xmlns:a16="http://schemas.microsoft.com/office/drawing/2014/main" id="{557445C8-BA4D-434A-AB2C-52EC350F99C9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75" y="652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1" name="Freeform 80">
              <a:extLst>
                <a:ext uri="{FF2B5EF4-FFF2-40B4-BE49-F238E27FC236}">
                  <a16:creationId xmlns:a16="http://schemas.microsoft.com/office/drawing/2014/main" id="{F1081A1F-7DCE-4C88-B314-09FEF2E35B23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8" y="63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2" name="Line 81">
              <a:extLst>
                <a:ext uri="{FF2B5EF4-FFF2-40B4-BE49-F238E27FC236}">
                  <a16:creationId xmlns:a16="http://schemas.microsoft.com/office/drawing/2014/main" id="{F6C1D254-7926-42AB-96B8-7EE49388C4FC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68" y="629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3" name="Freeform 82">
              <a:extLst>
                <a:ext uri="{FF2B5EF4-FFF2-40B4-BE49-F238E27FC236}">
                  <a16:creationId xmlns:a16="http://schemas.microsoft.com/office/drawing/2014/main" id="{8EC049AB-9178-4313-AE74-38C7ED5DD35A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64" y="627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AB4E6A3E-1027-4C37-8C39-ADA2275442A5}"/>
              </a:ext>
            </a:extLst>
          </xdr:cNvPr>
          <xdr:cNvGrpSpPr>
            <a:grpSpLocks/>
          </xdr:cNvGrpSpPr>
        </xdr:nvGrpSpPr>
        <xdr:grpSpPr bwMode="auto">
          <a:xfrm>
            <a:off x="1581150" y="5419725"/>
            <a:ext cx="733425" cy="57150"/>
            <a:chOff x="123" y="549"/>
            <a:chExt cx="77" cy="6"/>
          </a:xfrm>
        </xdr:grpSpPr>
        <xdr:sp macro="" textlink="">
          <xdr:nvSpPr>
            <xdr:cNvPr id="85" name="Line 84">
              <a:extLst>
                <a:ext uri="{FF2B5EF4-FFF2-40B4-BE49-F238E27FC236}">
                  <a16:creationId xmlns:a16="http://schemas.microsoft.com/office/drawing/2014/main" id="{B423F7AC-B3A2-4DE5-8218-233C71A286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6" name="Freeform 85">
              <a:extLst>
                <a:ext uri="{FF2B5EF4-FFF2-40B4-BE49-F238E27FC236}">
                  <a16:creationId xmlns:a16="http://schemas.microsoft.com/office/drawing/2014/main" id="{49A580AD-9336-4F07-A10F-9FB6CF34FBEC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87" name="Freeform 86">
              <a:extLst>
                <a:ext uri="{FF2B5EF4-FFF2-40B4-BE49-F238E27FC236}">
                  <a16:creationId xmlns:a16="http://schemas.microsoft.com/office/drawing/2014/main" id="{2752698A-207F-4993-B9FB-94371E57F212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267B5C16-1F81-49E8-B241-BAF29376306F}"/>
              </a:ext>
            </a:extLst>
          </xdr:cNvPr>
          <xdr:cNvGrpSpPr>
            <a:grpSpLocks/>
          </xdr:cNvGrpSpPr>
        </xdr:nvGrpSpPr>
        <xdr:grpSpPr bwMode="auto">
          <a:xfrm>
            <a:off x="1581150" y="6400800"/>
            <a:ext cx="733425" cy="57150"/>
            <a:chOff x="123" y="549"/>
            <a:chExt cx="77" cy="6"/>
          </a:xfrm>
        </xdr:grpSpPr>
        <xdr:sp macro="" textlink="">
          <xdr:nvSpPr>
            <xdr:cNvPr id="89" name="Line 88">
              <a:extLst>
                <a:ext uri="{FF2B5EF4-FFF2-40B4-BE49-F238E27FC236}">
                  <a16:creationId xmlns:a16="http://schemas.microsoft.com/office/drawing/2014/main" id="{78571E65-0599-4AEB-B18B-51078CD713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0" name="Freeform 89">
              <a:extLst>
                <a:ext uri="{FF2B5EF4-FFF2-40B4-BE49-F238E27FC236}">
                  <a16:creationId xmlns:a16="http://schemas.microsoft.com/office/drawing/2014/main" id="{64B6CB31-6ACD-45FA-A3EC-41BEF14640E5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91" name="Freeform 90">
              <a:extLst>
                <a:ext uri="{FF2B5EF4-FFF2-40B4-BE49-F238E27FC236}">
                  <a16:creationId xmlns:a16="http://schemas.microsoft.com/office/drawing/2014/main" id="{03D52EF6-71B8-4C32-8AA8-7A9E416284C1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123" y="5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92" name="Text Box 91">
          <a:extLst>
            <a:ext uri="{FF2B5EF4-FFF2-40B4-BE49-F238E27FC236}">
              <a16:creationId xmlns:a16="http://schemas.microsoft.com/office/drawing/2014/main" id="{A0BDE3FE-FAB7-4409-A766-5A9C3281621D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11</xdr:col>
      <xdr:colOff>9525</xdr:colOff>
      <xdr:row>17</xdr:row>
      <xdr:rowOff>1381125</xdr:rowOff>
    </xdr:from>
    <xdr:ext cx="288541" cy="150041"/>
    <xdr:sp macro="" textlink="">
      <xdr:nvSpPr>
        <xdr:cNvPr id="95" name="Text Box 96">
          <a:extLst>
            <a:ext uri="{FF2B5EF4-FFF2-40B4-BE49-F238E27FC236}">
              <a16:creationId xmlns:a16="http://schemas.microsoft.com/office/drawing/2014/main" id="{B06882F5-7ED5-477B-BA52-A691F865E5E6}"/>
            </a:ext>
          </a:extLst>
        </xdr:cNvPr>
        <xdr:cNvSpPr txBox="1">
          <a:spLocks noChangeArrowheads="1"/>
        </xdr:cNvSpPr>
      </xdr:nvSpPr>
      <xdr:spPr bwMode="auto">
        <a:xfrm>
          <a:off x="3524250" y="657225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16.4m</a:t>
          </a:r>
        </a:p>
      </xdr:txBody>
    </xdr:sp>
    <xdr:clientData/>
  </xdr:oneCellAnchor>
  <xdr:oneCellAnchor>
    <xdr:from>
      <xdr:col>4</xdr:col>
      <xdr:colOff>180975</xdr:colOff>
      <xdr:row>17</xdr:row>
      <xdr:rowOff>1209675</xdr:rowOff>
    </xdr:from>
    <xdr:ext cx="230832" cy="150041"/>
    <xdr:sp macro="" textlink="">
      <xdr:nvSpPr>
        <xdr:cNvPr id="96" name="Text Box 97">
          <a:extLst>
            <a:ext uri="{FF2B5EF4-FFF2-40B4-BE49-F238E27FC236}">
              <a16:creationId xmlns:a16="http://schemas.microsoft.com/office/drawing/2014/main" id="{A17A3208-875C-430A-B5FA-530A56E744EC}"/>
            </a:ext>
          </a:extLst>
        </xdr:cNvPr>
        <xdr:cNvSpPr txBox="1">
          <a:spLocks noChangeArrowheads="1"/>
        </xdr:cNvSpPr>
      </xdr:nvSpPr>
      <xdr:spPr bwMode="auto">
        <a:xfrm>
          <a:off x="1495425" y="6400800"/>
          <a:ext cx="230832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76200</xdr:colOff>
      <xdr:row>17</xdr:row>
      <xdr:rowOff>1238250</xdr:rowOff>
    </xdr:from>
    <xdr:ext cx="288541" cy="150041"/>
    <xdr:sp macro="" textlink="">
      <xdr:nvSpPr>
        <xdr:cNvPr id="97" name="Text Box 98">
          <a:extLst>
            <a:ext uri="{FF2B5EF4-FFF2-40B4-BE49-F238E27FC236}">
              <a16:creationId xmlns:a16="http://schemas.microsoft.com/office/drawing/2014/main" id="{C7678CF8-2500-4B19-8A69-41FD183B3BFB}"/>
            </a:ext>
          </a:extLst>
        </xdr:cNvPr>
        <xdr:cNvSpPr txBox="1">
          <a:spLocks noChangeArrowheads="1"/>
        </xdr:cNvSpPr>
      </xdr:nvSpPr>
      <xdr:spPr bwMode="auto">
        <a:xfrm>
          <a:off x="2962275" y="64293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171450</xdr:colOff>
      <xdr:row>17</xdr:row>
      <xdr:rowOff>114300</xdr:rowOff>
    </xdr:from>
    <xdr:ext cx="288541" cy="150041"/>
    <xdr:sp macro="" textlink="">
      <xdr:nvSpPr>
        <xdr:cNvPr id="98" name="Text Box 99">
          <a:extLst>
            <a:ext uri="{FF2B5EF4-FFF2-40B4-BE49-F238E27FC236}">
              <a16:creationId xmlns:a16="http://schemas.microsoft.com/office/drawing/2014/main" id="{81C77788-ABEF-4D69-9CB4-46D862247748}"/>
            </a:ext>
          </a:extLst>
        </xdr:cNvPr>
        <xdr:cNvSpPr txBox="1">
          <a:spLocks noChangeArrowheads="1"/>
        </xdr:cNvSpPr>
      </xdr:nvSpPr>
      <xdr:spPr bwMode="auto">
        <a:xfrm>
          <a:off x="2428875" y="53054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4</xdr:col>
      <xdr:colOff>171450</xdr:colOff>
      <xdr:row>17</xdr:row>
      <xdr:rowOff>123825</xdr:rowOff>
    </xdr:from>
    <xdr:ext cx="288541" cy="150041"/>
    <xdr:sp macro="" textlink="">
      <xdr:nvSpPr>
        <xdr:cNvPr id="99" name="Text Box 100">
          <a:extLst>
            <a:ext uri="{FF2B5EF4-FFF2-40B4-BE49-F238E27FC236}">
              <a16:creationId xmlns:a16="http://schemas.microsoft.com/office/drawing/2014/main" id="{C6137A85-6861-4AC0-B9B1-60794D805AF9}"/>
            </a:ext>
          </a:extLst>
        </xdr:cNvPr>
        <xdr:cNvSpPr txBox="1">
          <a:spLocks noChangeArrowheads="1"/>
        </xdr:cNvSpPr>
      </xdr:nvSpPr>
      <xdr:spPr bwMode="auto">
        <a:xfrm>
          <a:off x="1485900" y="531495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9</xdr:col>
      <xdr:colOff>66675</xdr:colOff>
      <xdr:row>17</xdr:row>
      <xdr:rowOff>276225</xdr:rowOff>
    </xdr:from>
    <xdr:ext cx="288541" cy="150041"/>
    <xdr:sp macro="" textlink="">
      <xdr:nvSpPr>
        <xdr:cNvPr id="100" name="Text Box 101">
          <a:extLst>
            <a:ext uri="{FF2B5EF4-FFF2-40B4-BE49-F238E27FC236}">
              <a16:creationId xmlns:a16="http://schemas.microsoft.com/office/drawing/2014/main" id="{0D2FBF18-AFC4-4A02-B90B-8EC199A37DBB}"/>
            </a:ext>
          </a:extLst>
        </xdr:cNvPr>
        <xdr:cNvSpPr txBox="1">
          <a:spLocks noChangeArrowheads="1"/>
        </xdr:cNvSpPr>
      </xdr:nvSpPr>
      <xdr:spPr bwMode="auto">
        <a:xfrm>
          <a:off x="2952750" y="5467350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7</xdr:col>
      <xdr:colOff>38100</xdr:colOff>
      <xdr:row>6</xdr:row>
      <xdr:rowOff>104775</xdr:rowOff>
    </xdr:from>
    <xdr:to>
      <xdr:col>9</xdr:col>
      <xdr:colOff>295275</xdr:colOff>
      <xdr:row>9</xdr:row>
      <xdr:rowOff>238125</xdr:rowOff>
    </xdr:to>
    <xdr:sp macro="" textlink="">
      <xdr:nvSpPr>
        <xdr:cNvPr id="102" name="Rectangle 103">
          <a:extLst>
            <a:ext uri="{FF2B5EF4-FFF2-40B4-BE49-F238E27FC236}">
              <a16:creationId xmlns:a16="http://schemas.microsoft.com/office/drawing/2014/main" id="{CB4BCDC2-5971-4D36-8565-50CBE2AB46A9}"/>
            </a:ext>
          </a:extLst>
        </xdr:cNvPr>
        <xdr:cNvSpPr>
          <a:spLocks noChangeArrowheads="1"/>
        </xdr:cNvSpPr>
      </xdr:nvSpPr>
      <xdr:spPr bwMode="auto">
        <a:xfrm>
          <a:off x="1857375" y="1057275"/>
          <a:ext cx="885825" cy="819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171450</xdr:colOff>
      <xdr:row>17</xdr:row>
      <xdr:rowOff>1200150</xdr:rowOff>
    </xdr:from>
    <xdr:ext cx="288541" cy="150041"/>
    <xdr:sp macro="" textlink="">
      <xdr:nvSpPr>
        <xdr:cNvPr id="103" name="Text Box 97">
          <a:extLst>
            <a:ext uri="{FF2B5EF4-FFF2-40B4-BE49-F238E27FC236}">
              <a16:creationId xmlns:a16="http://schemas.microsoft.com/office/drawing/2014/main" id="{69F4E9CB-6088-4390-A3C3-C4FF03288655}"/>
            </a:ext>
          </a:extLst>
        </xdr:cNvPr>
        <xdr:cNvSpPr txBox="1">
          <a:spLocks noChangeArrowheads="1"/>
        </xdr:cNvSpPr>
      </xdr:nvSpPr>
      <xdr:spPr bwMode="auto">
        <a:xfrm>
          <a:off x="2428875" y="63912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11</xdr:col>
      <xdr:colOff>28575</xdr:colOff>
      <xdr:row>17</xdr:row>
      <xdr:rowOff>133350</xdr:rowOff>
    </xdr:from>
    <xdr:ext cx="288541" cy="150041"/>
    <xdr:sp macro="" textlink="">
      <xdr:nvSpPr>
        <xdr:cNvPr id="104" name="Text Box 96">
          <a:extLst>
            <a:ext uri="{FF2B5EF4-FFF2-40B4-BE49-F238E27FC236}">
              <a16:creationId xmlns:a16="http://schemas.microsoft.com/office/drawing/2014/main" id="{C15709C1-0FC6-4B93-AD48-CEF3B54ABECE}"/>
            </a:ext>
          </a:extLst>
        </xdr:cNvPr>
        <xdr:cNvSpPr txBox="1">
          <a:spLocks noChangeArrowheads="1"/>
        </xdr:cNvSpPr>
      </xdr:nvSpPr>
      <xdr:spPr bwMode="auto">
        <a:xfrm>
          <a:off x="3543300" y="5324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16.4m</a:t>
          </a:r>
        </a:p>
      </xdr:txBody>
    </xdr:sp>
    <xdr:clientData/>
  </xdr:oneCellAnchor>
  <xdr:twoCellAnchor>
    <xdr:from>
      <xdr:col>6</xdr:col>
      <xdr:colOff>95249</xdr:colOff>
      <xdr:row>9</xdr:row>
      <xdr:rowOff>847725</xdr:rowOff>
    </xdr:from>
    <xdr:to>
      <xdr:col>16</xdr:col>
      <xdr:colOff>57150</xdr:colOff>
      <xdr:row>9</xdr:row>
      <xdr:rowOff>885825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514AD517-4E42-4CF2-A959-1B2769742DCC}"/>
            </a:ext>
          </a:extLst>
        </xdr:cNvPr>
        <xdr:cNvCxnSpPr/>
      </xdr:nvCxnSpPr>
      <xdr:spPr>
        <a:xfrm flipH="1" flipV="1">
          <a:off x="2038349" y="2562225"/>
          <a:ext cx="3105151" cy="3810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142873</xdr:colOff>
      <xdr:row>9</xdr:row>
      <xdr:rowOff>904872</xdr:rowOff>
    </xdr:from>
    <xdr:ext cx="436521" cy="250453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134EC7AA-E489-4CB8-B0D4-401EA190DE4E}"/>
            </a:ext>
          </a:extLst>
        </xdr:cNvPr>
        <xdr:cNvSpPr txBox="1"/>
      </xdr:nvSpPr>
      <xdr:spPr>
        <a:xfrm>
          <a:off x="3343273" y="2619372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38.2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13</xdr:col>
      <xdr:colOff>152400</xdr:colOff>
      <xdr:row>7</xdr:row>
      <xdr:rowOff>95249</xdr:rowOff>
    </xdr:from>
    <xdr:to>
      <xdr:col>13</xdr:col>
      <xdr:colOff>247649</xdr:colOff>
      <xdr:row>11</xdr:row>
      <xdr:rowOff>161925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4F5C85E9-DAE2-4932-9F90-ACDD87F544EC}"/>
            </a:ext>
          </a:extLst>
        </xdr:cNvPr>
        <xdr:cNvCxnSpPr/>
      </xdr:nvCxnSpPr>
      <xdr:spPr>
        <a:xfrm flipH="1">
          <a:off x="4295775" y="1352549"/>
          <a:ext cx="95249" cy="262890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19048</xdr:colOff>
      <xdr:row>9</xdr:row>
      <xdr:rowOff>1657348</xdr:rowOff>
    </xdr:from>
    <xdr:ext cx="436521" cy="250453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313A0190-2FB7-4E0B-AA47-BC9FF45BAAC9}"/>
            </a:ext>
          </a:extLst>
        </xdr:cNvPr>
        <xdr:cNvSpPr txBox="1"/>
      </xdr:nvSpPr>
      <xdr:spPr>
        <a:xfrm>
          <a:off x="3848098" y="3371848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32.8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11</xdr:col>
      <xdr:colOff>123824</xdr:colOff>
      <xdr:row>13</xdr:row>
      <xdr:rowOff>152399</xdr:rowOff>
    </xdr:from>
    <xdr:ext cx="287252" cy="288000"/>
    <xdr:pic>
      <xdr:nvPicPr>
        <xdr:cNvPr id="117" name="図 116">
          <a:extLst>
            <a:ext uri="{FF2B5EF4-FFF2-40B4-BE49-F238E27FC236}">
              <a16:creationId xmlns:a16="http://schemas.microsoft.com/office/drawing/2014/main" id="{30759F79-2D90-4A6E-892E-F7C357853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8549" y="4429124"/>
          <a:ext cx="287252" cy="288000"/>
        </a:xfrm>
        <a:prstGeom prst="rect">
          <a:avLst/>
        </a:prstGeom>
      </xdr:spPr>
    </xdr:pic>
    <xdr:clientData/>
  </xdr:oneCellAnchor>
  <xdr:oneCellAnchor>
    <xdr:from>
      <xdr:col>13</xdr:col>
      <xdr:colOff>123824</xdr:colOff>
      <xdr:row>4</xdr:row>
      <xdr:rowOff>47624</xdr:rowOff>
    </xdr:from>
    <xdr:ext cx="287252" cy="288000"/>
    <xdr:pic>
      <xdr:nvPicPr>
        <xdr:cNvPr id="118" name="図 117">
          <a:extLst>
            <a:ext uri="{FF2B5EF4-FFF2-40B4-BE49-F238E27FC236}">
              <a16:creationId xmlns:a16="http://schemas.microsoft.com/office/drawing/2014/main" id="{8280D84B-A0B3-4510-AB55-0CF2E4D5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199" y="619124"/>
          <a:ext cx="287252" cy="288000"/>
        </a:xfrm>
        <a:prstGeom prst="rect">
          <a:avLst/>
        </a:prstGeom>
      </xdr:spPr>
    </xdr:pic>
    <xdr:clientData/>
  </xdr:oneCellAnchor>
  <xdr:oneCellAnchor>
    <xdr:from>
      <xdr:col>4</xdr:col>
      <xdr:colOff>95249</xdr:colOff>
      <xdr:row>9</xdr:row>
      <xdr:rowOff>771524</xdr:rowOff>
    </xdr:from>
    <xdr:ext cx="287252" cy="288000"/>
    <xdr:pic>
      <xdr:nvPicPr>
        <xdr:cNvPr id="120" name="図 119">
          <a:extLst>
            <a:ext uri="{FF2B5EF4-FFF2-40B4-BE49-F238E27FC236}">
              <a16:creationId xmlns:a16="http://schemas.microsoft.com/office/drawing/2014/main" id="{22D7C3F2-5F77-479E-BDE2-687A6C100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699" y="2486024"/>
          <a:ext cx="287252" cy="288000"/>
        </a:xfrm>
        <a:prstGeom prst="rect">
          <a:avLst/>
        </a:prstGeom>
      </xdr:spPr>
    </xdr:pic>
    <xdr:clientData/>
  </xdr:oneCellAnchor>
  <xdr:oneCellAnchor>
    <xdr:from>
      <xdr:col>20</xdr:col>
      <xdr:colOff>171449</xdr:colOff>
      <xdr:row>9</xdr:row>
      <xdr:rowOff>971549</xdr:rowOff>
    </xdr:from>
    <xdr:ext cx="287252" cy="288000"/>
    <xdr:pic>
      <xdr:nvPicPr>
        <xdr:cNvPr id="121" name="図 120">
          <a:extLst>
            <a:ext uri="{FF2B5EF4-FFF2-40B4-BE49-F238E27FC236}">
              <a16:creationId xmlns:a16="http://schemas.microsoft.com/office/drawing/2014/main" id="{39D078C8-8249-43EE-8151-145FF823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5099" y="2686049"/>
          <a:ext cx="287252" cy="28800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17</xdr:row>
      <xdr:rowOff>1057275</xdr:rowOff>
    </xdr:from>
    <xdr:ext cx="1015715" cy="666750"/>
    <xdr:sp macro="" textlink="">
      <xdr:nvSpPr>
        <xdr:cNvPr id="3" name="Text Box 91">
          <a:extLst>
            <a:ext uri="{FF2B5EF4-FFF2-40B4-BE49-F238E27FC236}">
              <a16:creationId xmlns:a16="http://schemas.microsoft.com/office/drawing/2014/main" id="{E47E98A1-777E-4935-8B11-1528BE0EE217}"/>
            </a:ext>
          </a:extLst>
        </xdr:cNvPr>
        <xdr:cNvSpPr txBox="1">
          <a:spLocks noChangeArrowheads="1"/>
        </xdr:cNvSpPr>
      </xdr:nvSpPr>
      <xdr:spPr bwMode="auto">
        <a:xfrm>
          <a:off x="6534150" y="62484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EC6680K+34001007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390F040-2A7C-48B7-88A1-A0EB62B70201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190500</xdr:colOff>
      <xdr:row>7</xdr:row>
      <xdr:rowOff>466725</xdr:rowOff>
    </xdr:from>
    <xdr:to>
      <xdr:col>7</xdr:col>
      <xdr:colOff>123825</xdr:colOff>
      <xdr:row>7</xdr:row>
      <xdr:rowOff>1514475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7FD58FA-A487-4F3E-A02E-E1A91DC8E602}"/>
            </a:ext>
          </a:extLst>
        </xdr:cNvPr>
        <xdr:cNvSpPr txBox="1">
          <a:spLocks noChangeArrowheads="1"/>
        </xdr:cNvSpPr>
      </xdr:nvSpPr>
      <xdr:spPr bwMode="auto">
        <a:xfrm>
          <a:off x="1695450" y="2105025"/>
          <a:ext cx="2476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17</xdr:col>
      <xdr:colOff>266700</xdr:colOff>
      <xdr:row>7</xdr:row>
      <xdr:rowOff>476250</xdr:rowOff>
    </xdr:from>
    <xdr:to>
      <xdr:col>18</xdr:col>
      <xdr:colOff>200025</xdr:colOff>
      <xdr:row>7</xdr:row>
      <xdr:rowOff>1428750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8D029E4-E8CF-4026-A331-E1D91F777B0C}"/>
            </a:ext>
          </a:extLst>
        </xdr:cNvPr>
        <xdr:cNvSpPr txBox="1">
          <a:spLocks noChangeArrowheads="1"/>
        </xdr:cNvSpPr>
      </xdr:nvSpPr>
      <xdr:spPr bwMode="auto">
        <a:xfrm>
          <a:off x="5229225" y="2114550"/>
          <a:ext cx="24765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岡山</a:t>
          </a:r>
        </a:p>
      </xdr:txBody>
    </xdr:sp>
    <xdr:clientData/>
  </xdr:twoCellAnchor>
  <xdr:twoCellAnchor>
    <xdr:from>
      <xdr:col>3</xdr:col>
      <xdr:colOff>57150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6E6569C6-00D2-43D3-8638-6551D1DE6F09}"/>
            </a:ext>
          </a:extLst>
        </xdr:cNvPr>
        <xdr:cNvSpPr>
          <a:spLocks noChangeShapeType="1"/>
        </xdr:cNvSpPr>
      </xdr:nvSpPr>
      <xdr:spPr bwMode="auto">
        <a:xfrm>
          <a:off x="866775" y="6810375"/>
          <a:ext cx="3238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9" name="Freeform 5">
          <a:extLst>
            <a:ext uri="{FF2B5EF4-FFF2-40B4-BE49-F238E27FC236}">
              <a16:creationId xmlns:a16="http://schemas.microsoft.com/office/drawing/2014/main" id="{4AE962D1-D4DD-4F84-8A95-CF8F96BD51F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0" name="Group 6">
          <a:extLst>
            <a:ext uri="{FF2B5EF4-FFF2-40B4-BE49-F238E27FC236}">
              <a16:creationId xmlns:a16="http://schemas.microsoft.com/office/drawing/2014/main" id="{FBA31CEB-3D11-4D9B-A407-FC30DD1F34E4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E07DC267-AF59-4386-B8DA-692C86DE924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3C5EEBB9-0AFC-4879-B32E-0D4BD8FA4BA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94DFECC1-B1A1-45E3-AAB3-B85D5777D1C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A6828DC7-4898-420B-ACF3-63AB509D5B1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5" name="Group 11">
          <a:extLst>
            <a:ext uri="{FF2B5EF4-FFF2-40B4-BE49-F238E27FC236}">
              <a16:creationId xmlns:a16="http://schemas.microsoft.com/office/drawing/2014/main" id="{8099129B-4E6B-4CF7-936E-260630FC670D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6" name="Line 12">
            <a:extLst>
              <a:ext uri="{FF2B5EF4-FFF2-40B4-BE49-F238E27FC236}">
                <a16:creationId xmlns:a16="http://schemas.microsoft.com/office/drawing/2014/main" id="{2F8B5F16-16FE-4D38-BE56-167FE83E002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" name="Line 13">
            <a:extLst>
              <a:ext uri="{FF2B5EF4-FFF2-40B4-BE49-F238E27FC236}">
                <a16:creationId xmlns:a16="http://schemas.microsoft.com/office/drawing/2014/main" id="{70C8CBD7-0C25-4B57-A551-CA35BAF885C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A6F2B184-B43B-45D5-841E-E1F1C69D1290}"/>
            </a:ext>
          </a:extLst>
        </xdr:cNvPr>
        <xdr:cNvSpPr>
          <a:spLocks noChangeShapeType="1"/>
        </xdr:cNvSpPr>
      </xdr:nvSpPr>
      <xdr:spPr bwMode="auto">
        <a:xfrm>
          <a:off x="885825" y="7048500"/>
          <a:ext cx="9334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9" name="Group 15">
          <a:extLst>
            <a:ext uri="{FF2B5EF4-FFF2-40B4-BE49-F238E27FC236}">
              <a16:creationId xmlns:a16="http://schemas.microsoft.com/office/drawing/2014/main" id="{87A8EB1A-A457-451A-A382-534508D8DF1F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B3D135DF-708C-41E9-849E-74414EDA0DF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409F6B69-D529-48B9-AFF2-AA191DF1014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2" name="Freeform 18">
          <a:extLst>
            <a:ext uri="{FF2B5EF4-FFF2-40B4-BE49-F238E27FC236}">
              <a16:creationId xmlns:a16="http://schemas.microsoft.com/office/drawing/2014/main" id="{76A8B3E9-7284-4CE7-8C76-FF2CFAB4C7B1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3" name="Group 19">
          <a:extLst>
            <a:ext uri="{FF2B5EF4-FFF2-40B4-BE49-F238E27FC236}">
              <a16:creationId xmlns:a16="http://schemas.microsoft.com/office/drawing/2014/main" id="{8A1151B4-08B1-42E2-AD9A-751675EAF8B8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1D084875-FB8C-4D07-A959-9CD5204076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E76009EA-E321-4579-B1DA-3A419524821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6" name="Line 22">
            <a:extLst>
              <a:ext uri="{FF2B5EF4-FFF2-40B4-BE49-F238E27FC236}">
                <a16:creationId xmlns:a16="http://schemas.microsoft.com/office/drawing/2014/main" id="{B9EEF4C0-3D6F-4087-B5ED-FF76199E2C2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AD94EAED-B7EB-4FD4-9668-9AE2E01E218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8" name="Group 24">
          <a:extLst>
            <a:ext uri="{FF2B5EF4-FFF2-40B4-BE49-F238E27FC236}">
              <a16:creationId xmlns:a16="http://schemas.microsoft.com/office/drawing/2014/main" id="{8378AE23-503A-48E1-915D-92BDC334F943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9" name="Line 25">
            <a:extLst>
              <a:ext uri="{FF2B5EF4-FFF2-40B4-BE49-F238E27FC236}">
                <a16:creationId xmlns:a16="http://schemas.microsoft.com/office/drawing/2014/main" id="{8F810EC4-1718-4872-9426-BE75238762B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C9B640F1-DC24-4991-978A-E81E169A223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51" name="Group 27">
          <a:extLst>
            <a:ext uri="{FF2B5EF4-FFF2-40B4-BE49-F238E27FC236}">
              <a16:creationId xmlns:a16="http://schemas.microsoft.com/office/drawing/2014/main" id="{83E7D125-1AD1-4A85-B82D-ECB3B475F57B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2" name="Line 28">
            <a:extLst>
              <a:ext uri="{FF2B5EF4-FFF2-40B4-BE49-F238E27FC236}">
                <a16:creationId xmlns:a16="http://schemas.microsoft.com/office/drawing/2014/main" id="{885B651B-1807-4A75-BE9F-98A58277505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75CC00FB-8555-40C4-8333-115BD5B4D6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4" name="Group 30">
          <a:extLst>
            <a:ext uri="{FF2B5EF4-FFF2-40B4-BE49-F238E27FC236}">
              <a16:creationId xmlns:a16="http://schemas.microsoft.com/office/drawing/2014/main" id="{B98D2881-5A20-445C-B5D6-0011B520DB16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5" name="Line 31">
            <a:extLst>
              <a:ext uri="{FF2B5EF4-FFF2-40B4-BE49-F238E27FC236}">
                <a16:creationId xmlns:a16="http://schemas.microsoft.com/office/drawing/2014/main" id="{73882CD1-26DC-4A49-8AC8-FFD26ACA73B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6" name="Line 32">
            <a:extLst>
              <a:ext uri="{FF2B5EF4-FFF2-40B4-BE49-F238E27FC236}">
                <a16:creationId xmlns:a16="http://schemas.microsoft.com/office/drawing/2014/main" id="{9EB44288-1089-462A-A24E-03FC700CECF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EFE2BC89-023A-4BD8-9C69-9881E8B9E2D2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8EE5DA6E-2614-4FEA-88B0-52B35A330FE0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9" name="Group 35">
          <a:extLst>
            <a:ext uri="{FF2B5EF4-FFF2-40B4-BE49-F238E27FC236}">
              <a16:creationId xmlns:a16="http://schemas.microsoft.com/office/drawing/2014/main" id="{B23A53CB-BAEE-4D7A-8CC2-290D2F034E91}"/>
            </a:ext>
          </a:extLst>
        </xdr:cNvPr>
        <xdr:cNvGrpSpPr>
          <a:grpSpLocks/>
        </xdr:cNvGrpSpPr>
      </xdr:nvGrpSpPr>
      <xdr:grpSpPr bwMode="auto">
        <a:xfrm>
          <a:off x="866775" y="7477125"/>
          <a:ext cx="1581150" cy="47625"/>
          <a:chOff x="158" y="715"/>
          <a:chExt cx="33" cy="5"/>
        </a:xfrm>
      </xdr:grpSpPr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95C96EDD-1E81-45BD-9032-F35D7B0679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36244FC3-6FC3-4E4F-A50B-9D83BC0FE56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381000</xdr:rowOff>
    </xdr:from>
    <xdr:to>
      <xdr:col>13</xdr:col>
      <xdr:colOff>38100</xdr:colOff>
      <xdr:row>15</xdr:row>
      <xdr:rowOff>1114425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5E6BD746-775D-4189-954E-B2D72BCDAB45}"/>
            </a:ext>
          </a:extLst>
        </xdr:cNvPr>
        <xdr:cNvGrpSpPr>
          <a:grpSpLocks/>
        </xdr:cNvGrpSpPr>
      </xdr:nvGrpSpPr>
      <xdr:grpSpPr bwMode="auto">
        <a:xfrm rot="5400000">
          <a:off x="3348037" y="5834063"/>
          <a:ext cx="733425" cy="57150"/>
          <a:chOff x="123" y="549"/>
          <a:chExt cx="77" cy="6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7D175257-D3F8-4573-B19E-ECD9F8265D2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B3B7658D-626E-49FE-8269-B08C40610BF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D585AE4F-9B70-43AD-98E5-DA10439F9E9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257175</xdr:rowOff>
    </xdr:from>
    <xdr:to>
      <xdr:col>12</xdr:col>
      <xdr:colOff>190500</xdr:colOff>
      <xdr:row>15</xdr:row>
      <xdr:rowOff>1266825</xdr:rowOff>
    </xdr:to>
    <xdr:grpSp>
      <xdr:nvGrpSpPr>
        <xdr:cNvPr id="1066" name="Group 42">
          <a:extLst>
            <a:ext uri="{FF2B5EF4-FFF2-40B4-BE49-F238E27FC236}">
              <a16:creationId xmlns:a16="http://schemas.microsoft.com/office/drawing/2014/main" id="{C235E939-4D49-4825-B013-2D3E75FA7BDF}"/>
            </a:ext>
          </a:extLst>
        </xdr:cNvPr>
        <xdr:cNvGrpSpPr>
          <a:grpSpLocks/>
        </xdr:cNvGrpSpPr>
      </xdr:nvGrpSpPr>
      <xdr:grpSpPr bwMode="auto">
        <a:xfrm>
          <a:off x="2886075" y="5372100"/>
          <a:ext cx="695325" cy="1009650"/>
          <a:chOff x="336" y="565"/>
          <a:chExt cx="73" cy="106"/>
        </a:xfrm>
      </xdr:grpSpPr>
      <xdr:grpSp>
        <xdr:nvGrpSpPr>
          <xdr:cNvPr id="1067" name="Group 43">
            <a:extLst>
              <a:ext uri="{FF2B5EF4-FFF2-40B4-BE49-F238E27FC236}">
                <a16:creationId xmlns:a16="http://schemas.microsoft.com/office/drawing/2014/main" id="{908C22C0-B47B-42FA-AEB9-AC406792EA4C}"/>
              </a:ext>
            </a:extLst>
          </xdr:cNvPr>
          <xdr:cNvGrpSpPr>
            <a:grpSpLocks/>
          </xdr:cNvGrpSpPr>
        </xdr:nvGrpSpPr>
        <xdr:grpSpPr bwMode="auto">
          <a:xfrm>
            <a:off x="336" y="565"/>
            <a:ext cx="32" cy="106"/>
            <a:chOff x="369" y="565"/>
            <a:chExt cx="32" cy="106"/>
          </a:xfrm>
        </xdr:grpSpPr>
        <xdr:sp macro="" textlink="">
          <xdr:nvSpPr>
            <xdr:cNvPr id="1068" name="Line 44">
              <a:extLst>
                <a:ext uri="{FF2B5EF4-FFF2-40B4-BE49-F238E27FC236}">
                  <a16:creationId xmlns:a16="http://schemas.microsoft.com/office/drawing/2014/main" id="{56166743-13D6-426A-8820-721EB71E02C7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33" y="61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9" name="Freeform 45">
              <a:extLst>
                <a:ext uri="{FF2B5EF4-FFF2-40B4-BE49-F238E27FC236}">
                  <a16:creationId xmlns:a16="http://schemas.microsoft.com/office/drawing/2014/main" id="{E5AF90D3-F681-49BA-BEC6-4D398D0D0D1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1" y="56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0" name="Freeform 46">
              <a:extLst>
                <a:ext uri="{FF2B5EF4-FFF2-40B4-BE49-F238E27FC236}">
                  <a16:creationId xmlns:a16="http://schemas.microsoft.com/office/drawing/2014/main" id="{9558DBA3-0D5B-41B5-A6F4-C174B66F0FD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77" y="639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1" name="Line 47">
              <a:extLst>
                <a:ext uri="{FF2B5EF4-FFF2-40B4-BE49-F238E27FC236}">
                  <a16:creationId xmlns:a16="http://schemas.microsoft.com/office/drawing/2014/main" id="{7C179891-4233-4FE0-9BDB-F8396720DD04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373" y="63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2" name="Freeform 48">
              <a:extLst>
                <a:ext uri="{FF2B5EF4-FFF2-40B4-BE49-F238E27FC236}">
                  <a16:creationId xmlns:a16="http://schemas.microsoft.com/office/drawing/2014/main" id="{6E1FF686-1FD0-43B7-A04C-EB498A2F293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69" y="635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3" name="Freeform 49">
              <a:extLst>
                <a:ext uri="{FF2B5EF4-FFF2-40B4-BE49-F238E27FC236}">
                  <a16:creationId xmlns:a16="http://schemas.microsoft.com/office/drawing/2014/main" id="{372B9161-1400-4777-9669-C6A4A0A3A17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85" y="628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4" name="Line 50">
              <a:extLst>
                <a:ext uri="{FF2B5EF4-FFF2-40B4-BE49-F238E27FC236}">
                  <a16:creationId xmlns:a16="http://schemas.microsoft.com/office/drawing/2014/main" id="{6081BCD8-6E0C-40C6-AE0E-0796DE971D7C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396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5" name="Freeform 51">
              <a:extLst>
                <a:ext uri="{FF2B5EF4-FFF2-40B4-BE49-F238E27FC236}">
                  <a16:creationId xmlns:a16="http://schemas.microsoft.com/office/drawing/2014/main" id="{6934BE6C-CF68-48F9-AFB6-306D03025DFD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394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76" name="Group 52">
            <a:extLst>
              <a:ext uri="{FF2B5EF4-FFF2-40B4-BE49-F238E27FC236}">
                <a16:creationId xmlns:a16="http://schemas.microsoft.com/office/drawing/2014/main" id="{04CA1ED3-E335-4F9E-AE1B-BF6A6F4493AF}"/>
              </a:ext>
            </a:extLst>
          </xdr:cNvPr>
          <xdr:cNvGrpSpPr>
            <a:grpSpLocks/>
          </xdr:cNvGrpSpPr>
        </xdr:nvGrpSpPr>
        <xdr:grpSpPr bwMode="auto">
          <a:xfrm>
            <a:off x="377" y="566"/>
            <a:ext cx="32" cy="105"/>
            <a:chOff x="410" y="566"/>
            <a:chExt cx="32" cy="105"/>
          </a:xfrm>
        </xdr:grpSpPr>
        <xdr:sp macro="" textlink="">
          <xdr:nvSpPr>
            <xdr:cNvPr id="1077" name="Line 53">
              <a:extLst>
                <a:ext uri="{FF2B5EF4-FFF2-40B4-BE49-F238E27FC236}">
                  <a16:creationId xmlns:a16="http://schemas.microsoft.com/office/drawing/2014/main" id="{2BCBD9A7-B798-4145-A995-90B0872699BE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374" y="61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8" name="Freeform 54">
              <a:extLst>
                <a:ext uri="{FF2B5EF4-FFF2-40B4-BE49-F238E27FC236}">
                  <a16:creationId xmlns:a16="http://schemas.microsoft.com/office/drawing/2014/main" id="{6BBD8651-B11B-4CCE-A33D-E1675A818F6E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2" y="665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79" name="Freeform 55">
              <a:extLst>
                <a:ext uri="{FF2B5EF4-FFF2-40B4-BE49-F238E27FC236}">
                  <a16:creationId xmlns:a16="http://schemas.microsoft.com/office/drawing/2014/main" id="{2D9D3291-18DF-4B77-8864-344DA18E0129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26" y="590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0" name="Line 56">
              <a:extLst>
                <a:ext uri="{FF2B5EF4-FFF2-40B4-BE49-F238E27FC236}">
                  <a16:creationId xmlns:a16="http://schemas.microsoft.com/office/drawing/2014/main" id="{7D827596-77A6-47FB-AB4C-EECF7C5651EC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8" y="59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1" name="Freeform 57">
              <a:extLst>
                <a:ext uri="{FF2B5EF4-FFF2-40B4-BE49-F238E27FC236}">
                  <a16:creationId xmlns:a16="http://schemas.microsoft.com/office/drawing/2014/main" id="{362B060B-81F0-445C-B771-12262C4A222A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35" y="59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2" name="Freeform 58">
              <a:extLst>
                <a:ext uri="{FF2B5EF4-FFF2-40B4-BE49-F238E27FC236}">
                  <a16:creationId xmlns:a16="http://schemas.microsoft.com/office/drawing/2014/main" id="{B7176006-72DB-44B0-A815-6D7772244551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9" y="601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83" name="Line 59">
              <a:extLst>
                <a:ext uri="{FF2B5EF4-FFF2-40B4-BE49-F238E27FC236}">
                  <a16:creationId xmlns:a16="http://schemas.microsoft.com/office/drawing/2014/main" id="{74E29E7B-881D-4F04-BAE8-F38E64EFF879}"/>
                </a:ext>
              </a:extLst>
            </xdr:cNvPr>
            <xdr:cNvSpPr>
              <a:spLocks noChangeShapeType="1"/>
            </xdr:cNvSpPr>
          </xdr:nvSpPr>
          <xdr:spPr bwMode="auto">
            <a:xfrm rot="5400000">
              <a:off x="416" y="60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4" name="Freeform 60">
              <a:extLst>
                <a:ext uri="{FF2B5EF4-FFF2-40B4-BE49-F238E27FC236}">
                  <a16:creationId xmlns:a16="http://schemas.microsoft.com/office/drawing/2014/main" id="{A4845E8E-A7AF-46B5-8FD3-C42DB7DD3F35}"/>
                </a:ext>
              </a:extLst>
            </xdr:cNvPr>
            <xdr:cNvSpPr>
              <a:spLocks/>
            </xdr:cNvSpPr>
          </xdr:nvSpPr>
          <xdr:spPr bwMode="auto">
            <a:xfrm rot="5400000">
              <a:off x="410" y="605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9</xdr:col>
      <xdr:colOff>295275</xdr:colOff>
      <xdr:row>15</xdr:row>
      <xdr:rowOff>381000</xdr:rowOff>
    </xdr:from>
    <xdr:to>
      <xdr:col>10</xdr:col>
      <xdr:colOff>38100</xdr:colOff>
      <xdr:row>15</xdr:row>
      <xdr:rowOff>1114425</xdr:rowOff>
    </xdr:to>
    <xdr:grpSp>
      <xdr:nvGrpSpPr>
        <xdr:cNvPr id="1085" name="Group 61">
          <a:extLst>
            <a:ext uri="{FF2B5EF4-FFF2-40B4-BE49-F238E27FC236}">
              <a16:creationId xmlns:a16="http://schemas.microsoft.com/office/drawing/2014/main" id="{13FD8EC8-5799-4AC8-9BF5-17A0A6DA1B3C}"/>
            </a:ext>
          </a:extLst>
        </xdr:cNvPr>
        <xdr:cNvGrpSpPr>
          <a:grpSpLocks/>
        </xdr:cNvGrpSpPr>
      </xdr:nvGrpSpPr>
      <xdr:grpSpPr bwMode="auto">
        <a:xfrm rot="5400000">
          <a:off x="2405062" y="5834063"/>
          <a:ext cx="733425" cy="57150"/>
          <a:chOff x="123" y="549"/>
          <a:chExt cx="77" cy="6"/>
        </a:xfrm>
      </xdr:grpSpPr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id="{79FAC9E4-7C36-48FE-8C9F-02A14D7563B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D3B4E8BE-B600-4F6C-B3DA-EC787BE9A6F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8" name="Freeform 64">
            <a:extLst>
              <a:ext uri="{FF2B5EF4-FFF2-40B4-BE49-F238E27FC236}">
                <a16:creationId xmlns:a16="http://schemas.microsoft.com/office/drawing/2014/main" id="{7ECDBA96-03CD-4B71-B092-70FD775EC1B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133350</xdr:colOff>
      <xdr:row>15</xdr:row>
      <xdr:rowOff>438150</xdr:rowOff>
    </xdr:from>
    <xdr:to>
      <xdr:col>7</xdr:col>
      <xdr:colOff>190500</xdr:colOff>
      <xdr:row>15</xdr:row>
      <xdr:rowOff>742950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99E6B4C6-EFE8-44C7-82ED-B72671946415}"/>
            </a:ext>
          </a:extLst>
        </xdr:cNvPr>
        <xdr:cNvGrpSpPr>
          <a:grpSpLocks/>
        </xdr:cNvGrpSpPr>
      </xdr:nvGrpSpPr>
      <xdr:grpSpPr bwMode="auto">
        <a:xfrm>
          <a:off x="1009650" y="5553075"/>
          <a:ext cx="1000125" cy="304800"/>
          <a:chOff x="110" y="567"/>
          <a:chExt cx="105" cy="32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16098668-5253-465C-A6AD-3667ADBA1F8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Freeform 67">
            <a:extLst>
              <a:ext uri="{FF2B5EF4-FFF2-40B4-BE49-F238E27FC236}">
                <a16:creationId xmlns:a16="http://schemas.microsoft.com/office/drawing/2014/main" id="{6E99FFEF-9DB5-4D32-9A8A-B821650A45CC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2" name="Freeform 68">
            <a:extLst>
              <a:ext uri="{FF2B5EF4-FFF2-40B4-BE49-F238E27FC236}">
                <a16:creationId xmlns:a16="http://schemas.microsoft.com/office/drawing/2014/main" id="{47534B23-F119-40DC-9D85-40372B7008AC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084702E6-58CD-4F79-874D-41C2BBCE30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Freeform 70">
            <a:extLst>
              <a:ext uri="{FF2B5EF4-FFF2-40B4-BE49-F238E27FC236}">
                <a16:creationId xmlns:a16="http://schemas.microsoft.com/office/drawing/2014/main" id="{0D25A11F-80F2-4C9F-99E4-4BC32F1698B4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5" name="Freeform 71">
            <a:extLst>
              <a:ext uri="{FF2B5EF4-FFF2-40B4-BE49-F238E27FC236}">
                <a16:creationId xmlns:a16="http://schemas.microsoft.com/office/drawing/2014/main" id="{71556741-4FA4-4514-8184-AFC1805DCC59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CDEDDBA7-563E-42C9-9133-FAEAFF0221B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9EAFC801-7733-4B54-B32B-10A6E5F7A7B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123825</xdr:colOff>
      <xdr:row>15</xdr:row>
      <xdr:rowOff>800100</xdr:rowOff>
    </xdr:from>
    <xdr:to>
      <xdr:col>7</xdr:col>
      <xdr:colOff>190500</xdr:colOff>
      <xdr:row>15</xdr:row>
      <xdr:rowOff>1104900</xdr:rowOff>
    </xdr:to>
    <xdr:grpSp>
      <xdr:nvGrpSpPr>
        <xdr:cNvPr id="1098" name="Group 74">
          <a:extLst>
            <a:ext uri="{FF2B5EF4-FFF2-40B4-BE49-F238E27FC236}">
              <a16:creationId xmlns:a16="http://schemas.microsoft.com/office/drawing/2014/main" id="{A1ABA16E-0B16-4B4F-A99A-8B193D794720}"/>
            </a:ext>
          </a:extLst>
        </xdr:cNvPr>
        <xdr:cNvGrpSpPr>
          <a:grpSpLocks/>
        </xdr:cNvGrpSpPr>
      </xdr:nvGrpSpPr>
      <xdr:grpSpPr bwMode="auto">
        <a:xfrm>
          <a:off x="1000125" y="5915025"/>
          <a:ext cx="1009650" cy="304800"/>
          <a:chOff x="105" y="627"/>
          <a:chExt cx="106" cy="32"/>
        </a:xfrm>
      </xdr:grpSpPr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3D09370A-888F-40F9-A49F-93A7A1E34FB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" name="Freeform 76">
            <a:extLst>
              <a:ext uri="{FF2B5EF4-FFF2-40B4-BE49-F238E27FC236}">
                <a16:creationId xmlns:a16="http://schemas.microsoft.com/office/drawing/2014/main" id="{EA943C53-CA1C-41DA-AE29-725836E58ED0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1" name="Freeform 77">
            <a:extLst>
              <a:ext uri="{FF2B5EF4-FFF2-40B4-BE49-F238E27FC236}">
                <a16:creationId xmlns:a16="http://schemas.microsoft.com/office/drawing/2014/main" id="{5EA370EE-DA89-4CA1-BD2C-65F09E5FA2D5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35F64152-4646-4CF3-8511-2BE5B03F329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" name="Freeform 79">
            <a:extLst>
              <a:ext uri="{FF2B5EF4-FFF2-40B4-BE49-F238E27FC236}">
                <a16:creationId xmlns:a16="http://schemas.microsoft.com/office/drawing/2014/main" id="{1D0D8769-0967-4137-9B00-80B46192561F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4" name="Freeform 80">
            <a:extLst>
              <a:ext uri="{FF2B5EF4-FFF2-40B4-BE49-F238E27FC236}">
                <a16:creationId xmlns:a16="http://schemas.microsoft.com/office/drawing/2014/main" id="{4E699B7E-33E1-4E9F-B530-0E632D68975B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5" name="Line 81">
            <a:extLst>
              <a:ext uri="{FF2B5EF4-FFF2-40B4-BE49-F238E27FC236}">
                <a16:creationId xmlns:a16="http://schemas.microsoft.com/office/drawing/2014/main" id="{F452445D-E880-4AE0-A94A-9776E8C98EEF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" name="Freeform 82">
            <a:extLst>
              <a:ext uri="{FF2B5EF4-FFF2-40B4-BE49-F238E27FC236}">
                <a16:creationId xmlns:a16="http://schemas.microsoft.com/office/drawing/2014/main" id="{29035435-A5DA-42A1-B5A5-F6B4A74B0C6D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228600</xdr:rowOff>
    </xdr:from>
    <xdr:to>
      <xdr:col>7</xdr:col>
      <xdr:colOff>57150</xdr:colOff>
      <xdr:row>15</xdr:row>
      <xdr:rowOff>285750</xdr:rowOff>
    </xdr:to>
    <xdr:grpSp>
      <xdr:nvGrpSpPr>
        <xdr:cNvPr id="1107" name="Group 83">
          <a:extLst>
            <a:ext uri="{FF2B5EF4-FFF2-40B4-BE49-F238E27FC236}">
              <a16:creationId xmlns:a16="http://schemas.microsoft.com/office/drawing/2014/main" id="{93D6F18D-6586-4D89-8141-1080FD23AB0C}"/>
            </a:ext>
          </a:extLst>
        </xdr:cNvPr>
        <xdr:cNvGrpSpPr>
          <a:grpSpLocks/>
        </xdr:cNvGrpSpPr>
      </xdr:nvGrpSpPr>
      <xdr:grpSpPr bwMode="auto">
        <a:xfrm>
          <a:off x="1143000" y="5343525"/>
          <a:ext cx="733425" cy="57150"/>
          <a:chOff x="123" y="549"/>
          <a:chExt cx="77" cy="6"/>
        </a:xfrm>
      </xdr:grpSpPr>
      <xdr:sp macro="" textlink="">
        <xdr:nvSpPr>
          <xdr:cNvPr id="1108" name="Line 84">
            <a:extLst>
              <a:ext uri="{FF2B5EF4-FFF2-40B4-BE49-F238E27FC236}">
                <a16:creationId xmlns:a16="http://schemas.microsoft.com/office/drawing/2014/main" id="{FECC6F27-9035-4525-AA56-D1B3A1CA1C3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9" name="Freeform 85">
            <a:extLst>
              <a:ext uri="{FF2B5EF4-FFF2-40B4-BE49-F238E27FC236}">
                <a16:creationId xmlns:a16="http://schemas.microsoft.com/office/drawing/2014/main" id="{654DB368-9CA0-4DAD-802C-AA50285B99D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0" name="Freeform 86">
            <a:extLst>
              <a:ext uri="{FF2B5EF4-FFF2-40B4-BE49-F238E27FC236}">
                <a16:creationId xmlns:a16="http://schemas.microsoft.com/office/drawing/2014/main" id="{E89046D2-F0A7-4C92-B446-A9487068D58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266700</xdr:colOff>
      <xdr:row>15</xdr:row>
      <xdr:rowOff>1209675</xdr:rowOff>
    </xdr:from>
    <xdr:to>
      <xdr:col>7</xdr:col>
      <xdr:colOff>57150</xdr:colOff>
      <xdr:row>15</xdr:row>
      <xdr:rowOff>1266825</xdr:rowOff>
    </xdr:to>
    <xdr:grpSp>
      <xdr:nvGrpSpPr>
        <xdr:cNvPr id="1111" name="Group 87">
          <a:extLst>
            <a:ext uri="{FF2B5EF4-FFF2-40B4-BE49-F238E27FC236}">
              <a16:creationId xmlns:a16="http://schemas.microsoft.com/office/drawing/2014/main" id="{8563A808-4915-41F8-8157-08FA73EF5416}"/>
            </a:ext>
          </a:extLst>
        </xdr:cNvPr>
        <xdr:cNvGrpSpPr>
          <a:grpSpLocks/>
        </xdr:cNvGrpSpPr>
      </xdr:nvGrpSpPr>
      <xdr:grpSpPr bwMode="auto">
        <a:xfrm>
          <a:off x="1143000" y="6324600"/>
          <a:ext cx="733425" cy="57150"/>
          <a:chOff x="123" y="549"/>
          <a:chExt cx="77" cy="6"/>
        </a:xfrm>
      </xdr:grpSpPr>
      <xdr:sp macro="" textlink="">
        <xdr:nvSpPr>
          <xdr:cNvPr id="1112" name="Line 88">
            <a:extLst>
              <a:ext uri="{FF2B5EF4-FFF2-40B4-BE49-F238E27FC236}">
                <a16:creationId xmlns:a16="http://schemas.microsoft.com/office/drawing/2014/main" id="{EF8F8EBC-5C96-4B96-85B6-363D401880E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3" name="Freeform 89">
            <a:extLst>
              <a:ext uri="{FF2B5EF4-FFF2-40B4-BE49-F238E27FC236}">
                <a16:creationId xmlns:a16="http://schemas.microsoft.com/office/drawing/2014/main" id="{43E55927-567B-4525-A0C9-1F23EB32FAB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4" name="Freeform 90">
            <a:extLst>
              <a:ext uri="{FF2B5EF4-FFF2-40B4-BE49-F238E27FC236}">
                <a16:creationId xmlns:a16="http://schemas.microsoft.com/office/drawing/2014/main" id="{B8A9D1B0-6741-47DD-BD3F-B52AA7BFE01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10</xdr:row>
      <xdr:rowOff>152400</xdr:rowOff>
    </xdr:from>
    <xdr:to>
      <xdr:col>6</xdr:col>
      <xdr:colOff>200025</xdr:colOff>
      <xdr:row>13</xdr:row>
      <xdr:rowOff>47625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8BEE65EE-3C00-4B52-AF9A-5056D2312B89}"/>
            </a:ext>
          </a:extLst>
        </xdr:cNvPr>
        <xdr:cNvSpPr txBox="1">
          <a:spLocks noChangeArrowheads="1"/>
        </xdr:cNvSpPr>
      </xdr:nvSpPr>
      <xdr:spPr bwMode="auto">
        <a:xfrm>
          <a:off x="76200" y="41243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7</xdr:col>
      <xdr:colOff>200025</xdr:colOff>
      <xdr:row>5</xdr:row>
      <xdr:rowOff>38100</xdr:rowOff>
    </xdr:from>
    <xdr:to>
      <xdr:col>17</xdr:col>
      <xdr:colOff>171450</xdr:colOff>
      <xdr:row>9</xdr:row>
      <xdr:rowOff>85725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E156ED13-69E8-43AA-ACC7-29CA0985F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219200"/>
          <a:ext cx="3114675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1117" name="Picture 93">
          <a:extLst>
            <a:ext uri="{FF2B5EF4-FFF2-40B4-BE49-F238E27FC236}">
              <a16:creationId xmlns:a16="http://schemas.microsoft.com/office/drawing/2014/main" id="{8C6A827F-342B-464F-9665-9FC84F07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180975</xdr:colOff>
      <xdr:row>15</xdr:row>
      <xdr:rowOff>1171575</xdr:rowOff>
    </xdr:from>
    <xdr:to>
      <xdr:col>10</xdr:col>
      <xdr:colOff>219075</xdr:colOff>
      <xdr:row>15</xdr:row>
      <xdr:rowOff>1333500</xdr:rowOff>
    </xdr:to>
    <xdr:sp macro="" textlink="">
      <xdr:nvSpPr>
        <xdr:cNvPr id="1120" name="Text Box 96">
          <a:extLst>
            <a:ext uri="{FF2B5EF4-FFF2-40B4-BE49-F238E27FC236}">
              <a16:creationId xmlns:a16="http://schemas.microsoft.com/office/drawing/2014/main" id="{1794C0B6-320B-458B-AF2F-E056A4C97816}"/>
            </a:ext>
          </a:extLst>
        </xdr:cNvPr>
        <xdr:cNvSpPr txBox="1">
          <a:spLocks noChangeArrowheads="1"/>
        </xdr:cNvSpPr>
      </xdr:nvSpPr>
      <xdr:spPr bwMode="auto">
        <a:xfrm>
          <a:off x="262890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16.4m</a:t>
          </a:r>
        </a:p>
      </xdr:txBody>
    </xdr:sp>
    <xdr:clientData/>
  </xdr:twoCellAnchor>
  <xdr:twoCellAnchor>
    <xdr:from>
      <xdr:col>5</xdr:col>
      <xdr:colOff>171450</xdr:colOff>
      <xdr:row>15</xdr:row>
      <xdr:rowOff>95250</xdr:rowOff>
    </xdr:from>
    <xdr:to>
      <xdr:col>6</xdr:col>
      <xdr:colOff>209550</xdr:colOff>
      <xdr:row>15</xdr:row>
      <xdr:rowOff>257175</xdr:rowOff>
    </xdr:to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BC94D553-090E-4AC2-AF37-9B94D4F86A9C}"/>
            </a:ext>
          </a:extLst>
        </xdr:cNvPr>
        <xdr:cNvSpPr txBox="1">
          <a:spLocks noChangeArrowheads="1"/>
        </xdr:cNvSpPr>
      </xdr:nvSpPr>
      <xdr:spPr bwMode="auto">
        <a:xfrm>
          <a:off x="1362075" y="5210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11.3m</a:t>
          </a:r>
        </a:p>
      </xdr:txBody>
    </xdr:sp>
    <xdr:clientData/>
  </xdr:twoCellAnchor>
  <xdr:twoCellAnchor>
    <xdr:from>
      <xdr:col>12</xdr:col>
      <xdr:colOff>180975</xdr:colOff>
      <xdr:row>15</xdr:row>
      <xdr:rowOff>219075</xdr:rowOff>
    </xdr:from>
    <xdr:to>
      <xdr:col>13</xdr:col>
      <xdr:colOff>219075</xdr:colOff>
      <xdr:row>15</xdr:row>
      <xdr:rowOff>381000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1748A453-319E-4946-A576-2FF0FC530683}"/>
            </a:ext>
          </a:extLst>
        </xdr:cNvPr>
        <xdr:cNvSpPr txBox="1">
          <a:spLocks noChangeArrowheads="1"/>
        </xdr:cNvSpPr>
      </xdr:nvSpPr>
      <xdr:spPr bwMode="auto">
        <a:xfrm>
          <a:off x="3571875" y="53340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114300</xdr:colOff>
      <xdr:row>15</xdr:row>
      <xdr:rowOff>209550</xdr:rowOff>
    </xdr:from>
    <xdr:to>
      <xdr:col>8</xdr:col>
      <xdr:colOff>152400</xdr:colOff>
      <xdr:row>15</xdr:row>
      <xdr:rowOff>371475</xdr:rowOff>
    </xdr:to>
    <xdr:sp macro="" textlink="">
      <xdr:nvSpPr>
        <xdr:cNvPr id="1123" name="Text Box 99">
          <a:extLst>
            <a:ext uri="{FF2B5EF4-FFF2-40B4-BE49-F238E27FC236}">
              <a16:creationId xmlns:a16="http://schemas.microsoft.com/office/drawing/2014/main" id="{7C5B4B99-94E2-4C11-9A13-C1398F763B14}"/>
            </a:ext>
          </a:extLst>
        </xdr:cNvPr>
        <xdr:cNvSpPr txBox="1">
          <a:spLocks noChangeArrowheads="1"/>
        </xdr:cNvSpPr>
      </xdr:nvSpPr>
      <xdr:spPr bwMode="auto">
        <a:xfrm>
          <a:off x="1933575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歩灯２</a:t>
          </a:r>
        </a:p>
      </xdr:txBody>
    </xdr:sp>
    <xdr:clientData/>
  </xdr:twoCellAnchor>
  <xdr:twoCellAnchor>
    <xdr:from>
      <xdr:col>7</xdr:col>
      <xdr:colOff>142875</xdr:colOff>
      <xdr:row>15</xdr:row>
      <xdr:rowOff>1162050</xdr:rowOff>
    </xdr:from>
    <xdr:to>
      <xdr:col>8</xdr:col>
      <xdr:colOff>180975</xdr:colOff>
      <xdr:row>15</xdr:row>
      <xdr:rowOff>1323975</xdr:rowOff>
    </xdr:to>
    <xdr:sp macro="" textlink="">
      <xdr:nvSpPr>
        <xdr:cNvPr id="1124" name="Text Box 100">
          <a:extLst>
            <a:ext uri="{FF2B5EF4-FFF2-40B4-BE49-F238E27FC236}">
              <a16:creationId xmlns:a16="http://schemas.microsoft.com/office/drawing/2014/main" id="{8F8445B3-A791-4ABD-9C96-6817880B4A8C}"/>
            </a:ext>
          </a:extLst>
        </xdr:cNvPr>
        <xdr:cNvSpPr txBox="1">
          <a:spLocks noChangeArrowheads="1"/>
        </xdr:cNvSpPr>
      </xdr:nvSpPr>
      <xdr:spPr bwMode="auto">
        <a:xfrm>
          <a:off x="1962150" y="62769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歩灯２</a:t>
          </a:r>
        </a:p>
      </xdr:txBody>
    </xdr:sp>
    <xdr:clientData/>
  </xdr:twoCellAnchor>
  <xdr:twoCellAnchor>
    <xdr:from>
      <xdr:col>9</xdr:col>
      <xdr:colOff>171450</xdr:colOff>
      <xdr:row>15</xdr:row>
      <xdr:rowOff>228600</xdr:rowOff>
    </xdr:from>
    <xdr:to>
      <xdr:col>10</xdr:col>
      <xdr:colOff>209550</xdr:colOff>
      <xdr:row>15</xdr:row>
      <xdr:rowOff>390525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ACDF8D4A-25ED-4076-8308-87C90CEF16E3}"/>
            </a:ext>
          </a:extLst>
        </xdr:cNvPr>
        <xdr:cNvSpPr txBox="1">
          <a:spLocks noChangeArrowheads="1"/>
        </xdr:cNvSpPr>
      </xdr:nvSpPr>
      <xdr:spPr bwMode="auto">
        <a:xfrm>
          <a:off x="2619375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21</xdr:col>
      <xdr:colOff>66675</xdr:colOff>
      <xdr:row>15</xdr:row>
      <xdr:rowOff>457200</xdr:rowOff>
    </xdr:from>
    <xdr:to>
      <xdr:col>23</xdr:col>
      <xdr:colOff>133350</xdr:colOff>
      <xdr:row>15</xdr:row>
      <xdr:rowOff>1152525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2A7F4D5A-F8B7-4801-9DB1-4AD60527A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557212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38100</xdr:colOff>
      <xdr:row>4</xdr:row>
      <xdr:rowOff>104775</xdr:rowOff>
    </xdr:from>
    <xdr:to>
      <xdr:col>9</xdr:col>
      <xdr:colOff>295275</xdr:colOff>
      <xdr:row>7</xdr:row>
      <xdr:rowOff>238125</xdr:rowOff>
    </xdr:to>
    <xdr:sp macro="" textlink="">
      <xdr:nvSpPr>
        <xdr:cNvPr id="1127" name="Rectangle 103">
          <a:extLst>
            <a:ext uri="{FF2B5EF4-FFF2-40B4-BE49-F238E27FC236}">
              <a16:creationId xmlns:a16="http://schemas.microsoft.com/office/drawing/2014/main" id="{6A588DB9-2AC0-41F1-8B9D-DB803160C5A9}"/>
            </a:ext>
          </a:extLst>
        </xdr:cNvPr>
        <xdr:cNvSpPr>
          <a:spLocks noChangeArrowheads="1"/>
        </xdr:cNvSpPr>
      </xdr:nvSpPr>
      <xdr:spPr bwMode="auto">
        <a:xfrm>
          <a:off x="1857375" y="1057275"/>
          <a:ext cx="885825" cy="819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K37" sqref="K37"/>
    </sheetView>
  </sheetViews>
  <sheetFormatPr defaultRowHeight="12" x14ac:dyDescent="0.15"/>
  <cols>
    <col min="1" max="1" width="7.5" style="55" bestFit="1" customWidth="1"/>
    <col min="2" max="2" width="2.25" style="61" bestFit="1" customWidth="1"/>
    <col min="3" max="3" width="5.25" style="55" bestFit="1" customWidth="1"/>
    <col min="4" max="4" width="2.25" style="60" bestFit="1" customWidth="1"/>
    <col min="5" max="24" width="4.125" style="29" customWidth="1"/>
    <col min="25" max="16384" width="9" style="29"/>
  </cols>
  <sheetData>
    <row r="1" spans="1:30" ht="15" customHeight="1" x14ac:dyDescent="0.15">
      <c r="A1" s="62" t="s">
        <v>0</v>
      </c>
      <c r="B1" s="92"/>
      <c r="C1" s="92"/>
      <c r="D1" s="92"/>
      <c r="E1" s="63"/>
      <c r="F1" s="106" t="s">
        <v>51</v>
      </c>
      <c r="G1" s="92"/>
      <c r="H1" s="89" t="s">
        <v>50</v>
      </c>
      <c r="I1" s="89"/>
      <c r="J1" s="89"/>
      <c r="K1" s="89"/>
      <c r="L1" s="92" t="s">
        <v>42</v>
      </c>
      <c r="M1" s="63"/>
      <c r="N1" s="95" t="s">
        <v>43</v>
      </c>
      <c r="O1" s="63"/>
      <c r="P1" s="96">
        <v>46063</v>
      </c>
      <c r="Q1" s="97"/>
      <c r="R1" s="97"/>
      <c r="S1" s="98"/>
      <c r="T1" s="91" t="s">
        <v>3</v>
      </c>
      <c r="U1" s="91"/>
      <c r="V1" s="91" t="s">
        <v>56</v>
      </c>
      <c r="W1" s="91"/>
      <c r="X1" s="91"/>
    </row>
    <row r="2" spans="1:30" ht="7.5" customHeight="1" x14ac:dyDescent="0.15">
      <c r="A2" s="105"/>
      <c r="B2" s="93"/>
      <c r="C2" s="93"/>
      <c r="D2" s="93"/>
      <c r="E2" s="94"/>
      <c r="F2" s="105"/>
      <c r="G2" s="93"/>
      <c r="H2" s="90"/>
      <c r="I2" s="90"/>
      <c r="J2" s="90"/>
      <c r="K2" s="90"/>
      <c r="L2" s="93"/>
      <c r="M2" s="94"/>
      <c r="N2" s="72"/>
      <c r="O2" s="74"/>
      <c r="P2" s="99"/>
      <c r="Q2" s="100"/>
      <c r="R2" s="100"/>
      <c r="S2" s="101"/>
      <c r="T2" s="62" t="s">
        <v>6</v>
      </c>
      <c r="U2" s="63"/>
      <c r="V2" s="66">
        <v>46023</v>
      </c>
      <c r="W2" s="67"/>
      <c r="X2" s="68"/>
    </row>
    <row r="3" spans="1:30" ht="7.5" customHeight="1" x14ac:dyDescent="0.15">
      <c r="A3" s="72" t="s">
        <v>4</v>
      </c>
      <c r="B3" s="73"/>
      <c r="C3" s="73"/>
      <c r="D3" s="73"/>
      <c r="E3" s="74"/>
      <c r="F3" s="76" t="s">
        <v>52</v>
      </c>
      <c r="G3" s="77"/>
      <c r="H3" s="78" t="s">
        <v>50</v>
      </c>
      <c r="I3" s="78"/>
      <c r="J3" s="78"/>
      <c r="K3" s="78"/>
      <c r="L3" s="80" t="s">
        <v>44</v>
      </c>
      <c r="M3" s="81"/>
      <c r="N3" s="72"/>
      <c r="O3" s="74"/>
      <c r="P3" s="84">
        <v>0.13958333333333334</v>
      </c>
      <c r="Q3" s="85"/>
      <c r="R3" s="85"/>
      <c r="S3" s="88" t="s">
        <v>45</v>
      </c>
      <c r="T3" s="64"/>
      <c r="U3" s="65"/>
      <c r="V3" s="69"/>
      <c r="W3" s="70"/>
      <c r="X3" s="71"/>
    </row>
    <row r="4" spans="1:30" ht="15" customHeight="1" x14ac:dyDescent="0.15">
      <c r="A4" s="64"/>
      <c r="B4" s="75"/>
      <c r="C4" s="75"/>
      <c r="D4" s="75"/>
      <c r="E4" s="65"/>
      <c r="F4" s="64"/>
      <c r="G4" s="75"/>
      <c r="H4" s="79"/>
      <c r="I4" s="79"/>
      <c r="J4" s="79"/>
      <c r="K4" s="79"/>
      <c r="L4" s="82"/>
      <c r="M4" s="83"/>
      <c r="N4" s="64"/>
      <c r="O4" s="65"/>
      <c r="P4" s="86"/>
      <c r="Q4" s="87"/>
      <c r="R4" s="87"/>
      <c r="S4" s="65"/>
      <c r="T4" s="91" t="s">
        <v>46</v>
      </c>
      <c r="U4" s="91"/>
      <c r="V4" s="91" t="s">
        <v>55</v>
      </c>
      <c r="W4" s="91"/>
      <c r="X4" s="91"/>
      <c r="Z4" s="30" t="s">
        <v>47</v>
      </c>
      <c r="AA4" s="31">
        <v>1685</v>
      </c>
    </row>
    <row r="5" spans="1:30" ht="18" customHeight="1" x14ac:dyDescent="0.15">
      <c r="A5" s="119"/>
      <c r="B5" s="120"/>
      <c r="C5" s="120"/>
      <c r="D5" s="120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 t="s">
        <v>7</v>
      </c>
      <c r="W5" s="44"/>
      <c r="X5" s="45"/>
    </row>
    <row r="6" spans="1:30" ht="18" customHeight="1" x14ac:dyDescent="0.15">
      <c r="A6" s="117"/>
      <c r="B6" s="118"/>
      <c r="C6" s="118"/>
      <c r="D6" s="118"/>
      <c r="X6" s="46"/>
    </row>
    <row r="7" spans="1:30" ht="18" customHeight="1" x14ac:dyDescent="0.15">
      <c r="A7" s="117"/>
      <c r="B7" s="118"/>
      <c r="C7" s="118"/>
      <c r="D7" s="118"/>
      <c r="X7" s="46"/>
    </row>
    <row r="8" spans="1:30" ht="18" customHeight="1" x14ac:dyDescent="0.15">
      <c r="A8" s="117"/>
      <c r="B8" s="118"/>
      <c r="C8" s="118"/>
      <c r="D8" s="118"/>
      <c r="X8" s="46"/>
    </row>
    <row r="9" spans="1:30" ht="18" customHeight="1" x14ac:dyDescent="0.15">
      <c r="A9" s="117"/>
      <c r="B9" s="118"/>
      <c r="C9" s="118"/>
      <c r="D9" s="118"/>
      <c r="X9" s="46"/>
    </row>
    <row r="10" spans="1:30" ht="147.75" customHeight="1" x14ac:dyDescent="0.15">
      <c r="A10" s="117"/>
      <c r="B10" s="118"/>
      <c r="C10" s="118"/>
      <c r="D10" s="118"/>
      <c r="X10" s="46"/>
    </row>
    <row r="11" spans="1:30" ht="18" customHeight="1" x14ac:dyDescent="0.15">
      <c r="A11" s="117"/>
      <c r="B11" s="118"/>
      <c r="C11" s="118"/>
      <c r="D11" s="118"/>
      <c r="X11" s="46"/>
    </row>
    <row r="12" spans="1:30" ht="18" customHeight="1" x14ac:dyDescent="0.15">
      <c r="A12" s="117"/>
      <c r="B12" s="118"/>
      <c r="C12" s="118"/>
      <c r="D12" s="118"/>
      <c r="X12" s="46"/>
    </row>
    <row r="13" spans="1:30" ht="18" customHeight="1" x14ac:dyDescent="0.15">
      <c r="A13" s="110"/>
      <c r="B13" s="111"/>
      <c r="C13" s="118"/>
      <c r="D13" s="118"/>
      <c r="E13" s="47"/>
      <c r="F13" s="47"/>
      <c r="G13" s="47"/>
      <c r="H13" s="47"/>
      <c r="I13" s="47"/>
      <c r="X13" s="46"/>
    </row>
    <row r="14" spans="1:30" ht="18" customHeight="1" x14ac:dyDescent="0.15">
      <c r="A14" s="110"/>
      <c r="B14" s="111"/>
      <c r="C14" s="112"/>
      <c r="D14" s="112"/>
      <c r="X14" s="46"/>
      <c r="Z14" s="29">
        <v>50</v>
      </c>
      <c r="AA14" s="29">
        <f>Z14/3.6</f>
        <v>13.888888888888889</v>
      </c>
      <c r="AC14" s="32">
        <v>32.799999999999997</v>
      </c>
      <c r="AD14" s="32">
        <f>AC14/AA14</f>
        <v>2.3615999999999997</v>
      </c>
    </row>
    <row r="15" spans="1:30" ht="18" customHeight="1" x14ac:dyDescent="0.15">
      <c r="A15" s="113"/>
      <c r="B15" s="114"/>
      <c r="C15" s="115"/>
      <c r="D15" s="115"/>
      <c r="E15" s="48"/>
      <c r="F15" s="48"/>
      <c r="G15" s="48"/>
      <c r="H15" s="4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/>
      <c r="Z15" s="29">
        <v>40</v>
      </c>
      <c r="AA15" s="29">
        <f>Z15/3.6</f>
        <v>11.111111111111111</v>
      </c>
      <c r="AC15" s="32">
        <v>38.200000000000003</v>
      </c>
      <c r="AD15" s="32">
        <f>AC15/AA15</f>
        <v>3.4380000000000002</v>
      </c>
    </row>
    <row r="16" spans="1:30" s="43" customFormat="1" ht="18" customHeight="1" x14ac:dyDescent="0.15">
      <c r="A16" s="116" t="s">
        <v>8</v>
      </c>
      <c r="B16" s="116"/>
      <c r="C16" s="116"/>
      <c r="D16" s="116"/>
      <c r="E16" s="51">
        <v>1</v>
      </c>
      <c r="F16" s="51">
        <v>2</v>
      </c>
      <c r="G16" s="51">
        <v>3</v>
      </c>
      <c r="H16" s="51">
        <v>4</v>
      </c>
      <c r="I16" s="51">
        <v>5</v>
      </c>
      <c r="J16" s="51">
        <v>6</v>
      </c>
      <c r="K16" s="51">
        <v>7</v>
      </c>
      <c r="L16" s="51">
        <v>8</v>
      </c>
      <c r="M16" s="51">
        <v>9</v>
      </c>
      <c r="N16" s="51">
        <v>10</v>
      </c>
      <c r="O16" s="51">
        <v>11</v>
      </c>
      <c r="P16" s="51">
        <v>12</v>
      </c>
      <c r="Q16" s="51">
        <v>13</v>
      </c>
      <c r="R16" s="52">
        <v>14</v>
      </c>
      <c r="S16" s="51">
        <v>15</v>
      </c>
      <c r="T16" s="51">
        <v>16</v>
      </c>
      <c r="U16" s="51">
        <v>17</v>
      </c>
      <c r="V16" s="51">
        <v>18</v>
      </c>
      <c r="W16" s="51">
        <v>19</v>
      </c>
      <c r="X16" s="51">
        <v>20</v>
      </c>
    </row>
    <row r="17" spans="1:25" s="55" customFormat="1" ht="18" customHeight="1" x14ac:dyDescent="0.15">
      <c r="A17" s="116" t="s">
        <v>9</v>
      </c>
      <c r="B17" s="116"/>
      <c r="C17" s="116"/>
      <c r="D17" s="116"/>
      <c r="E17" s="53" t="s">
        <v>10</v>
      </c>
      <c r="F17" s="53" t="s">
        <v>11</v>
      </c>
      <c r="G17" s="53" t="s">
        <v>12</v>
      </c>
      <c r="H17" s="53" t="s">
        <v>13</v>
      </c>
      <c r="I17" s="53" t="s">
        <v>14</v>
      </c>
      <c r="J17" s="53" t="s">
        <v>15</v>
      </c>
      <c r="K17" s="53" t="s">
        <v>16</v>
      </c>
      <c r="L17" s="53" t="s">
        <v>17</v>
      </c>
      <c r="M17" s="53" t="s">
        <v>18</v>
      </c>
      <c r="N17" s="54" t="s">
        <v>19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</row>
    <row r="18" spans="1:25" s="55" customFormat="1" ht="125.1" customHeight="1" x14ac:dyDescent="0.15">
      <c r="A18" s="102"/>
      <c r="B18" s="103"/>
      <c r="C18" s="103"/>
      <c r="D18" s="104"/>
      <c r="E18" s="56"/>
      <c r="F18" s="56"/>
      <c r="G18" s="56"/>
      <c r="H18" s="56"/>
      <c r="I18" s="54"/>
      <c r="J18" s="56"/>
      <c r="K18" s="56"/>
      <c r="L18" s="56"/>
      <c r="M18" s="56"/>
      <c r="N18" s="54"/>
      <c r="O18" s="56"/>
      <c r="Q18" s="56"/>
      <c r="R18" s="56"/>
      <c r="S18" s="56"/>
      <c r="T18" s="56"/>
      <c r="U18" s="56"/>
      <c r="V18" s="56"/>
      <c r="W18" s="56"/>
      <c r="X18" s="54"/>
      <c r="Y18" s="57"/>
    </row>
    <row r="19" spans="1:25" ht="18" customHeight="1" x14ac:dyDescent="0.15">
      <c r="A19" s="102" t="s">
        <v>53</v>
      </c>
      <c r="B19" s="103"/>
      <c r="C19" s="103" t="s">
        <v>21</v>
      </c>
      <c r="D19" s="104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spans="1:25" ht="18" customHeight="1" x14ac:dyDescent="0.15">
      <c r="A20" s="102" t="s">
        <v>22</v>
      </c>
      <c r="B20" s="103"/>
      <c r="C20" s="103" t="s">
        <v>23</v>
      </c>
      <c r="D20" s="104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</row>
    <row r="21" spans="1:25" ht="18" customHeight="1" x14ac:dyDescent="0.15">
      <c r="A21" s="102" t="s">
        <v>54</v>
      </c>
      <c r="B21" s="103"/>
      <c r="C21" s="103" t="s">
        <v>25</v>
      </c>
      <c r="D21" s="104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spans="1:25" ht="18" customHeight="1" x14ac:dyDescent="0.15">
      <c r="A22" s="102" t="s">
        <v>26</v>
      </c>
      <c r="B22" s="103"/>
      <c r="C22" s="103" t="s">
        <v>27</v>
      </c>
      <c r="D22" s="104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</row>
    <row r="23" spans="1:25" ht="18" customHeight="1" x14ac:dyDescent="0.15">
      <c r="A23" s="102"/>
      <c r="B23" s="103"/>
      <c r="C23" s="103"/>
      <c r="D23" s="104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5" ht="18" customHeight="1" x14ac:dyDescent="0.15">
      <c r="A24" s="102"/>
      <c r="B24" s="103"/>
      <c r="C24" s="103"/>
      <c r="D24" s="104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spans="1:25" ht="18" customHeight="1" x14ac:dyDescent="0.15">
      <c r="A25" s="107"/>
      <c r="B25" s="108"/>
      <c r="C25" s="108"/>
      <c r="D25" s="109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5" ht="18" customHeight="1" x14ac:dyDescent="0.15">
      <c r="A26" s="107"/>
      <c r="B26" s="108"/>
      <c r="C26" s="108"/>
      <c r="D26" s="109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 spans="1:25" ht="18" customHeight="1" x14ac:dyDescent="0.15">
      <c r="A27" s="107"/>
      <c r="B27" s="108"/>
      <c r="C27" s="108"/>
      <c r="D27" s="109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5" ht="18" customHeight="1" x14ac:dyDescent="0.15">
      <c r="A28" s="107"/>
      <c r="B28" s="108"/>
      <c r="C28" s="108"/>
      <c r="D28" s="109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spans="1:25" ht="18" customHeight="1" x14ac:dyDescent="0.15">
      <c r="A29" s="107"/>
      <c r="B29" s="108"/>
      <c r="C29" s="108"/>
      <c r="D29" s="109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5" ht="18" customHeight="1" x14ac:dyDescent="0.15">
      <c r="A30" s="107"/>
      <c r="B30" s="108"/>
      <c r="C30" s="108"/>
      <c r="D30" s="109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 spans="1:25" ht="18" customHeight="1" x14ac:dyDescent="0.15">
      <c r="A31" s="107"/>
      <c r="B31" s="108"/>
      <c r="C31" s="108"/>
      <c r="D31" s="109"/>
      <c r="E31" s="58"/>
      <c r="F31" s="58"/>
      <c r="G31" s="58"/>
      <c r="H31" s="59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5" ht="18" customHeight="1" x14ac:dyDescent="0.15">
      <c r="A32" s="107"/>
      <c r="B32" s="108"/>
      <c r="C32" s="108"/>
      <c r="D32" s="109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 spans="1:27" ht="18" customHeight="1" x14ac:dyDescent="0.15">
      <c r="A33" s="33" t="s">
        <v>48</v>
      </c>
      <c r="B33" s="34"/>
      <c r="C33" s="35"/>
      <c r="D33" s="36"/>
      <c r="E33" s="37">
        <v>109</v>
      </c>
      <c r="F33" s="37"/>
      <c r="G33" s="37"/>
      <c r="H33" s="37"/>
      <c r="I33" s="37"/>
      <c r="J33" s="37">
        <v>109</v>
      </c>
      <c r="K33" s="37"/>
      <c r="L33" s="38"/>
      <c r="M33" s="37"/>
      <c r="N33" s="37"/>
      <c r="O33" s="37"/>
      <c r="P33" s="37"/>
      <c r="Q33" s="51"/>
      <c r="R33" s="51"/>
      <c r="S33" s="58"/>
      <c r="T33" s="58"/>
      <c r="U33" s="58"/>
      <c r="V33" s="58"/>
      <c r="W33" s="58"/>
      <c r="X33" s="58"/>
    </row>
    <row r="34" spans="1:27" ht="18" customHeight="1" x14ac:dyDescent="0.15">
      <c r="A34" s="39" t="s">
        <v>49</v>
      </c>
      <c r="B34" s="40" t="s">
        <v>29</v>
      </c>
      <c r="C34" s="41">
        <f>SUM(E34:X34)</f>
        <v>55</v>
      </c>
      <c r="D34" s="42" t="s">
        <v>30</v>
      </c>
      <c r="E34" s="37">
        <v>11</v>
      </c>
      <c r="F34" s="37">
        <v>5</v>
      </c>
      <c r="G34" s="37">
        <v>2</v>
      </c>
      <c r="H34" s="37">
        <v>3</v>
      </c>
      <c r="I34" s="37">
        <v>3</v>
      </c>
      <c r="J34" s="37">
        <v>17</v>
      </c>
      <c r="K34" s="37">
        <v>6</v>
      </c>
      <c r="L34" s="37">
        <v>2</v>
      </c>
      <c r="M34" s="37">
        <v>3</v>
      </c>
      <c r="N34" s="37">
        <v>3</v>
      </c>
      <c r="O34" s="37"/>
      <c r="P34" s="37"/>
      <c r="Q34" s="51"/>
      <c r="R34" s="51"/>
      <c r="S34" s="58"/>
      <c r="T34" s="58"/>
      <c r="U34" s="58"/>
      <c r="V34" s="58"/>
      <c r="W34" s="58"/>
      <c r="X34" s="58"/>
      <c r="Z34" s="43">
        <v>110</v>
      </c>
      <c r="AA34" s="43">
        <f>Z34-INT(Z34/8)-3</f>
        <v>94</v>
      </c>
    </row>
    <row r="35" spans="1:27" ht="18" customHeight="1" x14ac:dyDescent="0.15">
      <c r="A35" s="39" t="s">
        <v>28</v>
      </c>
      <c r="B35" s="40" t="s">
        <v>29</v>
      </c>
      <c r="C35" s="41">
        <f>SUM(E35:X35)</f>
        <v>150</v>
      </c>
      <c r="D35" s="42" t="s">
        <v>30</v>
      </c>
      <c r="E35" s="51">
        <v>95</v>
      </c>
      <c r="F35" s="51">
        <v>5</v>
      </c>
      <c r="G35" s="51">
        <v>2</v>
      </c>
      <c r="H35" s="51">
        <v>3</v>
      </c>
      <c r="I35" s="51">
        <v>3</v>
      </c>
      <c r="J35" s="51">
        <v>28</v>
      </c>
      <c r="K35" s="51">
        <v>6</v>
      </c>
      <c r="L35" s="51">
        <v>2</v>
      </c>
      <c r="M35" s="51">
        <v>3</v>
      </c>
      <c r="N35" s="51">
        <v>3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Z35" s="43">
        <v>150</v>
      </c>
      <c r="AA35" s="43">
        <f>Z35-INT(Z35/8)-3</f>
        <v>129</v>
      </c>
    </row>
    <row r="36" spans="1:27" ht="18" customHeight="1" x14ac:dyDescent="0.15">
      <c r="A36" s="102" t="s">
        <v>31</v>
      </c>
      <c r="B36" s="103"/>
      <c r="C36" s="103"/>
      <c r="D36" s="104"/>
      <c r="E36" s="51">
        <v>110</v>
      </c>
      <c r="F36" s="51">
        <v>110</v>
      </c>
      <c r="G36" s="51">
        <v>110</v>
      </c>
      <c r="H36" s="51">
        <v>10</v>
      </c>
      <c r="I36" s="51">
        <v>10</v>
      </c>
      <c r="J36" s="51">
        <v>110</v>
      </c>
      <c r="K36" s="51">
        <v>110</v>
      </c>
      <c r="L36" s="51">
        <v>110</v>
      </c>
      <c r="M36" s="51">
        <v>10</v>
      </c>
      <c r="N36" s="51">
        <v>10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spans="1:27" ht="18" customHeight="1" x14ac:dyDescent="0.15">
      <c r="A37" s="102" t="s">
        <v>32</v>
      </c>
      <c r="B37" s="103"/>
      <c r="C37" s="103"/>
      <c r="D37" s="104"/>
      <c r="E37" s="37">
        <v>6</v>
      </c>
      <c r="F37" s="37">
        <v>0.95</v>
      </c>
      <c r="G37" s="37">
        <v>0.95</v>
      </c>
      <c r="H37" s="37">
        <v>0.95</v>
      </c>
      <c r="I37" s="37">
        <v>0.95</v>
      </c>
      <c r="J37" s="37">
        <v>6</v>
      </c>
      <c r="K37" s="37">
        <v>0.95</v>
      </c>
      <c r="L37" s="37">
        <v>0.95</v>
      </c>
      <c r="M37" s="37">
        <v>0.95</v>
      </c>
      <c r="N37" s="37">
        <v>0.95</v>
      </c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7" ht="18" customHeight="1" x14ac:dyDescent="0.15">
      <c r="A38" s="102" t="s">
        <v>33</v>
      </c>
      <c r="B38" s="103"/>
      <c r="C38" s="103"/>
      <c r="D38" s="104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P1:S2"/>
    <mergeCell ref="T1:U1"/>
  </mergeCells>
  <phoneticPr fontId="2"/>
  <pageMargins left="0.78740157480314965" right="0" top="0.39370078740157483" bottom="0" header="0.23622047244094491" footer="0.31496062992125984"/>
  <pageSetup paperSize="9" scale="94" firstPageNumber="37" orientation="portrait" useFirstPageNumber="1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zoomScaleNormal="100" workbookViewId="0">
      <selection sqref="A1:E1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39" t="s">
        <v>0</v>
      </c>
      <c r="B1" s="139"/>
      <c r="C1" s="139"/>
      <c r="D1" s="139"/>
      <c r="E1" s="139"/>
      <c r="F1" s="149" t="s">
        <v>36</v>
      </c>
      <c r="G1" s="150"/>
      <c r="H1" s="151" t="s">
        <v>1</v>
      </c>
      <c r="I1" s="152"/>
      <c r="J1" s="152"/>
      <c r="K1" s="152"/>
      <c r="L1" s="152"/>
      <c r="M1" s="152"/>
      <c r="N1" s="153" t="s">
        <v>2</v>
      </c>
      <c r="O1" s="153"/>
      <c r="P1" s="154">
        <v>38057</v>
      </c>
      <c r="Q1" s="155"/>
      <c r="R1" s="155"/>
      <c r="S1" s="155"/>
      <c r="T1" s="147" t="s">
        <v>3</v>
      </c>
      <c r="U1" s="147"/>
      <c r="V1" s="148" t="s">
        <v>40</v>
      </c>
      <c r="W1" s="148"/>
      <c r="X1" s="148"/>
    </row>
    <row r="2" spans="1:25" ht="20.100000000000001" customHeight="1" x14ac:dyDescent="0.15">
      <c r="A2" s="142" t="s">
        <v>4</v>
      </c>
      <c r="B2" s="142"/>
      <c r="C2" s="142"/>
      <c r="D2" s="142"/>
      <c r="E2" s="142"/>
      <c r="F2" s="143" t="s">
        <v>37</v>
      </c>
      <c r="G2" s="144"/>
      <c r="H2" s="25" t="s">
        <v>1</v>
      </c>
      <c r="I2" s="25"/>
      <c r="J2" s="25"/>
      <c r="K2" s="25" t="s">
        <v>39</v>
      </c>
      <c r="L2" s="26"/>
      <c r="M2" s="27"/>
      <c r="N2" s="142" t="s">
        <v>5</v>
      </c>
      <c r="O2" s="142"/>
      <c r="P2" s="145" t="s">
        <v>41</v>
      </c>
      <c r="Q2" s="145"/>
      <c r="R2" s="146"/>
      <c r="S2" s="28" t="s">
        <v>38</v>
      </c>
      <c r="T2" s="147" t="s">
        <v>6</v>
      </c>
      <c r="U2" s="147"/>
      <c r="V2" s="148">
        <v>2004.1</v>
      </c>
      <c r="W2" s="148"/>
      <c r="X2" s="148"/>
    </row>
    <row r="3" spans="1:25" ht="18" customHeight="1" x14ac:dyDescent="0.15">
      <c r="A3" s="140"/>
      <c r="B3" s="141"/>
      <c r="C3" s="141"/>
      <c r="D3" s="14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 t="s">
        <v>7</v>
      </c>
      <c r="W3" s="6"/>
      <c r="X3" s="7"/>
    </row>
    <row r="4" spans="1:25" ht="18" customHeight="1" x14ac:dyDescent="0.15">
      <c r="A4" s="131"/>
      <c r="B4" s="132"/>
      <c r="C4" s="132"/>
      <c r="D4" s="132"/>
      <c r="X4" s="9"/>
    </row>
    <row r="5" spans="1:25" ht="18" customHeight="1" x14ac:dyDescent="0.15">
      <c r="A5" s="131"/>
      <c r="B5" s="132"/>
      <c r="C5" s="132"/>
      <c r="D5" s="132"/>
      <c r="X5" s="9"/>
    </row>
    <row r="6" spans="1:25" ht="18" customHeight="1" x14ac:dyDescent="0.15">
      <c r="A6" s="131"/>
      <c r="B6" s="132"/>
      <c r="C6" s="132"/>
      <c r="D6" s="132"/>
      <c r="X6" s="9"/>
    </row>
    <row r="7" spans="1:25" ht="18" customHeight="1" x14ac:dyDescent="0.15">
      <c r="A7" s="131"/>
      <c r="B7" s="132"/>
      <c r="C7" s="132"/>
      <c r="D7" s="132"/>
      <c r="X7" s="9"/>
    </row>
    <row r="8" spans="1:25" ht="147.75" customHeight="1" x14ac:dyDescent="0.15">
      <c r="A8" s="131"/>
      <c r="B8" s="132"/>
      <c r="C8" s="132"/>
      <c r="D8" s="132"/>
      <c r="X8" s="9"/>
    </row>
    <row r="9" spans="1:25" ht="18" customHeight="1" x14ac:dyDescent="0.15">
      <c r="A9" s="131"/>
      <c r="B9" s="132"/>
      <c r="C9" s="132"/>
      <c r="D9" s="132"/>
      <c r="X9" s="9"/>
    </row>
    <row r="10" spans="1:25" ht="18" customHeight="1" x14ac:dyDescent="0.15">
      <c r="A10" s="131"/>
      <c r="B10" s="132"/>
      <c r="C10" s="132"/>
      <c r="D10" s="132"/>
      <c r="X10" s="9"/>
    </row>
    <row r="11" spans="1:25" ht="18" customHeight="1" x14ac:dyDescent="0.15">
      <c r="A11" s="135"/>
      <c r="B11" s="136"/>
      <c r="C11" s="132"/>
      <c r="D11" s="132"/>
      <c r="E11" s="8"/>
      <c r="F11" s="8"/>
      <c r="G11" s="8"/>
      <c r="H11" s="8"/>
      <c r="I11" s="8"/>
      <c r="X11" s="9"/>
    </row>
    <row r="12" spans="1:25" ht="18" customHeight="1" x14ac:dyDescent="0.15">
      <c r="A12" s="135"/>
      <c r="B12" s="136"/>
      <c r="C12" s="137"/>
      <c r="D12" s="137"/>
      <c r="X12" s="9"/>
    </row>
    <row r="13" spans="1:25" ht="18" customHeight="1" x14ac:dyDescent="0.15">
      <c r="A13" s="133"/>
      <c r="B13" s="134"/>
      <c r="C13" s="138"/>
      <c r="D13" s="138"/>
      <c r="E13" s="10"/>
      <c r="F13" s="10"/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4"/>
    </row>
    <row r="14" spans="1:25" s="13" customFormat="1" ht="18" customHeight="1" x14ac:dyDescent="0.15">
      <c r="A14" s="127" t="s">
        <v>8</v>
      </c>
      <c r="B14" s="127"/>
      <c r="C14" s="127"/>
      <c r="D14" s="127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2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6" customFormat="1" ht="18" customHeight="1" x14ac:dyDescent="0.15">
      <c r="A15" s="127" t="s">
        <v>9</v>
      </c>
      <c r="B15" s="127"/>
      <c r="C15" s="127"/>
      <c r="D15" s="127"/>
      <c r="E15" s="14" t="s">
        <v>10</v>
      </c>
      <c r="F15" s="14" t="s">
        <v>11</v>
      </c>
      <c r="G15" s="14" t="s">
        <v>12</v>
      </c>
      <c r="H15" s="14" t="s">
        <v>13</v>
      </c>
      <c r="I15" s="14" t="s">
        <v>14</v>
      </c>
      <c r="J15" s="14" t="s">
        <v>15</v>
      </c>
      <c r="K15" s="14" t="s">
        <v>16</v>
      </c>
      <c r="L15" s="14" t="s">
        <v>17</v>
      </c>
      <c r="M15" s="14" t="s">
        <v>18</v>
      </c>
      <c r="N15" s="15" t="s">
        <v>19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5" s="16" customFormat="1" ht="125.1" customHeight="1" x14ac:dyDescent="0.15">
      <c r="A16" s="128"/>
      <c r="B16" s="129"/>
      <c r="C16" s="129"/>
      <c r="D16" s="130"/>
      <c r="E16" s="17"/>
      <c r="F16" s="17"/>
      <c r="G16" s="17"/>
      <c r="H16" s="17"/>
      <c r="I16" s="15"/>
      <c r="J16" s="17"/>
      <c r="K16" s="17"/>
      <c r="L16" s="17"/>
      <c r="M16" s="17"/>
      <c r="N16" s="15"/>
      <c r="O16" s="17"/>
      <c r="Q16" s="17"/>
      <c r="R16" s="17"/>
      <c r="S16" s="17"/>
      <c r="T16" s="17"/>
      <c r="U16" s="17"/>
      <c r="V16" s="17"/>
      <c r="W16" s="17"/>
      <c r="X16" s="15"/>
      <c r="Y16" s="18"/>
    </row>
    <row r="17" spans="1:24" ht="18" customHeight="1" x14ac:dyDescent="0.15">
      <c r="A17" s="128" t="s">
        <v>20</v>
      </c>
      <c r="B17" s="129"/>
      <c r="C17" s="129" t="s">
        <v>21</v>
      </c>
      <c r="D17" s="13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8" customHeight="1" x14ac:dyDescent="0.15">
      <c r="A18" s="128" t="s">
        <v>22</v>
      </c>
      <c r="B18" s="129"/>
      <c r="C18" s="129" t="s">
        <v>23</v>
      </c>
      <c r="D18" s="13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8" customHeight="1" x14ac:dyDescent="0.15">
      <c r="A19" s="128" t="s">
        <v>24</v>
      </c>
      <c r="B19" s="129"/>
      <c r="C19" s="129" t="s">
        <v>25</v>
      </c>
      <c r="D19" s="13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8" customHeight="1" x14ac:dyDescent="0.15">
      <c r="A20" s="128" t="s">
        <v>26</v>
      </c>
      <c r="B20" s="129"/>
      <c r="C20" s="129" t="s">
        <v>27</v>
      </c>
      <c r="D20" s="13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8" customHeight="1" x14ac:dyDescent="0.15">
      <c r="A21" s="128"/>
      <c r="B21" s="129"/>
      <c r="C21" s="129"/>
      <c r="D21" s="13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8" customHeight="1" x14ac:dyDescent="0.15">
      <c r="A22" s="128"/>
      <c r="B22" s="129"/>
      <c r="C22" s="129"/>
      <c r="D22" s="130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8" customHeight="1" x14ac:dyDescent="0.15">
      <c r="A23" s="126"/>
      <c r="B23" s="124"/>
      <c r="C23" s="124"/>
      <c r="D23" s="125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8" customHeight="1" x14ac:dyDescent="0.15">
      <c r="A24" s="126"/>
      <c r="B24" s="124"/>
      <c r="C24" s="124"/>
      <c r="D24" s="125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8" customHeight="1" x14ac:dyDescent="0.15">
      <c r="A25" s="126"/>
      <c r="B25" s="124"/>
      <c r="C25" s="124"/>
      <c r="D25" s="125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8" customHeight="1" x14ac:dyDescent="0.15">
      <c r="A26" s="126"/>
      <c r="B26" s="124"/>
      <c r="C26" s="124"/>
      <c r="D26" s="125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8" customHeight="1" x14ac:dyDescent="0.15">
      <c r="A27" s="126"/>
      <c r="B27" s="124"/>
      <c r="C27" s="124"/>
      <c r="D27" s="125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8" customHeight="1" x14ac:dyDescent="0.15">
      <c r="A28" s="126"/>
      <c r="B28" s="124"/>
      <c r="C28" s="124"/>
      <c r="D28" s="125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8" customHeight="1" x14ac:dyDescent="0.15">
      <c r="A29" s="126"/>
      <c r="B29" s="124"/>
      <c r="C29" s="124"/>
      <c r="D29" s="125"/>
      <c r="E29" s="19"/>
      <c r="F29" s="19"/>
      <c r="G29" s="19"/>
      <c r="H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8" customHeight="1" x14ac:dyDescent="0.15">
      <c r="A30" s="126"/>
      <c r="B30" s="124"/>
      <c r="C30" s="124"/>
      <c r="D30" s="12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8" customHeight="1" x14ac:dyDescent="0.15">
      <c r="A31" s="121"/>
      <c r="B31" s="122"/>
      <c r="C31" s="122"/>
      <c r="D31" s="123"/>
      <c r="E31" s="19"/>
      <c r="F31" s="19"/>
      <c r="G31" s="19"/>
      <c r="H31" s="19"/>
      <c r="I31" s="1"/>
      <c r="J31" s="1"/>
      <c r="K31" s="19"/>
      <c r="L31" s="19"/>
      <c r="M31" s="19"/>
      <c r="N31" s="1"/>
      <c r="O31" s="1"/>
      <c r="P31" s="2"/>
      <c r="Q31" s="2"/>
      <c r="R31" s="2"/>
      <c r="S31" s="19"/>
      <c r="T31" s="19"/>
      <c r="U31" s="19"/>
      <c r="V31" s="19"/>
      <c r="W31" s="19"/>
      <c r="X31" s="19"/>
    </row>
    <row r="32" spans="1:24" ht="18" customHeight="1" x14ac:dyDescent="0.15">
      <c r="A32" s="121"/>
      <c r="B32" s="122"/>
      <c r="C32" s="122"/>
      <c r="D32" s="123"/>
      <c r="E32" s="1"/>
      <c r="F32" s="1"/>
      <c r="G32" s="1"/>
      <c r="H32" s="1"/>
      <c r="I32" s="1"/>
      <c r="J32" s="1"/>
      <c r="K32" s="1"/>
      <c r="L32" s="1"/>
      <c r="M32" s="1"/>
      <c r="N32" s="1"/>
      <c r="O32" s="19"/>
      <c r="P32" s="2"/>
      <c r="Q32" s="2"/>
      <c r="R32" s="2"/>
      <c r="S32" s="19"/>
      <c r="T32" s="19"/>
      <c r="U32" s="19"/>
      <c r="V32" s="19"/>
      <c r="W32" s="19"/>
      <c r="X32" s="19"/>
    </row>
    <row r="33" spans="1:24" ht="18" customHeight="1" x14ac:dyDescent="0.15">
      <c r="A33" s="21" t="s">
        <v>28</v>
      </c>
      <c r="B33" s="22" t="s">
        <v>29</v>
      </c>
      <c r="C33" s="23">
        <f>SUM(E33:X33)</f>
        <v>150</v>
      </c>
      <c r="D33" s="24" t="s">
        <v>30</v>
      </c>
      <c r="E33" s="1">
        <v>99</v>
      </c>
      <c r="F33" s="1">
        <v>5</v>
      </c>
      <c r="G33" s="1">
        <v>2</v>
      </c>
      <c r="H33" s="1">
        <v>3</v>
      </c>
      <c r="I33" s="1">
        <v>3</v>
      </c>
      <c r="J33" s="1">
        <v>24</v>
      </c>
      <c r="K33" s="1">
        <v>6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21" t="s">
        <v>31</v>
      </c>
      <c r="B34" s="122"/>
      <c r="C34" s="122"/>
      <c r="D34" s="123"/>
      <c r="E34" s="5">
        <v>110</v>
      </c>
      <c r="F34" s="5">
        <v>10</v>
      </c>
      <c r="G34" s="5">
        <v>110</v>
      </c>
      <c r="H34" s="5">
        <v>10</v>
      </c>
      <c r="I34" s="5">
        <v>10</v>
      </c>
      <c r="J34" s="5">
        <v>110</v>
      </c>
      <c r="K34" s="5">
        <v>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21" t="s">
        <v>32</v>
      </c>
      <c r="B35" s="122"/>
      <c r="C35" s="122"/>
      <c r="D35" s="123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6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21" t="s">
        <v>33</v>
      </c>
      <c r="B36" s="122"/>
      <c r="C36" s="122"/>
      <c r="D36" s="123"/>
      <c r="E36" s="5" t="s">
        <v>34</v>
      </c>
      <c r="F36" s="5" t="s">
        <v>35</v>
      </c>
      <c r="G36" s="5" t="s">
        <v>35</v>
      </c>
      <c r="H36" s="5" t="s">
        <v>35</v>
      </c>
      <c r="I36" s="5" t="s">
        <v>35</v>
      </c>
      <c r="J36" s="5" t="s">
        <v>35</v>
      </c>
      <c r="K36" s="5" t="s">
        <v>34</v>
      </c>
      <c r="L36" s="5" t="s">
        <v>34</v>
      </c>
      <c r="M36" s="5" t="s">
        <v>34</v>
      </c>
      <c r="N36" s="5" t="s">
        <v>34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1">
    <mergeCell ref="P2:R2"/>
    <mergeCell ref="T2:U2"/>
    <mergeCell ref="V2:X2"/>
    <mergeCell ref="F1:G1"/>
    <mergeCell ref="H1:M1"/>
    <mergeCell ref="N1:O1"/>
    <mergeCell ref="P1:S1"/>
    <mergeCell ref="T1:U1"/>
    <mergeCell ref="V1:X1"/>
    <mergeCell ref="A5:B5"/>
    <mergeCell ref="C5:D5"/>
    <mergeCell ref="A2:E2"/>
    <mergeCell ref="F2:G2"/>
    <mergeCell ref="N2:O2"/>
    <mergeCell ref="A1:E1"/>
    <mergeCell ref="A3:B3"/>
    <mergeCell ref="C3:D3"/>
    <mergeCell ref="A4:B4"/>
    <mergeCell ref="C4:D4"/>
    <mergeCell ref="A9:B9"/>
    <mergeCell ref="C9:D9"/>
    <mergeCell ref="A10:B10"/>
    <mergeCell ref="C10:D10"/>
    <mergeCell ref="A13:B13"/>
    <mergeCell ref="A11:B11"/>
    <mergeCell ref="A12:B12"/>
    <mergeCell ref="C12:D12"/>
    <mergeCell ref="C11:D11"/>
    <mergeCell ref="C13:D13"/>
    <mergeCell ref="A6:B6"/>
    <mergeCell ref="C6:D6"/>
    <mergeCell ref="A7:B7"/>
    <mergeCell ref="C7:D7"/>
    <mergeCell ref="A8:B8"/>
    <mergeCell ref="C8:D8"/>
    <mergeCell ref="A14:D14"/>
    <mergeCell ref="A21:B21"/>
    <mergeCell ref="C21:D21"/>
    <mergeCell ref="A22:B22"/>
    <mergeCell ref="C22:D22"/>
    <mergeCell ref="A20:B20"/>
    <mergeCell ref="C20:D20"/>
    <mergeCell ref="A19:B19"/>
    <mergeCell ref="C19:D19"/>
    <mergeCell ref="A15:D15"/>
    <mergeCell ref="A16:D16"/>
    <mergeCell ref="A17:B17"/>
    <mergeCell ref="C17:D17"/>
    <mergeCell ref="A18:B18"/>
    <mergeCell ref="C18:D18"/>
    <mergeCell ref="C23:D23"/>
    <mergeCell ref="A24:B24"/>
    <mergeCell ref="C24:D24"/>
    <mergeCell ref="A23:B23"/>
    <mergeCell ref="C27:D27"/>
    <mergeCell ref="A36:D36"/>
    <mergeCell ref="C25:D25"/>
    <mergeCell ref="A26:B26"/>
    <mergeCell ref="C26:D26"/>
    <mergeCell ref="A27:B27"/>
    <mergeCell ref="C29:D29"/>
    <mergeCell ref="A25:B25"/>
    <mergeCell ref="A34:D34"/>
    <mergeCell ref="A31:D31"/>
    <mergeCell ref="A29:B29"/>
    <mergeCell ref="A35:D35"/>
    <mergeCell ref="A30:B30"/>
    <mergeCell ref="C30:D30"/>
    <mergeCell ref="A28:B28"/>
    <mergeCell ref="C28:D28"/>
    <mergeCell ref="A32:D32"/>
  </mergeCells>
  <phoneticPr fontId="2"/>
  <pageMargins left="0.98425196850393704" right="0.11811023622047245" top="0.43307086614173229" bottom="0.59055118110236227" header="0.23622047244094491" footer="0.31496062992125984"/>
  <pageSetup paperSize="9" scale="94" firstPageNumber="37" orientation="portrait" useFirstPageNumber="1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2026-02-10</vt:lpstr>
      <vt:lpstr>420352</vt:lpstr>
      <vt:lpstr>'2026-02-10'!Print_Area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2025-07-02T07:18:35Z</cp:lastPrinted>
  <dcterms:created xsi:type="dcterms:W3CDTF">2003-04-03T04:03:00Z</dcterms:created>
  <dcterms:modified xsi:type="dcterms:W3CDTF">2026-02-21T12:48:00Z</dcterms:modified>
</cp:coreProperties>
</file>