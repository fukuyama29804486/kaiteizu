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FACC721E-1878-4936-9B79-BBD0A4DBE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8" sheetId="3" r:id="rId1"/>
    <sheet name="250219" sheetId="2" r:id="rId2"/>
    <sheet name="旧250219" sheetId="1" r:id="rId3"/>
  </sheets>
  <definedNames>
    <definedName name="_xlnm.Print_Area" localSheetId="0">'2026-02-18'!$A$1:$X$38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3" l="1"/>
  <c r="AD15" i="3" s="1"/>
  <c r="AA14" i="3"/>
  <c r="AD14" i="3" s="1"/>
  <c r="AA35" i="3"/>
  <c r="AA34" i="3"/>
  <c r="C35" i="3"/>
  <c r="C34" i="3"/>
  <c r="C30" i="2"/>
  <c r="C33" i="2"/>
  <c r="C33" i="1"/>
</calcChain>
</file>

<file path=xl/sharedStrings.xml><?xml version="1.0" encoding="utf-8"?>
<sst xmlns="http://schemas.openxmlformats.org/spreadsheetml/2006/main" count="168" uniqueCount="74">
  <si>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</si>
  <si>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2-0219 </t>
    <phoneticPr fontId="1"/>
  </si>
  <si>
    <t>かもめ橋東詰</t>
    <rPh sb="3" eb="4">
      <t>バシ</t>
    </rPh>
    <rPh sb="4" eb="6">
      <t>ヒガシヅメ</t>
    </rPh>
    <phoneticPr fontId="1"/>
  </si>
  <si>
    <t>運　用</t>
    <rPh sb="0" eb="1">
      <t>ウン</t>
    </rPh>
    <rPh sb="2" eb="3">
      <t>ヨウ</t>
    </rPh>
    <phoneticPr fontId="1"/>
  </si>
  <si>
    <t>H.14年12月 4日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</si>
  <si>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</si>
  <si>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2J1330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</si>
  <si>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</si>
  <si>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250219 </t>
    <phoneticPr fontId="1"/>
  </si>
  <si>
    <t>（Ⅱ型）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</si>
  <si>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</si>
  <si>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</si>
  <si>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</si>
  <si>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</si>
  <si>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</si>
  <si>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</si>
  <si>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</si>
  <si>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</si>
  <si>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</si>
  <si>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</si>
  <si>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</si>
  <si>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</si>
  <si>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</si>
  <si>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</si>
  <si>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</si>
  <si>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</si>
  <si>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 xml:space="preserve">  （ １Ｐ ）</t>
    <phoneticPr fontId="1"/>
  </si>
  <si>
    <t>[ 1P ]</t>
    <phoneticPr fontId="1"/>
  </si>
  <si>
    <t>１</t>
    <phoneticPr fontId="1"/>
  </si>
  <si>
    <t>[ 1V ]</t>
    <phoneticPr fontId="1"/>
  </si>
  <si>
    <t xml:space="preserve">  ２Ｐ</t>
    <phoneticPr fontId="1"/>
  </si>
  <si>
    <t>[ 2P ]</t>
    <phoneticPr fontId="1"/>
  </si>
  <si>
    <t>２</t>
    <phoneticPr fontId="1"/>
  </si>
  <si>
    <t xml:space="preserve">[ 2V ] 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</si>
  <si>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</si>
  <si>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</si>
  <si>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</si>
  <si>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</si>
  <si>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</si>
  <si>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</si>
  <si>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</si>
  <si>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</si>
  <si>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</si>
  <si>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</si>
  <si>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</si>
  <si>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</si>
  <si>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</si>
  <si>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 xml:space="preserve">  （ １Ｐ ）</t>
    <phoneticPr fontId="1"/>
  </si>
  <si>
    <t>[ 1P ]</t>
    <phoneticPr fontId="1"/>
  </si>
  <si>
    <t>１</t>
    <phoneticPr fontId="1"/>
  </si>
  <si>
    <t>[ 1V ]</t>
    <phoneticPr fontId="1"/>
  </si>
  <si>
    <t xml:space="preserve">  ２Ｐ</t>
    <phoneticPr fontId="1"/>
  </si>
  <si>
    <t>[ 2P ]</t>
    <phoneticPr fontId="1"/>
  </si>
  <si>
    <t>２</t>
    <phoneticPr fontId="1"/>
  </si>
  <si>
    <t xml:space="preserve">[ 2V ] </t>
    <phoneticPr fontId="1"/>
  </si>
  <si>
    <t>ＰＵ</t>
    <phoneticPr fontId="1"/>
  </si>
  <si>
    <t>ＰＬ</t>
    <phoneticPr fontId="1"/>
  </si>
  <si>
    <t>(</t>
    <phoneticPr fontId="1"/>
  </si>
  <si>
    <t>)</t>
    <phoneticPr fontId="1"/>
  </si>
  <si>
    <t>20219</t>
    <phoneticPr fontId="1"/>
  </si>
  <si>
    <t>5*</t>
    <phoneticPr fontId="1"/>
  </si>
  <si>
    <t>10*</t>
    <phoneticPr fontId="1"/>
  </si>
  <si>
    <t>H.21年 1月27日</t>
    <rPh sb="4" eb="5">
      <t>ネン</t>
    </rPh>
    <rPh sb="7" eb="8">
      <t>ガツ</t>
    </rPh>
    <rPh sb="10" eb="11">
      <t>ニチ</t>
    </rPh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</si>
  <si>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</si>
  <si>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</si>
  <si>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</si>
  <si>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</si>
  <si>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</si>
  <si>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かもめ橋東詰</t>
    <phoneticPr fontId="1"/>
  </si>
  <si>
    <t>02-0219</t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</si>
  <si>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</si>
  <si>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</si>
  <si>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0"/>
  </si>
  <si>
    <t>K0000013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</si>
</sst>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3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5.5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77" fontId="11" fillId="0" borderId="9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right" vertical="center"/>
    </xf>
    <xf numFmtId="176" fontId="11" fillId="0" borderId="7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0" fontId="9" fillId="0" borderId="0" xfId="0" quotePrefix="1" applyFont="1" applyAlignment="1">
      <alignment horizontal="right" vertical="center"/>
    </xf>
    <xf numFmtId="181" fontId="9" fillId="0" borderId="0" xfId="0" applyNumberFormat="1" applyFont="1" applyAlignment="1">
      <alignment vertical="center"/>
    </xf>
    <xf numFmtId="49" fontId="9" fillId="0" borderId="19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15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1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vertical="center"/>
    </xf>
    <xf numFmtId="49" fontId="11" fillId="0" borderId="8" xfId="0" applyNumberFormat="1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9" fillId="0" borderId="19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9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6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16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32" fontId="2" fillId="0" borderId="10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15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4</xdr:row>
      <xdr:rowOff>67801</xdr:rowOff>
    </xdr:from>
    <xdr:to>
      <xdr:col>22</xdr:col>
      <xdr:colOff>129757</xdr:colOff>
      <xdr:row>14</xdr:row>
      <xdr:rowOff>152400</xdr:rowOff>
    </xdr:to>
    <xdr:pic>
      <xdr:nvPicPr>
        <xdr:cNvPr id="150" name="図 149">
          <a:extLst>
            <a:ext uri="{FF2B5EF4-FFF2-40B4-BE49-F238E27FC236}">
              <a16:creationId xmlns:a16="http://schemas.microsoft.com/office/drawing/2014/main" id="{5C9BE046-F4E5-4F11-882A-8D07830E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4" y="639301"/>
          <a:ext cx="6406733" cy="4018424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B604816F-5B6E-4306-89B1-4B9672086422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18</xdr:row>
      <xdr:rowOff>104775</xdr:rowOff>
    </xdr:from>
    <xdr:to>
      <xdr:col>14</xdr:col>
      <xdr:colOff>9525</xdr:colOff>
      <xdr:row>18</xdr:row>
      <xdr:rowOff>152400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53573C33-E053-4095-A1AA-AD77326FA5FC}"/>
            </a:ext>
          </a:extLst>
        </xdr:cNvPr>
        <xdr:cNvGrpSpPr>
          <a:grpSpLocks/>
        </xdr:cNvGrpSpPr>
      </xdr:nvGrpSpPr>
      <xdr:grpSpPr bwMode="auto">
        <a:xfrm>
          <a:off x="1895475" y="6877050"/>
          <a:ext cx="2514600" cy="47625"/>
          <a:chOff x="158" y="715"/>
          <a:chExt cx="33" cy="5"/>
        </a:xfrm>
      </xdr:grpSpPr>
      <xdr:sp macro="" textlink="">
        <xdr:nvSpPr>
          <xdr:cNvPr id="5" name="Line 3">
            <a:extLst>
              <a:ext uri="{FF2B5EF4-FFF2-40B4-BE49-F238E27FC236}">
                <a16:creationId xmlns:a16="http://schemas.microsoft.com/office/drawing/2014/main" id="{21D5C262-01DB-4D3F-B918-C243C2A83FC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4">
            <a:extLst>
              <a:ext uri="{FF2B5EF4-FFF2-40B4-BE49-F238E27FC236}">
                <a16:creationId xmlns:a16="http://schemas.microsoft.com/office/drawing/2014/main" id="{AA1245B7-D558-489D-A10B-C414743EA06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7" name="Group 5">
          <a:extLst>
            <a:ext uri="{FF2B5EF4-FFF2-40B4-BE49-F238E27FC236}">
              <a16:creationId xmlns:a16="http://schemas.microsoft.com/office/drawing/2014/main" id="{C8F25DC5-8BF0-4079-8A70-5ABAFBB90411}"/>
            </a:ext>
          </a:extLst>
        </xdr:cNvPr>
        <xdr:cNvGrpSpPr>
          <a:grpSpLocks/>
        </xdr:cNvGrpSpPr>
      </xdr:nvGrpSpPr>
      <xdr:grpSpPr bwMode="auto">
        <a:xfrm>
          <a:off x="2524125" y="7096125"/>
          <a:ext cx="1885950" cy="47625"/>
          <a:chOff x="158" y="715"/>
          <a:chExt cx="33" cy="5"/>
        </a:xfrm>
      </xdr:grpSpPr>
      <xdr:sp macro="" textlink="">
        <xdr:nvSpPr>
          <xdr:cNvPr id="8" name="Line 6">
            <a:extLst>
              <a:ext uri="{FF2B5EF4-FFF2-40B4-BE49-F238E27FC236}">
                <a16:creationId xmlns:a16="http://schemas.microsoft.com/office/drawing/2014/main" id="{93ADBFF1-EB0B-4B4F-91D5-C74F1722ADF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id="{E993572D-D547-44C0-AE91-C3CB9424256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0" name="Freeform 8">
          <a:extLst>
            <a:ext uri="{FF2B5EF4-FFF2-40B4-BE49-F238E27FC236}">
              <a16:creationId xmlns:a16="http://schemas.microsoft.com/office/drawing/2014/main" id="{0F903E9C-FD5F-47B7-B4EF-7488E1A5C3BE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38100</xdr:rowOff>
    </xdr:from>
    <xdr:to>
      <xdr:col>10</xdr:col>
      <xdr:colOff>266700</xdr:colOff>
      <xdr:row>20</xdr:row>
      <xdr:rowOff>190500</xdr:rowOff>
    </xdr:to>
    <xdr:grpSp>
      <xdr:nvGrpSpPr>
        <xdr:cNvPr id="11" name="Group 9">
          <a:extLst>
            <a:ext uri="{FF2B5EF4-FFF2-40B4-BE49-F238E27FC236}">
              <a16:creationId xmlns:a16="http://schemas.microsoft.com/office/drawing/2014/main" id="{4108ABDB-F3E5-4536-B056-F119D2F014A0}"/>
            </a:ext>
          </a:extLst>
        </xdr:cNvPr>
        <xdr:cNvGrpSpPr>
          <a:grpSpLocks/>
        </xdr:cNvGrpSpPr>
      </xdr:nvGrpSpPr>
      <xdr:grpSpPr bwMode="auto">
        <a:xfrm>
          <a:off x="3190875" y="7267575"/>
          <a:ext cx="219075" cy="152400"/>
          <a:chOff x="132" y="708"/>
          <a:chExt cx="20" cy="14"/>
        </a:xfrm>
      </xdr:grpSpPr>
      <xdr:sp macro="" textlink="">
        <xdr:nvSpPr>
          <xdr:cNvPr id="12" name="Line 10">
            <a:extLst>
              <a:ext uri="{FF2B5EF4-FFF2-40B4-BE49-F238E27FC236}">
                <a16:creationId xmlns:a16="http://schemas.microsoft.com/office/drawing/2014/main" id="{61EAE97D-9FFC-4D02-850F-B55D87A3C2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1">
            <a:extLst>
              <a:ext uri="{FF2B5EF4-FFF2-40B4-BE49-F238E27FC236}">
                <a16:creationId xmlns:a16="http://schemas.microsoft.com/office/drawing/2014/main" id="{DE3B5CC1-44BB-4101-94B1-CF6986D31E1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2">
            <a:extLst>
              <a:ext uri="{FF2B5EF4-FFF2-40B4-BE49-F238E27FC236}">
                <a16:creationId xmlns:a16="http://schemas.microsoft.com/office/drawing/2014/main" id="{5BD1BF84-28E5-4056-B9D6-E5024FBB6B6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3">
            <a:extLst>
              <a:ext uri="{FF2B5EF4-FFF2-40B4-BE49-F238E27FC236}">
                <a16:creationId xmlns:a16="http://schemas.microsoft.com/office/drawing/2014/main" id="{FD75CFB2-B448-4B17-95FF-5CF4F656245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16" name="Group 14">
          <a:extLst>
            <a:ext uri="{FF2B5EF4-FFF2-40B4-BE49-F238E27FC236}">
              <a16:creationId xmlns:a16="http://schemas.microsoft.com/office/drawing/2014/main" id="{F6AFE393-3CCD-413B-93CB-9B1EFE336A13}"/>
            </a:ext>
          </a:extLst>
        </xdr:cNvPr>
        <xdr:cNvGrpSpPr>
          <a:grpSpLocks/>
        </xdr:cNvGrpSpPr>
      </xdr:nvGrpSpPr>
      <xdr:grpSpPr bwMode="auto">
        <a:xfrm>
          <a:off x="3457575" y="7324725"/>
          <a:ext cx="942975" cy="47625"/>
          <a:chOff x="158" y="715"/>
          <a:chExt cx="33" cy="5"/>
        </a:xfrm>
      </xdr:grpSpPr>
      <xdr:sp macro="" textlink="">
        <xdr:nvSpPr>
          <xdr:cNvPr id="17" name="Line 15">
            <a:extLst>
              <a:ext uri="{FF2B5EF4-FFF2-40B4-BE49-F238E27FC236}">
                <a16:creationId xmlns:a16="http://schemas.microsoft.com/office/drawing/2014/main" id="{410DF15C-6AA7-494C-9FD1-07A7E1B25EA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6">
            <a:extLst>
              <a:ext uri="{FF2B5EF4-FFF2-40B4-BE49-F238E27FC236}">
                <a16:creationId xmlns:a16="http://schemas.microsoft.com/office/drawing/2014/main" id="{019F5B0B-F215-4D29-8E81-6CA5445B32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19" name="Group 17">
          <a:extLst>
            <a:ext uri="{FF2B5EF4-FFF2-40B4-BE49-F238E27FC236}">
              <a16:creationId xmlns:a16="http://schemas.microsoft.com/office/drawing/2014/main" id="{621EB005-E5B6-4895-AB75-EDD9E7A5E749}"/>
            </a:ext>
          </a:extLst>
        </xdr:cNvPr>
        <xdr:cNvGrpSpPr>
          <a:grpSpLocks/>
        </xdr:cNvGrpSpPr>
      </xdr:nvGrpSpPr>
      <xdr:grpSpPr bwMode="auto">
        <a:xfrm>
          <a:off x="4086225" y="7553325"/>
          <a:ext cx="314325" cy="47625"/>
          <a:chOff x="158" y="715"/>
          <a:chExt cx="33" cy="5"/>
        </a:xfrm>
      </xdr:grpSpPr>
      <xdr:sp macro="" textlink="">
        <xdr:nvSpPr>
          <xdr:cNvPr id="20" name="Line 18">
            <a:extLst>
              <a:ext uri="{FF2B5EF4-FFF2-40B4-BE49-F238E27FC236}">
                <a16:creationId xmlns:a16="http://schemas.microsoft.com/office/drawing/2014/main" id="{F5CDC99D-B6AD-493C-8B07-27D7E43D4FD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9">
            <a:extLst>
              <a:ext uri="{FF2B5EF4-FFF2-40B4-BE49-F238E27FC236}">
                <a16:creationId xmlns:a16="http://schemas.microsoft.com/office/drawing/2014/main" id="{1AD74EFC-C248-430F-9A92-EC500FB3D77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10</xdr:col>
      <xdr:colOff>0</xdr:colOff>
      <xdr:row>20</xdr:row>
      <xdr:rowOff>114300</xdr:rowOff>
    </xdr:to>
    <xdr:sp macro="" textlink="">
      <xdr:nvSpPr>
        <xdr:cNvPr id="22" name="Line 20">
          <a:extLst>
            <a:ext uri="{FF2B5EF4-FFF2-40B4-BE49-F238E27FC236}">
              <a16:creationId xmlns:a16="http://schemas.microsoft.com/office/drawing/2014/main" id="{BCFBA3FB-665D-4CAA-92D0-73A390E54C87}"/>
            </a:ext>
          </a:extLst>
        </xdr:cNvPr>
        <xdr:cNvSpPr>
          <a:spLocks noChangeShapeType="1"/>
        </xdr:cNvSpPr>
      </xdr:nvSpPr>
      <xdr:spPr bwMode="auto">
        <a:xfrm>
          <a:off x="244792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23" name="Line 21">
          <a:extLst>
            <a:ext uri="{FF2B5EF4-FFF2-40B4-BE49-F238E27FC236}">
              <a16:creationId xmlns:a16="http://schemas.microsoft.com/office/drawing/2014/main" id="{60141139-0CEB-4B0E-9070-8BA7CC264B2B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24" name="Group 22">
          <a:extLst>
            <a:ext uri="{FF2B5EF4-FFF2-40B4-BE49-F238E27FC236}">
              <a16:creationId xmlns:a16="http://schemas.microsoft.com/office/drawing/2014/main" id="{D492B2B9-1D67-4222-A94C-5AB0B735D16C}"/>
            </a:ext>
          </a:extLst>
        </xdr:cNvPr>
        <xdr:cNvGrpSpPr>
          <a:grpSpLocks/>
        </xdr:cNvGrpSpPr>
      </xdr:nvGrpSpPr>
      <xdr:grpSpPr bwMode="auto">
        <a:xfrm>
          <a:off x="1257300" y="7553325"/>
          <a:ext cx="1571625" cy="47625"/>
          <a:chOff x="158" y="715"/>
          <a:chExt cx="33" cy="5"/>
        </a:xfrm>
      </xdr:grpSpPr>
      <xdr:sp macro="" textlink="">
        <xdr:nvSpPr>
          <xdr:cNvPr id="25" name="Line 23">
            <a:extLst>
              <a:ext uri="{FF2B5EF4-FFF2-40B4-BE49-F238E27FC236}">
                <a16:creationId xmlns:a16="http://schemas.microsoft.com/office/drawing/2014/main" id="{B76B70EB-314E-47B2-BC4E-3428CF53849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4">
            <a:extLst>
              <a:ext uri="{FF2B5EF4-FFF2-40B4-BE49-F238E27FC236}">
                <a16:creationId xmlns:a16="http://schemas.microsoft.com/office/drawing/2014/main" id="{B89AD61C-AF6D-43DF-B46A-F6360E0BB33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7" name="Group 25">
          <a:extLst>
            <a:ext uri="{FF2B5EF4-FFF2-40B4-BE49-F238E27FC236}">
              <a16:creationId xmlns:a16="http://schemas.microsoft.com/office/drawing/2014/main" id="{E7A46AB8-B1C1-4CF9-A6D6-2E8350052E07}"/>
            </a:ext>
          </a:extLst>
        </xdr:cNvPr>
        <xdr:cNvGrpSpPr>
          <a:grpSpLocks/>
        </xdr:cNvGrpSpPr>
      </xdr:nvGrpSpPr>
      <xdr:grpSpPr bwMode="auto">
        <a:xfrm>
          <a:off x="1257300" y="7324725"/>
          <a:ext cx="1571625" cy="47625"/>
          <a:chOff x="158" y="715"/>
          <a:chExt cx="33" cy="5"/>
        </a:xfrm>
      </xdr:grpSpPr>
      <xdr:sp macro="" textlink="">
        <xdr:nvSpPr>
          <xdr:cNvPr id="28" name="Line 26">
            <a:extLst>
              <a:ext uri="{FF2B5EF4-FFF2-40B4-BE49-F238E27FC236}">
                <a16:creationId xmlns:a16="http://schemas.microsoft.com/office/drawing/2014/main" id="{99E7F10B-1168-4490-81F2-2D1DB220EAE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7">
            <a:extLst>
              <a:ext uri="{FF2B5EF4-FFF2-40B4-BE49-F238E27FC236}">
                <a16:creationId xmlns:a16="http://schemas.microsoft.com/office/drawing/2014/main" id="{FEC086E5-21F0-4303-B9D7-37C59F5350E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30" name="Group 28">
          <a:extLst>
            <a:ext uri="{FF2B5EF4-FFF2-40B4-BE49-F238E27FC236}">
              <a16:creationId xmlns:a16="http://schemas.microsoft.com/office/drawing/2014/main" id="{CDCCA4E7-6246-443C-9C9A-FDAE583AD564}"/>
            </a:ext>
          </a:extLst>
        </xdr:cNvPr>
        <xdr:cNvGrpSpPr>
          <a:grpSpLocks/>
        </xdr:cNvGrpSpPr>
      </xdr:nvGrpSpPr>
      <xdr:grpSpPr bwMode="auto">
        <a:xfrm>
          <a:off x="1619250" y="6810375"/>
          <a:ext cx="219075" cy="152400"/>
          <a:chOff x="132" y="708"/>
          <a:chExt cx="20" cy="14"/>
        </a:xfrm>
      </xdr:grpSpPr>
      <xdr:sp macro="" textlink="">
        <xdr:nvSpPr>
          <xdr:cNvPr id="31" name="Line 29">
            <a:extLst>
              <a:ext uri="{FF2B5EF4-FFF2-40B4-BE49-F238E27FC236}">
                <a16:creationId xmlns:a16="http://schemas.microsoft.com/office/drawing/2014/main" id="{C4EEFD65-369A-41BC-B6B5-A22EAC3EE5B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0">
            <a:extLst>
              <a:ext uri="{FF2B5EF4-FFF2-40B4-BE49-F238E27FC236}">
                <a16:creationId xmlns:a16="http://schemas.microsoft.com/office/drawing/2014/main" id="{92B93B08-8307-452A-A443-4A1C283E8C3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1">
            <a:extLst>
              <a:ext uri="{FF2B5EF4-FFF2-40B4-BE49-F238E27FC236}">
                <a16:creationId xmlns:a16="http://schemas.microsoft.com/office/drawing/2014/main" id="{37EB7CDC-0447-435D-81C6-27EF7AF102C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">
            <a:extLst>
              <a:ext uri="{FF2B5EF4-FFF2-40B4-BE49-F238E27FC236}">
                <a16:creationId xmlns:a16="http://schemas.microsoft.com/office/drawing/2014/main" id="{1EEBF9B4-3246-4DCA-817C-1078E5CDA65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5" name="Line 33">
          <a:extLst>
            <a:ext uri="{FF2B5EF4-FFF2-40B4-BE49-F238E27FC236}">
              <a16:creationId xmlns:a16="http://schemas.microsoft.com/office/drawing/2014/main" id="{49A273D3-AB44-4D5D-B204-CAD997C7C091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36" name="Freeform 34">
          <a:extLst>
            <a:ext uri="{FF2B5EF4-FFF2-40B4-BE49-F238E27FC236}">
              <a16:creationId xmlns:a16="http://schemas.microsoft.com/office/drawing/2014/main" id="{50BA0645-1D08-43C4-B896-390D8C79A63D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37" name="Line 35">
          <a:extLst>
            <a:ext uri="{FF2B5EF4-FFF2-40B4-BE49-F238E27FC236}">
              <a16:creationId xmlns:a16="http://schemas.microsoft.com/office/drawing/2014/main" id="{641682D8-15CD-45B0-BE88-BFB93810C0BA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295275</xdr:colOff>
      <xdr:row>17</xdr:row>
      <xdr:rowOff>495300</xdr:rowOff>
    </xdr:from>
    <xdr:to>
      <xdr:col>8</xdr:col>
      <xdr:colOff>38100</xdr:colOff>
      <xdr:row>17</xdr:row>
      <xdr:rowOff>800100</xdr:rowOff>
    </xdr:to>
    <xdr:grpSp>
      <xdr:nvGrpSpPr>
        <xdr:cNvPr id="38" name="Group 36">
          <a:extLst>
            <a:ext uri="{FF2B5EF4-FFF2-40B4-BE49-F238E27FC236}">
              <a16:creationId xmlns:a16="http://schemas.microsoft.com/office/drawing/2014/main" id="{C7572527-C042-4F1F-A60A-C9150C78141F}"/>
            </a:ext>
          </a:extLst>
        </xdr:cNvPr>
        <xdr:cNvGrpSpPr>
          <a:grpSpLocks/>
        </xdr:cNvGrpSpPr>
      </xdr:nvGrpSpPr>
      <xdr:grpSpPr bwMode="auto">
        <a:xfrm>
          <a:off x="1552575" y="5686425"/>
          <a:ext cx="1000125" cy="304800"/>
          <a:chOff x="110" y="567"/>
          <a:chExt cx="105" cy="32"/>
        </a:xfrm>
      </xdr:grpSpPr>
      <xdr:sp macro="" textlink="">
        <xdr:nvSpPr>
          <xdr:cNvPr id="39" name="Line 37">
            <a:extLst>
              <a:ext uri="{FF2B5EF4-FFF2-40B4-BE49-F238E27FC236}">
                <a16:creationId xmlns:a16="http://schemas.microsoft.com/office/drawing/2014/main" id="{B3C55E1A-0E0E-448B-A1AE-66B592C527E3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Freeform 38">
            <a:extLst>
              <a:ext uri="{FF2B5EF4-FFF2-40B4-BE49-F238E27FC236}">
                <a16:creationId xmlns:a16="http://schemas.microsoft.com/office/drawing/2014/main" id="{BD01F5B3-B54F-4DAC-B702-23EFA69821A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1" name="Freeform 39">
            <a:extLst>
              <a:ext uri="{FF2B5EF4-FFF2-40B4-BE49-F238E27FC236}">
                <a16:creationId xmlns:a16="http://schemas.microsoft.com/office/drawing/2014/main" id="{6B7339FE-037B-4470-9068-DEEEE09C4437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Line 40">
            <a:extLst>
              <a:ext uri="{FF2B5EF4-FFF2-40B4-BE49-F238E27FC236}">
                <a16:creationId xmlns:a16="http://schemas.microsoft.com/office/drawing/2014/main" id="{572F5B7F-52B8-40C2-8233-6F25BB2EC7D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Freeform 41">
            <a:extLst>
              <a:ext uri="{FF2B5EF4-FFF2-40B4-BE49-F238E27FC236}">
                <a16:creationId xmlns:a16="http://schemas.microsoft.com/office/drawing/2014/main" id="{00FDCDE9-895E-4887-BFC4-44EA54D27D1E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Freeform 42">
            <a:extLst>
              <a:ext uri="{FF2B5EF4-FFF2-40B4-BE49-F238E27FC236}">
                <a16:creationId xmlns:a16="http://schemas.microsoft.com/office/drawing/2014/main" id="{5E903A5C-82EC-467E-93D4-27A6E971CDE7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Line 43">
            <a:extLst>
              <a:ext uri="{FF2B5EF4-FFF2-40B4-BE49-F238E27FC236}">
                <a16:creationId xmlns:a16="http://schemas.microsoft.com/office/drawing/2014/main" id="{BBC2BA46-ADA1-4C19-88CD-13DF4E1FB1D4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Freeform 44">
            <a:extLst>
              <a:ext uri="{FF2B5EF4-FFF2-40B4-BE49-F238E27FC236}">
                <a16:creationId xmlns:a16="http://schemas.microsoft.com/office/drawing/2014/main" id="{F6C58DAA-9D7D-4136-9CBF-D28C891809AB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17</xdr:row>
      <xdr:rowOff>323850</xdr:rowOff>
    </xdr:from>
    <xdr:to>
      <xdr:col>7</xdr:col>
      <xdr:colOff>209550</xdr:colOff>
      <xdr:row>17</xdr:row>
      <xdr:rowOff>381000</xdr:rowOff>
    </xdr:to>
    <xdr:grpSp>
      <xdr:nvGrpSpPr>
        <xdr:cNvPr id="47" name="Group 45">
          <a:extLst>
            <a:ext uri="{FF2B5EF4-FFF2-40B4-BE49-F238E27FC236}">
              <a16:creationId xmlns:a16="http://schemas.microsoft.com/office/drawing/2014/main" id="{0E120214-43D6-461B-95F2-96A4898664D3}"/>
            </a:ext>
          </a:extLst>
        </xdr:cNvPr>
        <xdr:cNvGrpSpPr>
          <a:grpSpLocks/>
        </xdr:cNvGrpSpPr>
      </xdr:nvGrpSpPr>
      <xdr:grpSpPr bwMode="auto">
        <a:xfrm>
          <a:off x="1676400" y="5514975"/>
          <a:ext cx="733425" cy="57150"/>
          <a:chOff x="123" y="549"/>
          <a:chExt cx="77" cy="6"/>
        </a:xfrm>
      </xdr:grpSpPr>
      <xdr:sp macro="" textlink="">
        <xdr:nvSpPr>
          <xdr:cNvPr id="48" name="Line 46">
            <a:extLst>
              <a:ext uri="{FF2B5EF4-FFF2-40B4-BE49-F238E27FC236}">
                <a16:creationId xmlns:a16="http://schemas.microsoft.com/office/drawing/2014/main" id="{947E80DC-B966-44D5-8D95-C3EF9B34B89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Freeform 47">
            <a:extLst>
              <a:ext uri="{FF2B5EF4-FFF2-40B4-BE49-F238E27FC236}">
                <a16:creationId xmlns:a16="http://schemas.microsoft.com/office/drawing/2014/main" id="{324DBE5B-8174-4ECC-AFC4-804D7187566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Freeform 48">
            <a:extLst>
              <a:ext uri="{FF2B5EF4-FFF2-40B4-BE49-F238E27FC236}">
                <a16:creationId xmlns:a16="http://schemas.microsoft.com/office/drawing/2014/main" id="{A9A17AA8-EB10-4AE3-A6CC-0C35FD997CEE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17</xdr:row>
      <xdr:rowOff>857250</xdr:rowOff>
    </xdr:from>
    <xdr:to>
      <xdr:col>8</xdr:col>
      <xdr:colOff>38100</xdr:colOff>
      <xdr:row>17</xdr:row>
      <xdr:rowOff>1162050</xdr:rowOff>
    </xdr:to>
    <xdr:grpSp>
      <xdr:nvGrpSpPr>
        <xdr:cNvPr id="51" name="Group 49">
          <a:extLst>
            <a:ext uri="{FF2B5EF4-FFF2-40B4-BE49-F238E27FC236}">
              <a16:creationId xmlns:a16="http://schemas.microsoft.com/office/drawing/2014/main" id="{595EA8F4-6F7F-4130-B7FF-22F179AC8023}"/>
            </a:ext>
          </a:extLst>
        </xdr:cNvPr>
        <xdr:cNvGrpSpPr>
          <a:grpSpLocks/>
        </xdr:cNvGrpSpPr>
      </xdr:nvGrpSpPr>
      <xdr:grpSpPr bwMode="auto">
        <a:xfrm>
          <a:off x="1543050" y="6048375"/>
          <a:ext cx="1009650" cy="304800"/>
          <a:chOff x="105" y="627"/>
          <a:chExt cx="106" cy="32"/>
        </a:xfrm>
      </xdr:grpSpPr>
      <xdr:sp macro="" textlink="">
        <xdr:nvSpPr>
          <xdr:cNvPr id="52" name="Line 50">
            <a:extLst>
              <a:ext uri="{FF2B5EF4-FFF2-40B4-BE49-F238E27FC236}">
                <a16:creationId xmlns:a16="http://schemas.microsoft.com/office/drawing/2014/main" id="{0D7B82E4-1EDB-4E4A-90D7-9BDB89AA7EE2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Freeform 51">
            <a:extLst>
              <a:ext uri="{FF2B5EF4-FFF2-40B4-BE49-F238E27FC236}">
                <a16:creationId xmlns:a16="http://schemas.microsoft.com/office/drawing/2014/main" id="{D87264E8-E11A-4BDE-ACCE-429C074D6D1B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Freeform 52">
            <a:extLst>
              <a:ext uri="{FF2B5EF4-FFF2-40B4-BE49-F238E27FC236}">
                <a16:creationId xmlns:a16="http://schemas.microsoft.com/office/drawing/2014/main" id="{D2F3EBFD-8B20-49A4-9528-9C9DACC0F4B8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Line 53">
            <a:extLst>
              <a:ext uri="{FF2B5EF4-FFF2-40B4-BE49-F238E27FC236}">
                <a16:creationId xmlns:a16="http://schemas.microsoft.com/office/drawing/2014/main" id="{81CBA4B2-086B-4583-A011-65DA5FA19BB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Freeform 54">
            <a:extLst>
              <a:ext uri="{FF2B5EF4-FFF2-40B4-BE49-F238E27FC236}">
                <a16:creationId xmlns:a16="http://schemas.microsoft.com/office/drawing/2014/main" id="{E1B685A6-93D7-466D-B7F4-C774B1443D10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" name="Freeform 55">
            <a:extLst>
              <a:ext uri="{FF2B5EF4-FFF2-40B4-BE49-F238E27FC236}">
                <a16:creationId xmlns:a16="http://schemas.microsoft.com/office/drawing/2014/main" id="{39606692-E83C-4172-810B-1BD81B4C1841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" name="Line 56">
            <a:extLst>
              <a:ext uri="{FF2B5EF4-FFF2-40B4-BE49-F238E27FC236}">
                <a16:creationId xmlns:a16="http://schemas.microsoft.com/office/drawing/2014/main" id="{A1BBB4B3-605C-48AB-88FB-EECAC731351F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7">
            <a:extLst>
              <a:ext uri="{FF2B5EF4-FFF2-40B4-BE49-F238E27FC236}">
                <a16:creationId xmlns:a16="http://schemas.microsoft.com/office/drawing/2014/main" id="{4B1EB2EC-E8B3-43A0-A4C9-F6D1B62D58FF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17</xdr:row>
      <xdr:rowOff>1247775</xdr:rowOff>
    </xdr:from>
    <xdr:to>
      <xdr:col>7</xdr:col>
      <xdr:colOff>209550</xdr:colOff>
      <xdr:row>17</xdr:row>
      <xdr:rowOff>1304925</xdr:rowOff>
    </xdr:to>
    <xdr:grpSp>
      <xdr:nvGrpSpPr>
        <xdr:cNvPr id="60" name="Group 58">
          <a:extLst>
            <a:ext uri="{FF2B5EF4-FFF2-40B4-BE49-F238E27FC236}">
              <a16:creationId xmlns:a16="http://schemas.microsoft.com/office/drawing/2014/main" id="{C504C60A-2AB7-4F82-BC6C-5A7ED7E560CB}"/>
            </a:ext>
          </a:extLst>
        </xdr:cNvPr>
        <xdr:cNvGrpSpPr>
          <a:grpSpLocks/>
        </xdr:cNvGrpSpPr>
      </xdr:nvGrpSpPr>
      <xdr:grpSpPr bwMode="auto">
        <a:xfrm>
          <a:off x="1676400" y="6438900"/>
          <a:ext cx="733425" cy="57150"/>
          <a:chOff x="123" y="549"/>
          <a:chExt cx="77" cy="6"/>
        </a:xfrm>
      </xdr:grpSpPr>
      <xdr:sp macro="" textlink="">
        <xdr:nvSpPr>
          <xdr:cNvPr id="61" name="Line 59">
            <a:extLst>
              <a:ext uri="{FF2B5EF4-FFF2-40B4-BE49-F238E27FC236}">
                <a16:creationId xmlns:a16="http://schemas.microsoft.com/office/drawing/2014/main" id="{4E0A6EB5-2D34-4BCA-82AA-1B5929AC244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Freeform 60">
            <a:extLst>
              <a:ext uri="{FF2B5EF4-FFF2-40B4-BE49-F238E27FC236}">
                <a16:creationId xmlns:a16="http://schemas.microsoft.com/office/drawing/2014/main" id="{F7EF2E28-BF60-4198-931C-FEECFDE2DAC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3" name="Freeform 61">
            <a:extLst>
              <a:ext uri="{FF2B5EF4-FFF2-40B4-BE49-F238E27FC236}">
                <a16:creationId xmlns:a16="http://schemas.microsoft.com/office/drawing/2014/main" id="{98928F47-6CE0-4AB6-9219-9A895CDA9A1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266700</xdr:rowOff>
    </xdr:from>
    <xdr:to>
      <xdr:col>13</xdr:col>
      <xdr:colOff>38100</xdr:colOff>
      <xdr:row>17</xdr:row>
      <xdr:rowOff>1276350</xdr:rowOff>
    </xdr:to>
    <xdr:grpSp>
      <xdr:nvGrpSpPr>
        <xdr:cNvPr id="151" name="グループ化 150">
          <a:extLst>
            <a:ext uri="{FF2B5EF4-FFF2-40B4-BE49-F238E27FC236}">
              <a16:creationId xmlns:a16="http://schemas.microsoft.com/office/drawing/2014/main" id="{E6A105FD-70BC-4384-AB19-431875AB8154}"/>
            </a:ext>
          </a:extLst>
        </xdr:cNvPr>
        <xdr:cNvGrpSpPr/>
      </xdr:nvGrpSpPr>
      <xdr:grpSpPr>
        <a:xfrm rot="555333">
          <a:off x="3124200" y="5457825"/>
          <a:ext cx="1000125" cy="1009650"/>
          <a:chOff x="3124200" y="5457825"/>
          <a:chExt cx="1000125" cy="1009650"/>
        </a:xfrm>
      </xdr:grpSpPr>
      <xdr:grpSp>
        <xdr:nvGrpSpPr>
          <xdr:cNvPr id="64" name="Group 62">
            <a:extLst>
              <a:ext uri="{FF2B5EF4-FFF2-40B4-BE49-F238E27FC236}">
                <a16:creationId xmlns:a16="http://schemas.microsoft.com/office/drawing/2014/main" id="{DDAF14EF-7D5A-4C74-B3C2-23769B4BC70D}"/>
              </a:ext>
            </a:extLst>
          </xdr:cNvPr>
          <xdr:cNvGrpSpPr>
            <a:grpSpLocks/>
          </xdr:cNvGrpSpPr>
        </xdr:nvGrpSpPr>
        <xdr:grpSpPr bwMode="auto">
          <a:xfrm>
            <a:off x="3267075" y="5457825"/>
            <a:ext cx="304800" cy="1009650"/>
            <a:chOff x="369" y="565"/>
            <a:chExt cx="32" cy="106"/>
          </a:xfrm>
        </xdr:grpSpPr>
        <xdr:sp macro="" textlink="">
          <xdr:nvSpPr>
            <xdr:cNvPr id="65" name="Line 63">
              <a:extLst>
                <a:ext uri="{FF2B5EF4-FFF2-40B4-BE49-F238E27FC236}">
                  <a16:creationId xmlns:a16="http://schemas.microsoft.com/office/drawing/2014/main" id="{4B57143A-94DA-4C7E-AE2E-E0401AA24D25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Freeform 64">
              <a:extLst>
                <a:ext uri="{FF2B5EF4-FFF2-40B4-BE49-F238E27FC236}">
                  <a16:creationId xmlns:a16="http://schemas.microsoft.com/office/drawing/2014/main" id="{6B4B13A8-D63E-496C-9BEE-9EB1B89F5954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7" name="Freeform 65">
              <a:extLst>
                <a:ext uri="{FF2B5EF4-FFF2-40B4-BE49-F238E27FC236}">
                  <a16:creationId xmlns:a16="http://schemas.microsoft.com/office/drawing/2014/main" id="{F3B22B6D-11FA-4351-A009-69D3982DADFF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8" name="Line 66">
              <a:extLst>
                <a:ext uri="{FF2B5EF4-FFF2-40B4-BE49-F238E27FC236}">
                  <a16:creationId xmlns:a16="http://schemas.microsoft.com/office/drawing/2014/main" id="{0B0382B0-7FD5-424A-A6B6-792C55698785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9" name="Freeform 67">
              <a:extLst>
                <a:ext uri="{FF2B5EF4-FFF2-40B4-BE49-F238E27FC236}">
                  <a16:creationId xmlns:a16="http://schemas.microsoft.com/office/drawing/2014/main" id="{09DCDCC4-CADD-4C22-9910-E0A937563DA8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0" name="Freeform 68">
              <a:extLst>
                <a:ext uri="{FF2B5EF4-FFF2-40B4-BE49-F238E27FC236}">
                  <a16:creationId xmlns:a16="http://schemas.microsoft.com/office/drawing/2014/main" id="{5E03952F-637D-4196-B95A-1D1667982B6C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1" name="Line 69">
              <a:extLst>
                <a:ext uri="{FF2B5EF4-FFF2-40B4-BE49-F238E27FC236}">
                  <a16:creationId xmlns:a16="http://schemas.microsoft.com/office/drawing/2014/main" id="{B99180E6-4E2A-4EA5-9788-4B19E43CEE9E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2" name="Freeform 70">
              <a:extLst>
                <a:ext uri="{FF2B5EF4-FFF2-40B4-BE49-F238E27FC236}">
                  <a16:creationId xmlns:a16="http://schemas.microsoft.com/office/drawing/2014/main" id="{7BD229F4-4345-4073-96C1-0DAF202D33BF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73" name="Group 71">
            <a:extLst>
              <a:ext uri="{FF2B5EF4-FFF2-40B4-BE49-F238E27FC236}">
                <a16:creationId xmlns:a16="http://schemas.microsoft.com/office/drawing/2014/main" id="{E7728761-78C0-4506-98FC-243750001F12}"/>
              </a:ext>
            </a:extLst>
          </xdr:cNvPr>
          <xdr:cNvGrpSpPr>
            <a:grpSpLocks/>
          </xdr:cNvGrpSpPr>
        </xdr:nvGrpSpPr>
        <xdr:grpSpPr bwMode="auto">
          <a:xfrm>
            <a:off x="3657600" y="5467350"/>
            <a:ext cx="304800" cy="1000125"/>
            <a:chOff x="410" y="566"/>
            <a:chExt cx="32" cy="105"/>
          </a:xfrm>
        </xdr:grpSpPr>
        <xdr:sp macro="" textlink="">
          <xdr:nvSpPr>
            <xdr:cNvPr id="74" name="Line 72">
              <a:extLst>
                <a:ext uri="{FF2B5EF4-FFF2-40B4-BE49-F238E27FC236}">
                  <a16:creationId xmlns:a16="http://schemas.microsoft.com/office/drawing/2014/main" id="{7720E446-BEF9-4056-8749-508492C435AD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5" name="Freeform 73">
              <a:extLst>
                <a:ext uri="{FF2B5EF4-FFF2-40B4-BE49-F238E27FC236}">
                  <a16:creationId xmlns:a16="http://schemas.microsoft.com/office/drawing/2014/main" id="{3DEC1499-1FCA-4D86-B603-B84EDCF4D2BC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6" name="Freeform 74">
              <a:extLst>
                <a:ext uri="{FF2B5EF4-FFF2-40B4-BE49-F238E27FC236}">
                  <a16:creationId xmlns:a16="http://schemas.microsoft.com/office/drawing/2014/main" id="{0486D22D-3807-4D59-9619-921C7060CA67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7" name="Line 75">
              <a:extLst>
                <a:ext uri="{FF2B5EF4-FFF2-40B4-BE49-F238E27FC236}">
                  <a16:creationId xmlns:a16="http://schemas.microsoft.com/office/drawing/2014/main" id="{867E05B8-9DE1-438A-8A2C-FBE9E8D1FEA3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8" name="Freeform 76">
              <a:extLst>
                <a:ext uri="{FF2B5EF4-FFF2-40B4-BE49-F238E27FC236}">
                  <a16:creationId xmlns:a16="http://schemas.microsoft.com/office/drawing/2014/main" id="{18AA0323-E4E9-4C69-9664-A01EC7436536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9" name="Freeform 77">
              <a:extLst>
                <a:ext uri="{FF2B5EF4-FFF2-40B4-BE49-F238E27FC236}">
                  <a16:creationId xmlns:a16="http://schemas.microsoft.com/office/drawing/2014/main" id="{6C0CE4A6-ECCD-47DA-B154-7BF6B16473B6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0" name="Line 78">
              <a:extLst>
                <a:ext uri="{FF2B5EF4-FFF2-40B4-BE49-F238E27FC236}">
                  <a16:creationId xmlns:a16="http://schemas.microsoft.com/office/drawing/2014/main" id="{149F1A81-1457-4920-BC07-461471D50522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Freeform 79">
              <a:extLst>
                <a:ext uri="{FF2B5EF4-FFF2-40B4-BE49-F238E27FC236}">
                  <a16:creationId xmlns:a16="http://schemas.microsoft.com/office/drawing/2014/main" id="{42D8DF49-E0AE-4FC9-AB50-508230B03E0A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2" name="Group 80">
            <a:extLst>
              <a:ext uri="{FF2B5EF4-FFF2-40B4-BE49-F238E27FC236}">
                <a16:creationId xmlns:a16="http://schemas.microsoft.com/office/drawing/2014/main" id="{0C87420B-9FF1-4D78-8D32-CCCD0A4DF6D1}"/>
              </a:ext>
            </a:extLst>
          </xdr:cNvPr>
          <xdr:cNvGrpSpPr>
            <a:grpSpLocks/>
          </xdr:cNvGrpSpPr>
        </xdr:nvGrpSpPr>
        <xdr:grpSpPr bwMode="auto">
          <a:xfrm rot="5400000">
            <a:off x="3729037" y="5957888"/>
            <a:ext cx="733425" cy="57150"/>
            <a:chOff x="123" y="549"/>
            <a:chExt cx="77" cy="6"/>
          </a:xfrm>
        </xdr:grpSpPr>
        <xdr:sp macro="" textlink="">
          <xdr:nvSpPr>
            <xdr:cNvPr id="83" name="Line 81">
              <a:extLst>
                <a:ext uri="{FF2B5EF4-FFF2-40B4-BE49-F238E27FC236}">
                  <a16:creationId xmlns:a16="http://schemas.microsoft.com/office/drawing/2014/main" id="{148270D5-27F3-4FB6-B2CC-3E93E232440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Freeform 82">
              <a:extLst>
                <a:ext uri="{FF2B5EF4-FFF2-40B4-BE49-F238E27FC236}">
                  <a16:creationId xmlns:a16="http://schemas.microsoft.com/office/drawing/2014/main" id="{CD9A3FC2-E5F3-4EFC-A884-586F6A3EFCBE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5" name="Freeform 83">
              <a:extLst>
                <a:ext uri="{FF2B5EF4-FFF2-40B4-BE49-F238E27FC236}">
                  <a16:creationId xmlns:a16="http://schemas.microsoft.com/office/drawing/2014/main" id="{782A6046-30C1-46AB-8725-5D84D2DB18A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6" name="Group 84">
            <a:extLst>
              <a:ext uri="{FF2B5EF4-FFF2-40B4-BE49-F238E27FC236}">
                <a16:creationId xmlns:a16="http://schemas.microsoft.com/office/drawing/2014/main" id="{F443F20E-4CD7-4F72-918A-6D6EF1EBF36E}"/>
              </a:ext>
            </a:extLst>
          </xdr:cNvPr>
          <xdr:cNvGrpSpPr>
            <a:grpSpLocks/>
          </xdr:cNvGrpSpPr>
        </xdr:nvGrpSpPr>
        <xdr:grpSpPr bwMode="auto">
          <a:xfrm rot="5400000">
            <a:off x="2786062" y="5957888"/>
            <a:ext cx="733425" cy="57150"/>
            <a:chOff x="123" y="549"/>
            <a:chExt cx="77" cy="6"/>
          </a:xfrm>
        </xdr:grpSpPr>
        <xdr:sp macro="" textlink="">
          <xdr:nvSpPr>
            <xdr:cNvPr id="87" name="Line 85">
              <a:extLst>
                <a:ext uri="{FF2B5EF4-FFF2-40B4-BE49-F238E27FC236}">
                  <a16:creationId xmlns:a16="http://schemas.microsoft.com/office/drawing/2014/main" id="{3791A870-F4C0-4C99-9633-5D9A779F63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8" name="Freeform 86">
              <a:extLst>
                <a:ext uri="{FF2B5EF4-FFF2-40B4-BE49-F238E27FC236}">
                  <a16:creationId xmlns:a16="http://schemas.microsoft.com/office/drawing/2014/main" id="{66669672-7C8B-49F0-9859-384C328955FE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9" name="Freeform 87">
              <a:extLst>
                <a:ext uri="{FF2B5EF4-FFF2-40B4-BE49-F238E27FC236}">
                  <a16:creationId xmlns:a16="http://schemas.microsoft.com/office/drawing/2014/main" id="{D4C32CE2-BA25-4D74-8E07-F5C3BFFEAEB6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90" name="Text Box 88">
          <a:extLst>
            <a:ext uri="{FF2B5EF4-FFF2-40B4-BE49-F238E27FC236}">
              <a16:creationId xmlns:a16="http://schemas.microsoft.com/office/drawing/2014/main" id="{33F47B9E-3FF9-4DD3-B571-5F6EE3B19A92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6</xdr:col>
      <xdr:colOff>19050</xdr:colOff>
      <xdr:row>17</xdr:row>
      <xdr:rowOff>161925</xdr:rowOff>
    </xdr:from>
    <xdr:ext cx="329184" cy="166712"/>
    <xdr:sp macro="" textlink="">
      <xdr:nvSpPr>
        <xdr:cNvPr id="93" name="Text Box 92">
          <a:extLst>
            <a:ext uri="{FF2B5EF4-FFF2-40B4-BE49-F238E27FC236}">
              <a16:creationId xmlns:a16="http://schemas.microsoft.com/office/drawing/2014/main" id="{3CCAADE4-C684-42AE-867A-FBA00D4A77E0}"/>
            </a:ext>
          </a:extLst>
        </xdr:cNvPr>
        <xdr:cNvSpPr txBox="1">
          <a:spLocks noChangeArrowheads="1"/>
        </xdr:cNvSpPr>
      </xdr:nvSpPr>
      <xdr:spPr bwMode="auto">
        <a:xfrm>
          <a:off x="1905000" y="5353050"/>
          <a:ext cx="32918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57150</xdr:colOff>
      <xdr:row>17</xdr:row>
      <xdr:rowOff>1285875</xdr:rowOff>
    </xdr:from>
    <xdr:ext cx="393304" cy="166712"/>
    <xdr:sp macro="" textlink="">
      <xdr:nvSpPr>
        <xdr:cNvPr id="94" name="Text Box 93">
          <a:extLst>
            <a:ext uri="{FF2B5EF4-FFF2-40B4-BE49-F238E27FC236}">
              <a16:creationId xmlns:a16="http://schemas.microsoft.com/office/drawing/2014/main" id="{0F8DAD85-9EC5-4B0D-AC96-34F5D51D7F27}"/>
            </a:ext>
          </a:extLst>
        </xdr:cNvPr>
        <xdr:cNvSpPr txBox="1">
          <a:spLocks noChangeArrowheads="1"/>
        </xdr:cNvSpPr>
      </xdr:nvSpPr>
      <xdr:spPr bwMode="auto">
        <a:xfrm>
          <a:off x="3829050" y="6477000"/>
          <a:ext cx="39330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85725</xdr:colOff>
      <xdr:row>17</xdr:row>
      <xdr:rowOff>1152525</xdr:rowOff>
    </xdr:from>
    <xdr:ext cx="329184" cy="166712"/>
    <xdr:sp macro="" textlink="">
      <xdr:nvSpPr>
        <xdr:cNvPr id="119" name="Text Box 122">
          <a:extLst>
            <a:ext uri="{FF2B5EF4-FFF2-40B4-BE49-F238E27FC236}">
              <a16:creationId xmlns:a16="http://schemas.microsoft.com/office/drawing/2014/main" id="{9D957D64-3D04-47AB-84AB-14336A6394AD}"/>
            </a:ext>
          </a:extLst>
        </xdr:cNvPr>
        <xdr:cNvSpPr txBox="1">
          <a:spLocks noChangeArrowheads="1"/>
        </xdr:cNvSpPr>
      </xdr:nvSpPr>
      <xdr:spPr bwMode="auto">
        <a:xfrm>
          <a:off x="2914650" y="6343650"/>
          <a:ext cx="32918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9.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6</xdr:col>
      <xdr:colOff>19050</xdr:colOff>
      <xdr:row>17</xdr:row>
      <xdr:rowOff>1304925</xdr:rowOff>
    </xdr:from>
    <xdr:ext cx="329184" cy="166712"/>
    <xdr:sp macro="" textlink="">
      <xdr:nvSpPr>
        <xdr:cNvPr id="120" name="Text Box 123">
          <a:extLst>
            <a:ext uri="{FF2B5EF4-FFF2-40B4-BE49-F238E27FC236}">
              <a16:creationId xmlns:a16="http://schemas.microsoft.com/office/drawing/2014/main" id="{77AF0AC7-3364-4886-ABE9-93E5A2B0F3FA}"/>
            </a:ext>
          </a:extLst>
        </xdr:cNvPr>
        <xdr:cNvSpPr txBox="1">
          <a:spLocks noChangeArrowheads="1"/>
        </xdr:cNvSpPr>
      </xdr:nvSpPr>
      <xdr:spPr bwMode="auto">
        <a:xfrm>
          <a:off x="1905000" y="6496050"/>
          <a:ext cx="32918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4</xdr:col>
      <xdr:colOff>76200</xdr:colOff>
      <xdr:row>17</xdr:row>
      <xdr:rowOff>1352550</xdr:rowOff>
    </xdr:from>
    <xdr:ext cx="393304" cy="166712"/>
    <xdr:sp macro="" textlink="">
      <xdr:nvSpPr>
        <xdr:cNvPr id="121" name="Text Box 124">
          <a:extLst>
            <a:ext uri="{FF2B5EF4-FFF2-40B4-BE49-F238E27FC236}">
              <a16:creationId xmlns:a16="http://schemas.microsoft.com/office/drawing/2014/main" id="{A6B3CBF7-A5FE-4E5E-BCF1-F131CFF62EF0}"/>
            </a:ext>
          </a:extLst>
        </xdr:cNvPr>
        <xdr:cNvSpPr txBox="1">
          <a:spLocks noChangeArrowheads="1"/>
        </xdr:cNvSpPr>
      </xdr:nvSpPr>
      <xdr:spPr bwMode="auto">
        <a:xfrm>
          <a:off x="1333500" y="6543675"/>
          <a:ext cx="39330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4</xdr:col>
      <xdr:colOff>57150</xdr:colOff>
      <xdr:row>17</xdr:row>
      <xdr:rowOff>66675</xdr:rowOff>
    </xdr:from>
    <xdr:ext cx="393304" cy="166712"/>
    <xdr:sp macro="" textlink="">
      <xdr:nvSpPr>
        <xdr:cNvPr id="122" name="Text Box 125">
          <a:extLst>
            <a:ext uri="{FF2B5EF4-FFF2-40B4-BE49-F238E27FC236}">
              <a16:creationId xmlns:a16="http://schemas.microsoft.com/office/drawing/2014/main" id="{E4060491-9BF4-4A05-AB4B-F30EA396EF0F}"/>
            </a:ext>
          </a:extLst>
        </xdr:cNvPr>
        <xdr:cNvSpPr txBox="1">
          <a:spLocks noChangeArrowheads="1"/>
        </xdr:cNvSpPr>
      </xdr:nvSpPr>
      <xdr:spPr bwMode="auto">
        <a:xfrm>
          <a:off x="1314450" y="5257800"/>
          <a:ext cx="39330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12</xdr:col>
      <xdr:colOff>190500</xdr:colOff>
      <xdr:row>17</xdr:row>
      <xdr:rowOff>238125</xdr:rowOff>
    </xdr:from>
    <xdr:ext cx="393304" cy="166712"/>
    <xdr:sp macro="" textlink="">
      <xdr:nvSpPr>
        <xdr:cNvPr id="123" name="Text Box 126">
          <a:extLst>
            <a:ext uri="{FF2B5EF4-FFF2-40B4-BE49-F238E27FC236}">
              <a16:creationId xmlns:a16="http://schemas.microsoft.com/office/drawing/2014/main" id="{862C0A2F-FB6C-4D89-B70D-EBEA6D72A824}"/>
            </a:ext>
          </a:extLst>
        </xdr:cNvPr>
        <xdr:cNvSpPr txBox="1">
          <a:spLocks noChangeArrowheads="1"/>
        </xdr:cNvSpPr>
      </xdr:nvSpPr>
      <xdr:spPr bwMode="auto">
        <a:xfrm>
          <a:off x="3962400" y="5429250"/>
          <a:ext cx="39330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200025</xdr:colOff>
      <xdr:row>17</xdr:row>
      <xdr:rowOff>123825</xdr:rowOff>
    </xdr:from>
    <xdr:ext cx="393304" cy="166712"/>
    <xdr:sp macro="" textlink="">
      <xdr:nvSpPr>
        <xdr:cNvPr id="124" name="Text Box 127">
          <a:extLst>
            <a:ext uri="{FF2B5EF4-FFF2-40B4-BE49-F238E27FC236}">
              <a16:creationId xmlns:a16="http://schemas.microsoft.com/office/drawing/2014/main" id="{715099B1-037A-496E-BA3D-33989D8884B2}"/>
            </a:ext>
          </a:extLst>
        </xdr:cNvPr>
        <xdr:cNvSpPr txBox="1">
          <a:spLocks noChangeArrowheads="1"/>
        </xdr:cNvSpPr>
      </xdr:nvSpPr>
      <xdr:spPr bwMode="auto">
        <a:xfrm>
          <a:off x="3028950" y="5314950"/>
          <a:ext cx="393304" cy="1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12</xdr:col>
      <xdr:colOff>142877</xdr:colOff>
      <xdr:row>6</xdr:row>
      <xdr:rowOff>123825</xdr:rowOff>
    </xdr:from>
    <xdr:to>
      <xdr:col>13</xdr:col>
      <xdr:colOff>180975</xdr:colOff>
      <xdr:row>10</xdr:row>
      <xdr:rowOff>133350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DC255DD0-E33B-4555-B85B-319CDEAA5B12}"/>
            </a:ext>
          </a:extLst>
        </xdr:cNvPr>
        <xdr:cNvCxnSpPr/>
      </xdr:nvCxnSpPr>
      <xdr:spPr>
        <a:xfrm flipH="1">
          <a:off x="3914777" y="1152525"/>
          <a:ext cx="352423" cy="25717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57148</xdr:colOff>
      <xdr:row>9</xdr:row>
      <xdr:rowOff>800100</xdr:rowOff>
    </xdr:from>
    <xdr:ext cx="468389" cy="187872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9284B4F3-55B5-4C93-AE69-AB851974A52D}"/>
            </a:ext>
          </a:extLst>
        </xdr:cNvPr>
        <xdr:cNvSpPr txBox="1"/>
      </xdr:nvSpPr>
      <xdr:spPr>
        <a:xfrm>
          <a:off x="3514723" y="25146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30.2m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8</xdr:col>
      <xdr:colOff>247652</xdr:colOff>
      <xdr:row>9</xdr:row>
      <xdr:rowOff>438150</xdr:rowOff>
    </xdr:from>
    <xdr:to>
      <xdr:col>18</xdr:col>
      <xdr:colOff>38100</xdr:colOff>
      <xdr:row>9</xdr:row>
      <xdr:rowOff>600075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77AED9AE-EEF7-44A6-9886-69F8281F44C3}"/>
            </a:ext>
          </a:extLst>
        </xdr:cNvPr>
        <xdr:cNvCxnSpPr/>
      </xdr:nvCxnSpPr>
      <xdr:spPr>
        <a:xfrm flipH="1" flipV="1">
          <a:off x="2762252" y="2152650"/>
          <a:ext cx="2933698" cy="1619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209548</xdr:colOff>
      <xdr:row>9</xdr:row>
      <xdr:rowOff>609597</xdr:rowOff>
    </xdr:from>
    <xdr:ext cx="468389" cy="187872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077EFABB-EE68-4660-982A-608F359C1C3D}"/>
            </a:ext>
          </a:extLst>
        </xdr:cNvPr>
        <xdr:cNvSpPr txBox="1"/>
      </xdr:nvSpPr>
      <xdr:spPr>
        <a:xfrm>
          <a:off x="4610098" y="2324097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34.8m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</xdr:col>
      <xdr:colOff>107950</xdr:colOff>
      <xdr:row>9</xdr:row>
      <xdr:rowOff>304800</xdr:rowOff>
    </xdr:from>
    <xdr:to>
      <xdr:col>3</xdr:col>
      <xdr:colOff>80877</xdr:colOff>
      <xdr:row>9</xdr:row>
      <xdr:rowOff>589625</xdr:rowOff>
    </xdr:to>
    <xdr:pic>
      <xdr:nvPicPr>
        <xdr:cNvPr id="139" name="図 138">
          <a:extLst>
            <a:ext uri="{FF2B5EF4-FFF2-40B4-BE49-F238E27FC236}">
              <a16:creationId xmlns:a16="http://schemas.microsoft.com/office/drawing/2014/main" id="{D243F53D-DA68-41DE-B907-84364106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" y="2019300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4</xdr:row>
      <xdr:rowOff>66675</xdr:rowOff>
    </xdr:from>
    <xdr:to>
      <xdr:col>15</xdr:col>
      <xdr:colOff>230102</xdr:colOff>
      <xdr:row>5</xdr:row>
      <xdr:rowOff>122900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id="{F1F9B480-0CF5-4595-8E38-918CAE96C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7725" y="638175"/>
          <a:ext cx="287252" cy="284825"/>
        </a:xfrm>
        <a:prstGeom prst="rect">
          <a:avLst/>
        </a:prstGeom>
      </xdr:spPr>
    </xdr:pic>
    <xdr:clientData/>
  </xdr:twoCellAnchor>
  <xdr:twoCellAnchor>
    <xdr:from>
      <xdr:col>12</xdr:col>
      <xdr:colOff>60325</xdr:colOff>
      <xdr:row>12</xdr:row>
      <xdr:rowOff>127000</xdr:rowOff>
    </xdr:from>
    <xdr:to>
      <xdr:col>13</xdr:col>
      <xdr:colOff>6584</xdr:colOff>
      <xdr:row>14</xdr:row>
      <xdr:rowOff>75118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B56F8D26-6854-4F46-B5AB-B0D8B7E7DF35}"/>
            </a:ext>
          </a:extLst>
        </xdr:cNvPr>
        <xdr:cNvGrpSpPr/>
      </xdr:nvGrpSpPr>
      <xdr:grpSpPr>
        <a:xfrm>
          <a:off x="3832225" y="4175125"/>
          <a:ext cx="260584" cy="405318"/>
          <a:chOff x="4867327" y="302986"/>
          <a:chExt cx="260584" cy="408493"/>
        </a:xfrm>
      </xdr:grpSpPr>
      <xdr:sp macro="" textlink="">
        <xdr:nvSpPr>
          <xdr:cNvPr id="142" name="Text Box 216">
            <a:extLst>
              <a:ext uri="{FF2B5EF4-FFF2-40B4-BE49-F238E27FC236}">
                <a16:creationId xmlns:a16="http://schemas.microsoft.com/office/drawing/2014/main" id="{8A8DD18C-E977-46B1-9389-A619C4BC60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43" name="図 142">
            <a:extLst>
              <a:ext uri="{FF2B5EF4-FFF2-40B4-BE49-F238E27FC236}">
                <a16:creationId xmlns:a16="http://schemas.microsoft.com/office/drawing/2014/main" id="{B911136F-ACAD-4407-A546-BCAED18EA8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 editAs="oneCell">
    <xdr:from>
      <xdr:col>19</xdr:col>
      <xdr:colOff>228600</xdr:colOff>
      <xdr:row>9</xdr:row>
      <xdr:rowOff>781050</xdr:rowOff>
    </xdr:from>
    <xdr:to>
      <xdr:col>20</xdr:col>
      <xdr:colOff>230102</xdr:colOff>
      <xdr:row>9</xdr:row>
      <xdr:rowOff>1065875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ACEB2C70-CAF2-48E6-B579-429FDA6E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495550"/>
          <a:ext cx="315827" cy="284825"/>
        </a:xfrm>
        <a:prstGeom prst="rect">
          <a:avLst/>
        </a:prstGeom>
      </xdr:spPr>
    </xdr:pic>
    <xdr:clientData/>
  </xdr:twoCellAnchor>
  <xdr:oneCellAnchor>
    <xdr:from>
      <xdr:col>20</xdr:col>
      <xdr:colOff>161925</xdr:colOff>
      <xdr:row>17</xdr:row>
      <xdr:rowOff>1047750</xdr:rowOff>
    </xdr:from>
    <xdr:ext cx="1343025" cy="885825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BF781E4E-4781-43C4-891C-83F37D372FB2}"/>
            </a:ext>
          </a:extLst>
        </xdr:cNvPr>
        <xdr:cNvSpPr txBox="1">
          <a:spLocks noChangeArrowheads="1"/>
        </xdr:cNvSpPr>
      </xdr:nvSpPr>
      <xdr:spPr bwMode="auto">
        <a:xfrm>
          <a:off x="6448425" y="6238875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20</xdr:col>
      <xdr:colOff>0</xdr:colOff>
      <xdr:row>10</xdr:row>
      <xdr:rowOff>209550</xdr:rowOff>
    </xdr:to>
    <xdr:pic>
      <xdr:nvPicPr>
        <xdr:cNvPr id="2147" name="Picture 99">
          <a:extLst>
            <a:ext uri="{FF2B5EF4-FFF2-40B4-BE49-F238E27FC236}">
              <a16:creationId xmlns:a16="http://schemas.microsoft.com/office/drawing/2014/main" id="{0170034E-5FCC-4710-B5E9-C36DFBD1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723900"/>
          <a:ext cx="4086225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5F3B4350-6572-4DA5-814C-737F1C69E846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14</xdr:col>
      <xdr:colOff>9525</xdr:colOff>
      <xdr:row>16</xdr:row>
      <xdr:rowOff>152400</xdr:rowOff>
    </xdr:to>
    <xdr:grpSp>
      <xdr:nvGrpSpPr>
        <xdr:cNvPr id="2050" name="Group 2">
          <a:extLst>
            <a:ext uri="{FF2B5EF4-FFF2-40B4-BE49-F238E27FC236}">
              <a16:creationId xmlns:a16="http://schemas.microsoft.com/office/drawing/2014/main" id="{4A76EC21-AEA5-49CD-A1AF-5B6B37F04976}"/>
            </a:ext>
          </a:extLst>
        </xdr:cNvPr>
        <xdr:cNvGrpSpPr>
          <a:grpSpLocks/>
        </xdr:cNvGrpSpPr>
      </xdr:nvGrpSpPr>
      <xdr:grpSpPr bwMode="auto">
        <a:xfrm>
          <a:off x="1514475" y="6800850"/>
          <a:ext cx="2514600" cy="47625"/>
          <a:chOff x="158" y="715"/>
          <a:chExt cx="33" cy="5"/>
        </a:xfrm>
      </xdr:grpSpPr>
      <xdr:sp macro="" textlink="">
        <xdr:nvSpPr>
          <xdr:cNvPr id="2051" name="Line 3">
            <a:extLst>
              <a:ext uri="{FF2B5EF4-FFF2-40B4-BE49-F238E27FC236}">
                <a16:creationId xmlns:a16="http://schemas.microsoft.com/office/drawing/2014/main" id="{5338E491-0CD4-45E8-A617-C0CF581DC62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2" name="Line 4">
            <a:extLst>
              <a:ext uri="{FF2B5EF4-FFF2-40B4-BE49-F238E27FC236}">
                <a16:creationId xmlns:a16="http://schemas.microsoft.com/office/drawing/2014/main" id="{A8B203A7-79DC-4CE6-A086-A933A6D4102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2053" name="Group 5">
          <a:extLst>
            <a:ext uri="{FF2B5EF4-FFF2-40B4-BE49-F238E27FC236}">
              <a16:creationId xmlns:a16="http://schemas.microsoft.com/office/drawing/2014/main" id="{0ABC9EA1-1FE1-4258-A993-ED3BD0D51575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CDC0BA5B-06AE-4095-91AF-FCB95B8695B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ECC27762-4AC8-4F0B-8DE9-FDE2228F4C9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2056" name="Freeform 8">
          <a:extLst>
            <a:ext uri="{FF2B5EF4-FFF2-40B4-BE49-F238E27FC236}">
              <a16:creationId xmlns:a16="http://schemas.microsoft.com/office/drawing/2014/main" id="{9F9D1747-9DE9-43D6-B451-E3F929788444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38100</xdr:rowOff>
    </xdr:from>
    <xdr:to>
      <xdr:col>10</xdr:col>
      <xdr:colOff>266700</xdr:colOff>
      <xdr:row>18</xdr:row>
      <xdr:rowOff>190500</xdr:rowOff>
    </xdr:to>
    <xdr:grpSp>
      <xdr:nvGrpSpPr>
        <xdr:cNvPr id="2057" name="Group 9">
          <a:extLst>
            <a:ext uri="{FF2B5EF4-FFF2-40B4-BE49-F238E27FC236}">
              <a16:creationId xmlns:a16="http://schemas.microsoft.com/office/drawing/2014/main" id="{82D1C246-09D4-4258-BF8A-A33B943DCBCA}"/>
            </a:ext>
          </a:extLst>
        </xdr:cNvPr>
        <xdr:cNvGrpSpPr>
          <a:grpSpLocks/>
        </xdr:cNvGrpSpPr>
      </xdr:nvGrpSpPr>
      <xdr:grpSpPr bwMode="auto">
        <a:xfrm>
          <a:off x="2809875" y="7191375"/>
          <a:ext cx="219075" cy="152400"/>
          <a:chOff x="132" y="708"/>
          <a:chExt cx="20" cy="14"/>
        </a:xfrm>
      </xdr:grpSpPr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87DDD42A-CA1D-4EE0-AFCA-AAA93F32896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35EDB4E8-5541-44E3-801B-B7F78B9651E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0" name="Line 12">
            <a:extLst>
              <a:ext uri="{FF2B5EF4-FFF2-40B4-BE49-F238E27FC236}">
                <a16:creationId xmlns:a16="http://schemas.microsoft.com/office/drawing/2014/main" id="{511AD354-0A0E-4CFF-82D4-7F7304B9AE2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1" name="Line 13">
            <a:extLst>
              <a:ext uri="{FF2B5EF4-FFF2-40B4-BE49-F238E27FC236}">
                <a16:creationId xmlns:a16="http://schemas.microsoft.com/office/drawing/2014/main" id="{01F16AF3-4854-44CC-A10A-28398FE7BA2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062" name="Group 14">
          <a:extLst>
            <a:ext uri="{FF2B5EF4-FFF2-40B4-BE49-F238E27FC236}">
              <a16:creationId xmlns:a16="http://schemas.microsoft.com/office/drawing/2014/main" id="{BB9A0D71-1679-4876-A854-727D38747674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434773E5-241B-46E5-8EF6-B20D12FA0E5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4" name="Line 16">
            <a:extLst>
              <a:ext uri="{FF2B5EF4-FFF2-40B4-BE49-F238E27FC236}">
                <a16:creationId xmlns:a16="http://schemas.microsoft.com/office/drawing/2014/main" id="{18F34066-AF96-484D-9496-F829A47DF96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2065" name="Group 17">
          <a:extLst>
            <a:ext uri="{FF2B5EF4-FFF2-40B4-BE49-F238E27FC236}">
              <a16:creationId xmlns:a16="http://schemas.microsoft.com/office/drawing/2014/main" id="{085DF3B9-1897-4C8F-B6B4-309D41F803B4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CAE449E3-F1AF-4B39-A881-4E79C63DCFB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D76C8BF6-1C5B-47E9-BE0F-D79CB4EDF0D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114300</xdr:rowOff>
    </xdr:from>
    <xdr:to>
      <xdr:col>10</xdr:col>
      <xdr:colOff>0</xdr:colOff>
      <xdr:row>18</xdr:row>
      <xdr:rowOff>114300</xdr:rowOff>
    </xdr:to>
    <xdr:sp macro="" textlink="">
      <xdr:nvSpPr>
        <xdr:cNvPr id="2068" name="Line 20">
          <a:extLst>
            <a:ext uri="{FF2B5EF4-FFF2-40B4-BE49-F238E27FC236}">
              <a16:creationId xmlns:a16="http://schemas.microsoft.com/office/drawing/2014/main" id="{EF450367-D80F-4393-83F4-5D712A038BCA}"/>
            </a:ext>
          </a:extLst>
        </xdr:cNvPr>
        <xdr:cNvSpPr>
          <a:spLocks noChangeShapeType="1"/>
        </xdr:cNvSpPr>
      </xdr:nvSpPr>
      <xdr:spPr bwMode="auto">
        <a:xfrm>
          <a:off x="244792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2069" name="Line 21">
          <a:extLst>
            <a:ext uri="{FF2B5EF4-FFF2-40B4-BE49-F238E27FC236}">
              <a16:creationId xmlns:a16="http://schemas.microsoft.com/office/drawing/2014/main" id="{79E0CA02-B31D-4473-A049-CCFFEE094B98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2070" name="Group 22">
          <a:extLst>
            <a:ext uri="{FF2B5EF4-FFF2-40B4-BE49-F238E27FC236}">
              <a16:creationId xmlns:a16="http://schemas.microsoft.com/office/drawing/2014/main" id="{AEFDE25B-9E4C-4F1C-8EC3-3F28A17C4D69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B2DCE0D1-8805-4490-8D56-14C69E49809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DC8E5B70-8DD9-499A-8BA2-93C26E3D7FE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2073" name="Group 25">
          <a:extLst>
            <a:ext uri="{FF2B5EF4-FFF2-40B4-BE49-F238E27FC236}">
              <a16:creationId xmlns:a16="http://schemas.microsoft.com/office/drawing/2014/main" id="{F242B3C4-AD47-4A9A-A70B-E322759E500F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2074" name="Line 26">
            <a:extLst>
              <a:ext uri="{FF2B5EF4-FFF2-40B4-BE49-F238E27FC236}">
                <a16:creationId xmlns:a16="http://schemas.microsoft.com/office/drawing/2014/main" id="{9FEB4526-941B-4C50-BD9D-B034C05238E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9CE64584-FB5F-4A3B-8E01-D2A4990B2B9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076" name="Group 28">
          <a:extLst>
            <a:ext uri="{FF2B5EF4-FFF2-40B4-BE49-F238E27FC236}">
              <a16:creationId xmlns:a16="http://schemas.microsoft.com/office/drawing/2014/main" id="{F77E4EFC-2626-4AF6-ABD3-765BB25035EB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CA243406-3501-4E7D-B0AF-64CA045155F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Line 30">
            <a:extLst>
              <a:ext uri="{FF2B5EF4-FFF2-40B4-BE49-F238E27FC236}">
                <a16:creationId xmlns:a16="http://schemas.microsoft.com/office/drawing/2014/main" id="{B355886D-BB33-49A5-B141-41E945FFE4D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FA5AF0B4-31DE-4D9C-9170-F985BF00061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Line 32">
            <a:extLst>
              <a:ext uri="{FF2B5EF4-FFF2-40B4-BE49-F238E27FC236}">
                <a16:creationId xmlns:a16="http://schemas.microsoft.com/office/drawing/2014/main" id="{E52BBFC5-227E-4DAB-A967-6F8BB42C496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081" name="Line 33">
          <a:extLst>
            <a:ext uri="{FF2B5EF4-FFF2-40B4-BE49-F238E27FC236}">
              <a16:creationId xmlns:a16="http://schemas.microsoft.com/office/drawing/2014/main" id="{2AA76D58-8B85-41C7-9862-8CDB25E3ECEE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082" name="Freeform 34">
          <a:extLst>
            <a:ext uri="{FF2B5EF4-FFF2-40B4-BE49-F238E27FC236}">
              <a16:creationId xmlns:a16="http://schemas.microsoft.com/office/drawing/2014/main" id="{06E4AC6B-AEAF-430A-B05C-BBEEEBAE3376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083" name="Line 35">
          <a:extLst>
            <a:ext uri="{FF2B5EF4-FFF2-40B4-BE49-F238E27FC236}">
              <a16:creationId xmlns:a16="http://schemas.microsoft.com/office/drawing/2014/main" id="{6B48D999-18C4-425C-BCF8-3804F9A1BFC9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295275</xdr:colOff>
      <xdr:row>15</xdr:row>
      <xdr:rowOff>495300</xdr:rowOff>
    </xdr:from>
    <xdr:to>
      <xdr:col>8</xdr:col>
      <xdr:colOff>38100</xdr:colOff>
      <xdr:row>15</xdr:row>
      <xdr:rowOff>800100</xdr:rowOff>
    </xdr:to>
    <xdr:grpSp>
      <xdr:nvGrpSpPr>
        <xdr:cNvPr id="2084" name="Group 36">
          <a:extLst>
            <a:ext uri="{FF2B5EF4-FFF2-40B4-BE49-F238E27FC236}">
              <a16:creationId xmlns:a16="http://schemas.microsoft.com/office/drawing/2014/main" id="{4DFEEF46-D771-4064-9FFA-4FE2A61675A0}"/>
            </a:ext>
          </a:extLst>
        </xdr:cNvPr>
        <xdr:cNvGrpSpPr>
          <a:grpSpLocks/>
        </xdr:cNvGrpSpPr>
      </xdr:nvGrpSpPr>
      <xdr:grpSpPr bwMode="auto">
        <a:xfrm>
          <a:off x="1171575" y="5610225"/>
          <a:ext cx="1000125" cy="304800"/>
          <a:chOff x="110" y="567"/>
          <a:chExt cx="105" cy="32"/>
        </a:xfrm>
      </xdr:grpSpPr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AC56B9A5-2CB9-40D6-89D0-722DD61BFE62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Freeform 38">
            <a:extLst>
              <a:ext uri="{FF2B5EF4-FFF2-40B4-BE49-F238E27FC236}">
                <a16:creationId xmlns:a16="http://schemas.microsoft.com/office/drawing/2014/main" id="{34787B49-4CBC-42EB-BB0B-DD9944274041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7" name="Freeform 39">
            <a:extLst>
              <a:ext uri="{FF2B5EF4-FFF2-40B4-BE49-F238E27FC236}">
                <a16:creationId xmlns:a16="http://schemas.microsoft.com/office/drawing/2014/main" id="{7D31EB0E-84AA-4196-BFE3-4D6A1D9CF6C3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8" name="Line 40">
            <a:extLst>
              <a:ext uri="{FF2B5EF4-FFF2-40B4-BE49-F238E27FC236}">
                <a16:creationId xmlns:a16="http://schemas.microsoft.com/office/drawing/2014/main" id="{9BFD296E-EACB-4698-8409-F98141631286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400E7FDC-43C0-44D4-9E29-095DDD655D7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0" name="Freeform 42">
            <a:extLst>
              <a:ext uri="{FF2B5EF4-FFF2-40B4-BE49-F238E27FC236}">
                <a16:creationId xmlns:a16="http://schemas.microsoft.com/office/drawing/2014/main" id="{7DE46DD2-B59D-42AC-BDAC-19A6CB7DF4B9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32E836B3-45F8-4355-8B7F-54E4CD8A7B51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6A2864B6-BAE7-4921-B52A-B925A53A5C1A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15</xdr:row>
      <xdr:rowOff>323850</xdr:rowOff>
    </xdr:from>
    <xdr:to>
      <xdr:col>7</xdr:col>
      <xdr:colOff>209550</xdr:colOff>
      <xdr:row>15</xdr:row>
      <xdr:rowOff>381000</xdr:rowOff>
    </xdr:to>
    <xdr:grpSp>
      <xdr:nvGrpSpPr>
        <xdr:cNvPr id="2093" name="Group 45">
          <a:extLst>
            <a:ext uri="{FF2B5EF4-FFF2-40B4-BE49-F238E27FC236}">
              <a16:creationId xmlns:a16="http://schemas.microsoft.com/office/drawing/2014/main" id="{44BD0654-F3DF-48AF-A59B-4E7A0FBB5B7A}"/>
            </a:ext>
          </a:extLst>
        </xdr:cNvPr>
        <xdr:cNvGrpSpPr>
          <a:grpSpLocks/>
        </xdr:cNvGrpSpPr>
      </xdr:nvGrpSpPr>
      <xdr:grpSpPr bwMode="auto">
        <a:xfrm>
          <a:off x="1295400" y="5438775"/>
          <a:ext cx="733425" cy="57150"/>
          <a:chOff x="123" y="549"/>
          <a:chExt cx="77" cy="6"/>
        </a:xfrm>
      </xdr:grpSpPr>
      <xdr:sp macro="" textlink="">
        <xdr:nvSpPr>
          <xdr:cNvPr id="2094" name="Line 46">
            <a:extLst>
              <a:ext uri="{FF2B5EF4-FFF2-40B4-BE49-F238E27FC236}">
                <a16:creationId xmlns:a16="http://schemas.microsoft.com/office/drawing/2014/main" id="{49DF6656-4273-4B6F-BF33-C8927AEA197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5" name="Freeform 47">
            <a:extLst>
              <a:ext uri="{FF2B5EF4-FFF2-40B4-BE49-F238E27FC236}">
                <a16:creationId xmlns:a16="http://schemas.microsoft.com/office/drawing/2014/main" id="{81EF5B69-786C-467C-A427-ABA47413914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6" name="Freeform 48">
            <a:extLst>
              <a:ext uri="{FF2B5EF4-FFF2-40B4-BE49-F238E27FC236}">
                <a16:creationId xmlns:a16="http://schemas.microsoft.com/office/drawing/2014/main" id="{58E6DC2F-E18B-4810-AF3C-1ED5F2DED9F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15</xdr:row>
      <xdr:rowOff>857250</xdr:rowOff>
    </xdr:from>
    <xdr:to>
      <xdr:col>8</xdr:col>
      <xdr:colOff>38100</xdr:colOff>
      <xdr:row>15</xdr:row>
      <xdr:rowOff>1162050</xdr:rowOff>
    </xdr:to>
    <xdr:grpSp>
      <xdr:nvGrpSpPr>
        <xdr:cNvPr id="2097" name="Group 49">
          <a:extLst>
            <a:ext uri="{FF2B5EF4-FFF2-40B4-BE49-F238E27FC236}">
              <a16:creationId xmlns:a16="http://schemas.microsoft.com/office/drawing/2014/main" id="{D79A0D49-98A7-4776-AD9A-2D69741A6E9E}"/>
            </a:ext>
          </a:extLst>
        </xdr:cNvPr>
        <xdr:cNvGrpSpPr>
          <a:grpSpLocks/>
        </xdr:cNvGrpSpPr>
      </xdr:nvGrpSpPr>
      <xdr:grpSpPr bwMode="auto">
        <a:xfrm>
          <a:off x="1162050" y="5972175"/>
          <a:ext cx="1009650" cy="304800"/>
          <a:chOff x="105" y="627"/>
          <a:chExt cx="106" cy="32"/>
        </a:xfrm>
      </xdr:grpSpPr>
      <xdr:sp macro="" textlink="">
        <xdr:nvSpPr>
          <xdr:cNvPr id="2098" name="Line 50">
            <a:extLst>
              <a:ext uri="{FF2B5EF4-FFF2-40B4-BE49-F238E27FC236}">
                <a16:creationId xmlns:a16="http://schemas.microsoft.com/office/drawing/2014/main" id="{5646CF3D-C018-4943-909E-68E8CB0F9C3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9" name="Freeform 51">
            <a:extLst>
              <a:ext uri="{FF2B5EF4-FFF2-40B4-BE49-F238E27FC236}">
                <a16:creationId xmlns:a16="http://schemas.microsoft.com/office/drawing/2014/main" id="{25497056-F05E-44A3-9FC0-041A1FD0453E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0" name="Freeform 52">
            <a:extLst>
              <a:ext uri="{FF2B5EF4-FFF2-40B4-BE49-F238E27FC236}">
                <a16:creationId xmlns:a16="http://schemas.microsoft.com/office/drawing/2014/main" id="{EF4174B7-08D3-47BC-8C15-9F1D60A87E79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1" name="Line 53">
            <a:extLst>
              <a:ext uri="{FF2B5EF4-FFF2-40B4-BE49-F238E27FC236}">
                <a16:creationId xmlns:a16="http://schemas.microsoft.com/office/drawing/2014/main" id="{057129B4-4A67-440E-8DF6-86FB10E87EF5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2" name="Freeform 54">
            <a:extLst>
              <a:ext uri="{FF2B5EF4-FFF2-40B4-BE49-F238E27FC236}">
                <a16:creationId xmlns:a16="http://schemas.microsoft.com/office/drawing/2014/main" id="{AAE46722-71AF-4061-9DEF-1657ABBE4C84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3" name="Freeform 55">
            <a:extLst>
              <a:ext uri="{FF2B5EF4-FFF2-40B4-BE49-F238E27FC236}">
                <a16:creationId xmlns:a16="http://schemas.microsoft.com/office/drawing/2014/main" id="{3DAF5D38-2F84-4D08-9955-95E1CD43A87C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4" name="Line 56">
            <a:extLst>
              <a:ext uri="{FF2B5EF4-FFF2-40B4-BE49-F238E27FC236}">
                <a16:creationId xmlns:a16="http://schemas.microsoft.com/office/drawing/2014/main" id="{49FF1D17-100A-4D86-A085-0490D583C3D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5" name="Freeform 57">
            <a:extLst>
              <a:ext uri="{FF2B5EF4-FFF2-40B4-BE49-F238E27FC236}">
                <a16:creationId xmlns:a16="http://schemas.microsoft.com/office/drawing/2014/main" id="{CF41B0EB-7B50-499A-A33B-528C68F26384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15</xdr:row>
      <xdr:rowOff>1247775</xdr:rowOff>
    </xdr:from>
    <xdr:to>
      <xdr:col>7</xdr:col>
      <xdr:colOff>209550</xdr:colOff>
      <xdr:row>15</xdr:row>
      <xdr:rowOff>1304925</xdr:rowOff>
    </xdr:to>
    <xdr:grpSp>
      <xdr:nvGrpSpPr>
        <xdr:cNvPr id="2106" name="Group 58">
          <a:extLst>
            <a:ext uri="{FF2B5EF4-FFF2-40B4-BE49-F238E27FC236}">
              <a16:creationId xmlns:a16="http://schemas.microsoft.com/office/drawing/2014/main" id="{2BB87573-4167-4DB1-848C-3EC2BAC72B29}"/>
            </a:ext>
          </a:extLst>
        </xdr:cNvPr>
        <xdr:cNvGrpSpPr>
          <a:grpSpLocks/>
        </xdr:cNvGrpSpPr>
      </xdr:nvGrpSpPr>
      <xdr:grpSpPr bwMode="auto">
        <a:xfrm>
          <a:off x="1295400" y="6362700"/>
          <a:ext cx="733425" cy="57150"/>
          <a:chOff x="123" y="549"/>
          <a:chExt cx="77" cy="6"/>
        </a:xfrm>
      </xdr:grpSpPr>
      <xdr:sp macro="" textlink="">
        <xdr:nvSpPr>
          <xdr:cNvPr id="2107" name="Line 59">
            <a:extLst>
              <a:ext uri="{FF2B5EF4-FFF2-40B4-BE49-F238E27FC236}">
                <a16:creationId xmlns:a16="http://schemas.microsoft.com/office/drawing/2014/main" id="{B9CC303C-0F39-4F7C-9F79-374D1545E08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8" name="Freeform 60">
            <a:extLst>
              <a:ext uri="{FF2B5EF4-FFF2-40B4-BE49-F238E27FC236}">
                <a16:creationId xmlns:a16="http://schemas.microsoft.com/office/drawing/2014/main" id="{DE7C4FF1-E95B-468F-A2B3-9724C5C6D77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9" name="Freeform 61">
            <a:extLst>
              <a:ext uri="{FF2B5EF4-FFF2-40B4-BE49-F238E27FC236}">
                <a16:creationId xmlns:a16="http://schemas.microsoft.com/office/drawing/2014/main" id="{CB8FEEDE-3CD2-4A9A-8A04-D1382C7DF125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266700</xdr:rowOff>
    </xdr:from>
    <xdr:to>
      <xdr:col>11</xdr:col>
      <xdr:colOff>114300</xdr:colOff>
      <xdr:row>15</xdr:row>
      <xdr:rowOff>1276350</xdr:rowOff>
    </xdr:to>
    <xdr:grpSp>
      <xdr:nvGrpSpPr>
        <xdr:cNvPr id="2110" name="Group 62">
          <a:extLst>
            <a:ext uri="{FF2B5EF4-FFF2-40B4-BE49-F238E27FC236}">
              <a16:creationId xmlns:a16="http://schemas.microsoft.com/office/drawing/2014/main" id="{B5FA4354-DABE-4798-B492-26A75FB8F925}"/>
            </a:ext>
          </a:extLst>
        </xdr:cNvPr>
        <xdr:cNvGrpSpPr>
          <a:grpSpLocks/>
        </xdr:cNvGrpSpPr>
      </xdr:nvGrpSpPr>
      <xdr:grpSpPr bwMode="auto">
        <a:xfrm>
          <a:off x="2886075" y="5381625"/>
          <a:ext cx="304800" cy="1009650"/>
          <a:chOff x="369" y="565"/>
          <a:chExt cx="32" cy="106"/>
        </a:xfrm>
      </xdr:grpSpPr>
      <xdr:sp macro="" textlink="">
        <xdr:nvSpPr>
          <xdr:cNvPr id="2111" name="Line 63">
            <a:extLst>
              <a:ext uri="{FF2B5EF4-FFF2-40B4-BE49-F238E27FC236}">
                <a16:creationId xmlns:a16="http://schemas.microsoft.com/office/drawing/2014/main" id="{A05BF4EC-82E2-4225-94BB-A204D06C2ACC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2" name="Freeform 64">
            <a:extLst>
              <a:ext uri="{FF2B5EF4-FFF2-40B4-BE49-F238E27FC236}">
                <a16:creationId xmlns:a16="http://schemas.microsoft.com/office/drawing/2014/main" id="{CC699D4A-6840-46A1-9F0E-4633DA2885E9}"/>
              </a:ext>
            </a:extLst>
          </xdr:cNvPr>
          <xdr:cNvSpPr>
            <a:spLocks/>
          </xdr:cNvSpPr>
        </xdr:nvSpPr>
        <xdr:spPr bwMode="auto">
          <a:xfrm rot="-5400000">
            <a:off x="381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3" name="Freeform 65">
            <a:extLst>
              <a:ext uri="{FF2B5EF4-FFF2-40B4-BE49-F238E27FC236}">
                <a16:creationId xmlns:a16="http://schemas.microsoft.com/office/drawing/2014/main" id="{AEF7DBE7-FDA0-4012-AD6E-DB295562302B}"/>
              </a:ext>
            </a:extLst>
          </xdr:cNvPr>
          <xdr:cNvSpPr>
            <a:spLocks/>
          </xdr:cNvSpPr>
        </xdr:nvSpPr>
        <xdr:spPr bwMode="auto">
          <a:xfrm rot="-5400000">
            <a:off x="377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4" name="Line 66">
            <a:extLst>
              <a:ext uri="{FF2B5EF4-FFF2-40B4-BE49-F238E27FC236}">
                <a16:creationId xmlns:a16="http://schemas.microsoft.com/office/drawing/2014/main" id="{01291A13-72AE-4852-8C5B-2A83BA865C69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3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5" name="Freeform 67">
            <a:extLst>
              <a:ext uri="{FF2B5EF4-FFF2-40B4-BE49-F238E27FC236}">
                <a16:creationId xmlns:a16="http://schemas.microsoft.com/office/drawing/2014/main" id="{1EFF472B-1F09-4F87-B9A5-270A37AF2B43}"/>
              </a:ext>
            </a:extLst>
          </xdr:cNvPr>
          <xdr:cNvSpPr>
            <a:spLocks/>
          </xdr:cNvSpPr>
        </xdr:nvSpPr>
        <xdr:spPr bwMode="auto">
          <a:xfrm rot="-5400000">
            <a:off x="369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6" name="Freeform 68">
            <a:extLst>
              <a:ext uri="{FF2B5EF4-FFF2-40B4-BE49-F238E27FC236}">
                <a16:creationId xmlns:a16="http://schemas.microsoft.com/office/drawing/2014/main" id="{D7CCF7B9-F6DE-4EE4-AD76-8247D9AD1FDC}"/>
              </a:ext>
            </a:extLst>
          </xdr:cNvPr>
          <xdr:cNvSpPr>
            <a:spLocks/>
          </xdr:cNvSpPr>
        </xdr:nvSpPr>
        <xdr:spPr bwMode="auto">
          <a:xfrm rot="-5400000">
            <a:off x="385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7" name="Line 69">
            <a:extLst>
              <a:ext uri="{FF2B5EF4-FFF2-40B4-BE49-F238E27FC236}">
                <a16:creationId xmlns:a16="http://schemas.microsoft.com/office/drawing/2014/main" id="{E735912C-A057-46FF-9F27-B9F003C90207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6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8" name="Freeform 70">
            <a:extLst>
              <a:ext uri="{FF2B5EF4-FFF2-40B4-BE49-F238E27FC236}">
                <a16:creationId xmlns:a16="http://schemas.microsoft.com/office/drawing/2014/main" id="{BCBB5872-5DD5-4AE2-AAF0-2F9AB9DD8025}"/>
              </a:ext>
            </a:extLst>
          </xdr:cNvPr>
          <xdr:cNvSpPr>
            <a:spLocks/>
          </xdr:cNvSpPr>
        </xdr:nvSpPr>
        <xdr:spPr bwMode="auto">
          <a:xfrm rot="-5400000">
            <a:off x="394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200025</xdr:colOff>
      <xdr:row>15</xdr:row>
      <xdr:rowOff>276225</xdr:rowOff>
    </xdr:from>
    <xdr:to>
      <xdr:col>12</xdr:col>
      <xdr:colOff>190500</xdr:colOff>
      <xdr:row>15</xdr:row>
      <xdr:rowOff>1276350</xdr:rowOff>
    </xdr:to>
    <xdr:grpSp>
      <xdr:nvGrpSpPr>
        <xdr:cNvPr id="2119" name="Group 71">
          <a:extLst>
            <a:ext uri="{FF2B5EF4-FFF2-40B4-BE49-F238E27FC236}">
              <a16:creationId xmlns:a16="http://schemas.microsoft.com/office/drawing/2014/main" id="{ED1879D6-7B59-4046-86BA-F663293F9695}"/>
            </a:ext>
          </a:extLst>
        </xdr:cNvPr>
        <xdr:cNvGrpSpPr>
          <a:grpSpLocks/>
        </xdr:cNvGrpSpPr>
      </xdr:nvGrpSpPr>
      <xdr:grpSpPr bwMode="auto">
        <a:xfrm>
          <a:off x="3276600" y="5391150"/>
          <a:ext cx="304800" cy="1000125"/>
          <a:chOff x="410" y="566"/>
          <a:chExt cx="32" cy="105"/>
        </a:xfrm>
      </xdr:grpSpPr>
      <xdr:sp macro="" textlink="">
        <xdr:nvSpPr>
          <xdr:cNvPr id="2120" name="Line 72">
            <a:extLst>
              <a:ext uri="{FF2B5EF4-FFF2-40B4-BE49-F238E27FC236}">
                <a16:creationId xmlns:a16="http://schemas.microsoft.com/office/drawing/2014/main" id="{F35C2336-A1A8-4194-9ECE-FB22CC4473B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4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1" name="Freeform 73">
            <a:extLst>
              <a:ext uri="{FF2B5EF4-FFF2-40B4-BE49-F238E27FC236}">
                <a16:creationId xmlns:a16="http://schemas.microsoft.com/office/drawing/2014/main" id="{D7C312D8-E709-4716-9971-70E3CB2EDD54}"/>
              </a:ext>
            </a:extLst>
          </xdr:cNvPr>
          <xdr:cNvSpPr>
            <a:spLocks/>
          </xdr:cNvSpPr>
        </xdr:nvSpPr>
        <xdr:spPr bwMode="auto">
          <a:xfrm rot="5400000">
            <a:off x="422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2" name="Freeform 74">
            <a:extLst>
              <a:ext uri="{FF2B5EF4-FFF2-40B4-BE49-F238E27FC236}">
                <a16:creationId xmlns:a16="http://schemas.microsoft.com/office/drawing/2014/main" id="{42E89839-6EFB-4194-9791-5FB1E5E644DB}"/>
              </a:ext>
            </a:extLst>
          </xdr:cNvPr>
          <xdr:cNvSpPr>
            <a:spLocks/>
          </xdr:cNvSpPr>
        </xdr:nvSpPr>
        <xdr:spPr bwMode="auto">
          <a:xfrm rot="5400000">
            <a:off x="426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3" name="Line 75">
            <a:extLst>
              <a:ext uri="{FF2B5EF4-FFF2-40B4-BE49-F238E27FC236}">
                <a16:creationId xmlns:a16="http://schemas.microsoft.com/office/drawing/2014/main" id="{996FE943-CA20-4CC9-9295-73161E4246A2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8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4" name="Freeform 76">
            <a:extLst>
              <a:ext uri="{FF2B5EF4-FFF2-40B4-BE49-F238E27FC236}">
                <a16:creationId xmlns:a16="http://schemas.microsoft.com/office/drawing/2014/main" id="{B909BE0F-BF16-4A8C-B042-B98433795159}"/>
              </a:ext>
            </a:extLst>
          </xdr:cNvPr>
          <xdr:cNvSpPr>
            <a:spLocks/>
          </xdr:cNvSpPr>
        </xdr:nvSpPr>
        <xdr:spPr bwMode="auto">
          <a:xfrm rot="5400000">
            <a:off x="435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5" name="Freeform 77">
            <a:extLst>
              <a:ext uri="{FF2B5EF4-FFF2-40B4-BE49-F238E27FC236}">
                <a16:creationId xmlns:a16="http://schemas.microsoft.com/office/drawing/2014/main" id="{5D14364B-AB06-43DB-8D71-25981BC2A0DE}"/>
              </a:ext>
            </a:extLst>
          </xdr:cNvPr>
          <xdr:cNvSpPr>
            <a:spLocks/>
          </xdr:cNvSpPr>
        </xdr:nvSpPr>
        <xdr:spPr bwMode="auto">
          <a:xfrm rot="5400000">
            <a:off x="419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6" name="Line 78">
            <a:extLst>
              <a:ext uri="{FF2B5EF4-FFF2-40B4-BE49-F238E27FC236}">
                <a16:creationId xmlns:a16="http://schemas.microsoft.com/office/drawing/2014/main" id="{7E6000BF-278B-4294-8246-F4946B5A67A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7" name="Freeform 79">
            <a:extLst>
              <a:ext uri="{FF2B5EF4-FFF2-40B4-BE49-F238E27FC236}">
                <a16:creationId xmlns:a16="http://schemas.microsoft.com/office/drawing/2014/main" id="{0F7495C3-974D-47EF-8EBE-B0281C2AB7DD}"/>
              </a:ext>
            </a:extLst>
          </xdr:cNvPr>
          <xdr:cNvSpPr>
            <a:spLocks/>
          </xdr:cNvSpPr>
        </xdr:nvSpPr>
        <xdr:spPr bwMode="auto">
          <a:xfrm rot="5400000">
            <a:off x="410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428625</xdr:rowOff>
    </xdr:from>
    <xdr:to>
      <xdr:col>13</xdr:col>
      <xdr:colOff>38100</xdr:colOff>
      <xdr:row>15</xdr:row>
      <xdr:rowOff>1162050</xdr:rowOff>
    </xdr:to>
    <xdr:grpSp>
      <xdr:nvGrpSpPr>
        <xdr:cNvPr id="2128" name="Group 80">
          <a:extLst>
            <a:ext uri="{FF2B5EF4-FFF2-40B4-BE49-F238E27FC236}">
              <a16:creationId xmlns:a16="http://schemas.microsoft.com/office/drawing/2014/main" id="{E0128D82-F5E8-415A-9AF3-AF0D9F7C2E78}"/>
            </a:ext>
          </a:extLst>
        </xdr:cNvPr>
        <xdr:cNvGrpSpPr>
          <a:grpSpLocks/>
        </xdr:cNvGrpSpPr>
      </xdr:nvGrpSpPr>
      <xdr:grpSpPr bwMode="auto">
        <a:xfrm rot="5400000">
          <a:off x="3348037" y="5881688"/>
          <a:ext cx="733425" cy="57150"/>
          <a:chOff x="123" y="549"/>
          <a:chExt cx="77" cy="6"/>
        </a:xfrm>
      </xdr:grpSpPr>
      <xdr:sp macro="" textlink="">
        <xdr:nvSpPr>
          <xdr:cNvPr id="2129" name="Line 81">
            <a:extLst>
              <a:ext uri="{FF2B5EF4-FFF2-40B4-BE49-F238E27FC236}">
                <a16:creationId xmlns:a16="http://schemas.microsoft.com/office/drawing/2014/main" id="{78BF5E1D-AF16-4325-920D-1F809EB0C7A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0" name="Freeform 82">
            <a:extLst>
              <a:ext uri="{FF2B5EF4-FFF2-40B4-BE49-F238E27FC236}">
                <a16:creationId xmlns:a16="http://schemas.microsoft.com/office/drawing/2014/main" id="{F8315871-B9AB-4062-98B6-D42CEA32930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1" name="Freeform 83">
            <a:extLst>
              <a:ext uri="{FF2B5EF4-FFF2-40B4-BE49-F238E27FC236}">
                <a16:creationId xmlns:a16="http://schemas.microsoft.com/office/drawing/2014/main" id="{B19AC3F4-E243-4C0A-A9AE-226A3ADB96C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428625</xdr:rowOff>
    </xdr:from>
    <xdr:to>
      <xdr:col>10</xdr:col>
      <xdr:colOff>38100</xdr:colOff>
      <xdr:row>15</xdr:row>
      <xdr:rowOff>1162050</xdr:rowOff>
    </xdr:to>
    <xdr:grpSp>
      <xdr:nvGrpSpPr>
        <xdr:cNvPr id="2132" name="Group 84">
          <a:extLst>
            <a:ext uri="{FF2B5EF4-FFF2-40B4-BE49-F238E27FC236}">
              <a16:creationId xmlns:a16="http://schemas.microsoft.com/office/drawing/2014/main" id="{CDD6D4AB-74D0-4665-A20F-CE683D59BC1E}"/>
            </a:ext>
          </a:extLst>
        </xdr:cNvPr>
        <xdr:cNvGrpSpPr>
          <a:grpSpLocks/>
        </xdr:cNvGrpSpPr>
      </xdr:nvGrpSpPr>
      <xdr:grpSpPr bwMode="auto">
        <a:xfrm rot="5400000">
          <a:off x="2405062" y="5881688"/>
          <a:ext cx="733425" cy="57150"/>
          <a:chOff x="123" y="549"/>
          <a:chExt cx="77" cy="6"/>
        </a:xfrm>
      </xdr:grpSpPr>
      <xdr:sp macro="" textlink="">
        <xdr:nvSpPr>
          <xdr:cNvPr id="2133" name="Line 85">
            <a:extLst>
              <a:ext uri="{FF2B5EF4-FFF2-40B4-BE49-F238E27FC236}">
                <a16:creationId xmlns:a16="http://schemas.microsoft.com/office/drawing/2014/main" id="{ADD24022-0692-4F2E-BA7F-21350485739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4" name="Freeform 86">
            <a:extLst>
              <a:ext uri="{FF2B5EF4-FFF2-40B4-BE49-F238E27FC236}">
                <a16:creationId xmlns:a16="http://schemas.microsoft.com/office/drawing/2014/main" id="{6827A317-F46E-453D-83BC-23C165EDD3A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5" name="Freeform 87">
            <a:extLst>
              <a:ext uri="{FF2B5EF4-FFF2-40B4-BE49-F238E27FC236}">
                <a16:creationId xmlns:a16="http://schemas.microsoft.com/office/drawing/2014/main" id="{54F6ABCE-9D45-476B-9644-03EF3578A31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2136" name="Text Box 88">
          <a:extLst>
            <a:ext uri="{FF2B5EF4-FFF2-40B4-BE49-F238E27FC236}">
              <a16:creationId xmlns:a16="http://schemas.microsoft.com/office/drawing/2014/main" id="{CEA99AA6-1FFC-41A4-8F7F-B93B32D2BAE7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0</xdr:colOff>
      <xdr:row>15</xdr:row>
      <xdr:rowOff>1190625</xdr:rowOff>
    </xdr:from>
    <xdr:to>
      <xdr:col>8</xdr:col>
      <xdr:colOff>295275</xdr:colOff>
      <xdr:row>15</xdr:row>
      <xdr:rowOff>1381125</xdr:rowOff>
    </xdr:to>
    <xdr:sp macro="" textlink="">
      <xdr:nvSpPr>
        <xdr:cNvPr id="2137" name="Text Box 89">
          <a:extLst>
            <a:ext uri="{FF2B5EF4-FFF2-40B4-BE49-F238E27FC236}">
              <a16:creationId xmlns:a16="http://schemas.microsoft.com/office/drawing/2014/main" id="{4387A739-B56E-4521-9892-61D5F3F1D678}"/>
            </a:ext>
          </a:extLst>
        </xdr:cNvPr>
        <xdr:cNvSpPr txBox="1">
          <a:spLocks noChangeArrowheads="1"/>
        </xdr:cNvSpPr>
      </xdr:nvSpPr>
      <xdr:spPr bwMode="auto">
        <a:xfrm>
          <a:off x="876300" y="6305550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4</xdr:col>
      <xdr:colOff>0</xdr:colOff>
      <xdr:row>15</xdr:row>
      <xdr:rowOff>247650</xdr:rowOff>
    </xdr:from>
    <xdr:to>
      <xdr:col>8</xdr:col>
      <xdr:colOff>295275</xdr:colOff>
      <xdr:row>15</xdr:row>
      <xdr:rowOff>438150</xdr:rowOff>
    </xdr:to>
    <xdr:sp macro="" textlink="">
      <xdr:nvSpPr>
        <xdr:cNvPr id="2138" name="Text Box 90">
          <a:extLst>
            <a:ext uri="{FF2B5EF4-FFF2-40B4-BE49-F238E27FC236}">
              <a16:creationId xmlns:a16="http://schemas.microsoft.com/office/drawing/2014/main" id="{FD8FCDF7-3523-45A8-9B1F-9FD40560BB5B}"/>
            </a:ext>
          </a:extLst>
        </xdr:cNvPr>
        <xdr:cNvSpPr txBox="1">
          <a:spLocks noChangeArrowheads="1"/>
        </xdr:cNvSpPr>
      </xdr:nvSpPr>
      <xdr:spPr bwMode="auto">
        <a:xfrm>
          <a:off x="876300" y="536257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6</xdr:col>
      <xdr:colOff>19050</xdr:colOff>
      <xdr:row>15</xdr:row>
      <xdr:rowOff>161925</xdr:rowOff>
    </xdr:from>
    <xdr:to>
      <xdr:col>7</xdr:col>
      <xdr:colOff>57150</xdr:colOff>
      <xdr:row>15</xdr:row>
      <xdr:rowOff>323850</xdr:rowOff>
    </xdr:to>
    <xdr:sp macro="" textlink="">
      <xdr:nvSpPr>
        <xdr:cNvPr id="2140" name="Text Box 92">
          <a:extLst>
            <a:ext uri="{FF2B5EF4-FFF2-40B4-BE49-F238E27FC236}">
              <a16:creationId xmlns:a16="http://schemas.microsoft.com/office/drawing/2014/main" id="{0E35CF42-252B-416A-A724-4161DC5FA191}"/>
            </a:ext>
          </a:extLst>
        </xdr:cNvPr>
        <xdr:cNvSpPr txBox="1">
          <a:spLocks noChangeArrowheads="1"/>
        </xdr:cNvSpPr>
      </xdr:nvSpPr>
      <xdr:spPr bwMode="auto">
        <a:xfrm>
          <a:off x="1524000" y="5276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11.1m</a:t>
          </a:r>
        </a:p>
      </xdr:txBody>
    </xdr:sp>
    <xdr:clientData/>
  </xdr:twoCellAnchor>
  <xdr:twoCellAnchor>
    <xdr:from>
      <xdr:col>12</xdr:col>
      <xdr:colOff>161925</xdr:colOff>
      <xdr:row>15</xdr:row>
      <xdr:rowOff>1181100</xdr:rowOff>
    </xdr:from>
    <xdr:to>
      <xdr:col>13</xdr:col>
      <xdr:colOff>200025</xdr:colOff>
      <xdr:row>15</xdr:row>
      <xdr:rowOff>1343025</xdr:rowOff>
    </xdr:to>
    <xdr:sp macro="" textlink="">
      <xdr:nvSpPr>
        <xdr:cNvPr id="2141" name="Text Box 93">
          <a:extLst>
            <a:ext uri="{FF2B5EF4-FFF2-40B4-BE49-F238E27FC236}">
              <a16:creationId xmlns:a16="http://schemas.microsoft.com/office/drawing/2014/main" id="{227C853C-7876-4BC8-8F8E-9B29EDAFBF72}"/>
            </a:ext>
          </a:extLst>
        </xdr:cNvPr>
        <xdr:cNvSpPr txBox="1">
          <a:spLocks noChangeArrowheads="1"/>
        </xdr:cNvSpPr>
      </xdr:nvSpPr>
      <xdr:spPr bwMode="auto">
        <a:xfrm>
          <a:off x="35528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11.6m</a:t>
          </a:r>
        </a:p>
      </xdr:txBody>
    </xdr:sp>
    <xdr:clientData/>
  </xdr:twoCellAnchor>
  <xdr:twoCellAnchor>
    <xdr:from>
      <xdr:col>6</xdr:col>
      <xdr:colOff>19050</xdr:colOff>
      <xdr:row>6</xdr:row>
      <xdr:rowOff>161925</xdr:rowOff>
    </xdr:from>
    <xdr:to>
      <xdr:col>6</xdr:col>
      <xdr:colOff>266700</xdr:colOff>
      <xdr:row>7</xdr:row>
      <xdr:rowOff>1524000</xdr:rowOff>
    </xdr:to>
    <xdr:sp macro="" textlink="">
      <xdr:nvSpPr>
        <xdr:cNvPr id="2142" name="Text Box 94">
          <a:extLst>
            <a:ext uri="{FF2B5EF4-FFF2-40B4-BE49-F238E27FC236}">
              <a16:creationId xmlns:a16="http://schemas.microsoft.com/office/drawing/2014/main" id="{5A5E7138-161B-40DF-B557-40DD953E08D2}"/>
            </a:ext>
          </a:extLst>
        </xdr:cNvPr>
        <xdr:cNvSpPr txBox="1">
          <a:spLocks noChangeArrowheads="1"/>
        </xdr:cNvSpPr>
      </xdr:nvSpPr>
      <xdr:spPr bwMode="auto">
        <a:xfrm>
          <a:off x="1524000" y="15716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海岸１丁目</a:t>
          </a:r>
        </a:p>
      </xdr:txBody>
    </xdr:sp>
    <xdr:clientData/>
  </xdr:twoCellAnchor>
  <xdr:twoCellAnchor>
    <xdr:from>
      <xdr:col>20</xdr:col>
      <xdr:colOff>38100</xdr:colOff>
      <xdr:row>6</xdr:row>
      <xdr:rowOff>85725</xdr:rowOff>
    </xdr:from>
    <xdr:to>
      <xdr:col>20</xdr:col>
      <xdr:colOff>285750</xdr:colOff>
      <xdr:row>7</xdr:row>
      <xdr:rowOff>1447800</xdr:rowOff>
    </xdr:to>
    <xdr:sp macro="" textlink="">
      <xdr:nvSpPr>
        <xdr:cNvPr id="2143" name="Text Box 95">
          <a:extLst>
            <a:ext uri="{FF2B5EF4-FFF2-40B4-BE49-F238E27FC236}">
              <a16:creationId xmlns:a16="http://schemas.microsoft.com/office/drawing/2014/main" id="{32E8CA60-C703-4497-86D4-485F0240EF50}"/>
            </a:ext>
          </a:extLst>
        </xdr:cNvPr>
        <xdr:cNvSpPr txBox="1">
          <a:spLocks noChangeArrowheads="1"/>
        </xdr:cNvSpPr>
      </xdr:nvSpPr>
      <xdr:spPr bwMode="auto">
        <a:xfrm>
          <a:off x="5943600" y="14954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マリンビル前</a:t>
          </a:r>
        </a:p>
      </xdr:txBody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209550</xdr:colOff>
      <xdr:row>6</xdr:row>
      <xdr:rowOff>9525</xdr:rowOff>
    </xdr:to>
    <xdr:pic>
      <xdr:nvPicPr>
        <xdr:cNvPr id="2144" name="Picture 96">
          <a:extLst>
            <a:ext uri="{FF2B5EF4-FFF2-40B4-BE49-F238E27FC236}">
              <a16:creationId xmlns:a16="http://schemas.microsoft.com/office/drawing/2014/main" id="{3968B5C4-9E43-4443-B3DB-35154924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238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9525</xdr:colOff>
      <xdr:row>7</xdr:row>
      <xdr:rowOff>666750</xdr:rowOff>
    </xdr:from>
    <xdr:to>
      <xdr:col>21</xdr:col>
      <xdr:colOff>228600</xdr:colOff>
      <xdr:row>7</xdr:row>
      <xdr:rowOff>885825</xdr:rowOff>
    </xdr:to>
    <xdr:sp macro="" textlink="">
      <xdr:nvSpPr>
        <xdr:cNvPr id="2148" name="Oval 100">
          <a:extLst>
            <a:ext uri="{FF2B5EF4-FFF2-40B4-BE49-F238E27FC236}">
              <a16:creationId xmlns:a16="http://schemas.microsoft.com/office/drawing/2014/main" id="{33A98D59-E533-4048-9B64-5562D43A4FAC}"/>
            </a:ext>
          </a:extLst>
        </xdr:cNvPr>
        <xdr:cNvSpPr>
          <a:spLocks noChangeArrowheads="1"/>
        </xdr:cNvSpPr>
      </xdr:nvSpPr>
      <xdr:spPr bwMode="auto">
        <a:xfrm>
          <a:off x="6229350" y="2305050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</a:t>
          </a:r>
        </a:p>
      </xdr:txBody>
    </xdr:sp>
    <xdr:clientData/>
  </xdr:twoCellAnchor>
  <xdr:twoCellAnchor>
    <xdr:from>
      <xdr:col>11</xdr:col>
      <xdr:colOff>209550</xdr:colOff>
      <xdr:row>10</xdr:row>
      <xdr:rowOff>219075</xdr:rowOff>
    </xdr:from>
    <xdr:to>
      <xdr:col>12</xdr:col>
      <xdr:colOff>247650</xdr:colOff>
      <xdr:row>12</xdr:row>
      <xdr:rowOff>85725</xdr:rowOff>
    </xdr:to>
    <xdr:grpSp>
      <xdr:nvGrpSpPr>
        <xdr:cNvPr id="2149" name="Group 101">
          <a:extLst>
            <a:ext uri="{FF2B5EF4-FFF2-40B4-BE49-F238E27FC236}">
              <a16:creationId xmlns:a16="http://schemas.microsoft.com/office/drawing/2014/main" id="{8245115B-6412-47EE-BB2D-AE84D19DEDF7}"/>
            </a:ext>
          </a:extLst>
        </xdr:cNvPr>
        <xdr:cNvGrpSpPr>
          <a:grpSpLocks/>
        </xdr:cNvGrpSpPr>
      </xdr:nvGrpSpPr>
      <xdr:grpSpPr bwMode="auto">
        <a:xfrm>
          <a:off x="3286125" y="4191000"/>
          <a:ext cx="352425" cy="323850"/>
          <a:chOff x="94" y="232"/>
          <a:chExt cx="37" cy="34"/>
        </a:xfrm>
      </xdr:grpSpPr>
      <xdr:sp macro="" textlink="">
        <xdr:nvSpPr>
          <xdr:cNvPr id="2150" name="Oval 102">
            <a:extLst>
              <a:ext uri="{FF2B5EF4-FFF2-40B4-BE49-F238E27FC236}">
                <a16:creationId xmlns:a16="http://schemas.microsoft.com/office/drawing/2014/main" id="{B592CD55-7F7F-4916-B3E5-641F1651FDE6}"/>
              </a:ext>
            </a:extLst>
          </xdr:cNvPr>
          <xdr:cNvSpPr>
            <a:spLocks noChangeArrowheads="1"/>
          </xdr:cNvSpPr>
        </xdr:nvSpPr>
        <xdr:spPr bwMode="auto">
          <a:xfrm>
            <a:off x="103" y="247"/>
            <a:ext cx="19" cy="19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30</a:t>
            </a:r>
          </a:p>
        </xdr:txBody>
      </xdr:sp>
      <xdr:sp macro="" textlink="">
        <xdr:nvSpPr>
          <xdr:cNvPr id="2151" name="Text Box 103">
            <a:extLst>
              <a:ext uri="{FF2B5EF4-FFF2-40B4-BE49-F238E27FC236}">
                <a16:creationId xmlns:a16="http://schemas.microsoft.com/office/drawing/2014/main" id="{B43EC00A-1A9B-4F74-82E2-44C2F6C4E5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" y="232"/>
            <a:ext cx="37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</xdr:grpSp>
    <xdr:clientData/>
  </xdr:twoCellAnchor>
  <xdr:twoCellAnchor>
    <xdr:from>
      <xdr:col>5</xdr:col>
      <xdr:colOff>95250</xdr:colOff>
      <xdr:row>7</xdr:row>
      <xdr:rowOff>476250</xdr:rowOff>
    </xdr:from>
    <xdr:to>
      <xdr:col>6</xdr:col>
      <xdr:colOff>0</xdr:colOff>
      <xdr:row>7</xdr:row>
      <xdr:rowOff>695325</xdr:rowOff>
    </xdr:to>
    <xdr:sp macro="" textlink="">
      <xdr:nvSpPr>
        <xdr:cNvPr id="2152" name="Oval 104">
          <a:extLst>
            <a:ext uri="{FF2B5EF4-FFF2-40B4-BE49-F238E27FC236}">
              <a16:creationId xmlns:a16="http://schemas.microsoft.com/office/drawing/2014/main" id="{96EBE33A-A223-4690-8777-FE94128172F3}"/>
            </a:ext>
          </a:extLst>
        </xdr:cNvPr>
        <xdr:cNvSpPr>
          <a:spLocks noChangeArrowheads="1"/>
        </xdr:cNvSpPr>
      </xdr:nvSpPr>
      <xdr:spPr bwMode="auto">
        <a:xfrm>
          <a:off x="1285875" y="2114550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</a:t>
          </a:r>
        </a:p>
      </xdr:txBody>
    </xdr:sp>
    <xdr:clientData/>
  </xdr:twoCellAnchor>
  <xdr:twoCellAnchor>
    <xdr:from>
      <xdr:col>16</xdr:col>
      <xdr:colOff>95250</xdr:colOff>
      <xdr:row>7</xdr:row>
      <xdr:rowOff>1152525</xdr:rowOff>
    </xdr:from>
    <xdr:to>
      <xdr:col>17</xdr:col>
      <xdr:colOff>0</xdr:colOff>
      <xdr:row>7</xdr:row>
      <xdr:rowOff>1295400</xdr:rowOff>
    </xdr:to>
    <xdr:sp macro="" textlink="">
      <xdr:nvSpPr>
        <xdr:cNvPr id="2153" name="Text Box 105">
          <a:extLst>
            <a:ext uri="{FF2B5EF4-FFF2-40B4-BE49-F238E27FC236}">
              <a16:creationId xmlns:a16="http://schemas.microsoft.com/office/drawing/2014/main" id="{A46E5D72-B5EC-46AD-8832-2E56E1FD0300}"/>
            </a:ext>
          </a:extLst>
        </xdr:cNvPr>
        <xdr:cNvSpPr txBox="1">
          <a:spLocks noChangeArrowheads="1"/>
        </xdr:cNvSpPr>
      </xdr:nvSpPr>
      <xdr:spPr bwMode="auto">
        <a:xfrm>
          <a:off x="4743450" y="279082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11</xdr:col>
      <xdr:colOff>57150</xdr:colOff>
      <xdr:row>7</xdr:row>
      <xdr:rowOff>866775</xdr:rowOff>
    </xdr:from>
    <xdr:to>
      <xdr:col>11</xdr:col>
      <xdr:colOff>276225</xdr:colOff>
      <xdr:row>7</xdr:row>
      <xdr:rowOff>1009650</xdr:rowOff>
    </xdr:to>
    <xdr:sp macro="" textlink="">
      <xdr:nvSpPr>
        <xdr:cNvPr id="2154" name="Text Box 106">
          <a:extLst>
            <a:ext uri="{FF2B5EF4-FFF2-40B4-BE49-F238E27FC236}">
              <a16:creationId xmlns:a16="http://schemas.microsoft.com/office/drawing/2014/main" id="{A6A9D040-3AED-46E2-9596-81A705D281EC}"/>
            </a:ext>
          </a:extLst>
        </xdr:cNvPr>
        <xdr:cNvSpPr txBox="1">
          <a:spLocks noChangeArrowheads="1"/>
        </xdr:cNvSpPr>
      </xdr:nvSpPr>
      <xdr:spPr bwMode="auto">
        <a:xfrm>
          <a:off x="3133725" y="250507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10</xdr:col>
      <xdr:colOff>114300</xdr:colOff>
      <xdr:row>7</xdr:row>
      <xdr:rowOff>866775</xdr:rowOff>
    </xdr:from>
    <xdr:to>
      <xdr:col>11</xdr:col>
      <xdr:colOff>19050</xdr:colOff>
      <xdr:row>7</xdr:row>
      <xdr:rowOff>1009650</xdr:rowOff>
    </xdr:to>
    <xdr:sp macro="" textlink="">
      <xdr:nvSpPr>
        <xdr:cNvPr id="2155" name="Text Box 107">
          <a:extLst>
            <a:ext uri="{FF2B5EF4-FFF2-40B4-BE49-F238E27FC236}">
              <a16:creationId xmlns:a16="http://schemas.microsoft.com/office/drawing/2014/main" id="{0B8FDC9B-AE82-4C05-820B-797EC1E95D0B}"/>
            </a:ext>
          </a:extLst>
        </xdr:cNvPr>
        <xdr:cNvSpPr txBox="1">
          <a:spLocks noChangeArrowheads="1"/>
        </xdr:cNvSpPr>
      </xdr:nvSpPr>
      <xdr:spPr bwMode="auto">
        <a:xfrm>
          <a:off x="2876550" y="250507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13</xdr:col>
      <xdr:colOff>76200</xdr:colOff>
      <xdr:row>7</xdr:row>
      <xdr:rowOff>1685925</xdr:rowOff>
    </xdr:from>
    <xdr:to>
      <xdr:col>13</xdr:col>
      <xdr:colOff>295275</xdr:colOff>
      <xdr:row>7</xdr:row>
      <xdr:rowOff>1828800</xdr:rowOff>
    </xdr:to>
    <xdr:sp macro="" textlink="">
      <xdr:nvSpPr>
        <xdr:cNvPr id="2156" name="Text Box 108">
          <a:extLst>
            <a:ext uri="{FF2B5EF4-FFF2-40B4-BE49-F238E27FC236}">
              <a16:creationId xmlns:a16="http://schemas.microsoft.com/office/drawing/2014/main" id="{FEB2CF36-9DF2-4521-B150-AFEC2B510DE0}"/>
            </a:ext>
          </a:extLst>
        </xdr:cNvPr>
        <xdr:cNvSpPr txBox="1">
          <a:spLocks noChangeArrowheads="1"/>
        </xdr:cNvSpPr>
      </xdr:nvSpPr>
      <xdr:spPr bwMode="auto">
        <a:xfrm>
          <a:off x="3781425" y="332422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9</xdr:col>
      <xdr:colOff>295275</xdr:colOff>
      <xdr:row>7</xdr:row>
      <xdr:rowOff>800100</xdr:rowOff>
    </xdr:from>
    <xdr:to>
      <xdr:col>16</xdr:col>
      <xdr:colOff>295275</xdr:colOff>
      <xdr:row>7</xdr:row>
      <xdr:rowOff>800100</xdr:rowOff>
    </xdr:to>
    <xdr:sp macro="" textlink="">
      <xdr:nvSpPr>
        <xdr:cNvPr id="2157" name="Line 109">
          <a:extLst>
            <a:ext uri="{FF2B5EF4-FFF2-40B4-BE49-F238E27FC236}">
              <a16:creationId xmlns:a16="http://schemas.microsoft.com/office/drawing/2014/main" id="{85D9BE3E-401C-46DC-A3C1-7489840866C0}"/>
            </a:ext>
          </a:extLst>
        </xdr:cNvPr>
        <xdr:cNvSpPr>
          <a:spLocks noChangeShapeType="1"/>
        </xdr:cNvSpPr>
      </xdr:nvSpPr>
      <xdr:spPr bwMode="auto">
        <a:xfrm>
          <a:off x="2743200" y="2438400"/>
          <a:ext cx="220027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47625</xdr:colOff>
      <xdr:row>7</xdr:row>
      <xdr:rowOff>819150</xdr:rowOff>
    </xdr:from>
    <xdr:to>
      <xdr:col>15</xdr:col>
      <xdr:colOff>57150</xdr:colOff>
      <xdr:row>7</xdr:row>
      <xdr:rowOff>962025</xdr:rowOff>
    </xdr:to>
    <xdr:sp macro="" textlink="">
      <xdr:nvSpPr>
        <xdr:cNvPr id="2158" name="Text Box 110">
          <a:extLst>
            <a:ext uri="{FF2B5EF4-FFF2-40B4-BE49-F238E27FC236}">
              <a16:creationId xmlns:a16="http://schemas.microsoft.com/office/drawing/2014/main" id="{46961CC5-5F4D-46AB-8298-D57B7CCFB703}"/>
            </a:ext>
          </a:extLst>
        </xdr:cNvPr>
        <xdr:cNvSpPr txBox="1">
          <a:spLocks noChangeArrowheads="1"/>
        </xdr:cNvSpPr>
      </xdr:nvSpPr>
      <xdr:spPr bwMode="auto">
        <a:xfrm>
          <a:off x="4067175" y="2457450"/>
          <a:ext cx="3238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35.9m</a:t>
          </a:r>
        </a:p>
      </xdr:txBody>
    </xdr:sp>
    <xdr:clientData/>
  </xdr:twoCellAnchor>
  <xdr:twoCellAnchor>
    <xdr:from>
      <xdr:col>12</xdr:col>
      <xdr:colOff>200025</xdr:colOff>
      <xdr:row>6</xdr:row>
      <xdr:rowOff>38100</xdr:rowOff>
    </xdr:from>
    <xdr:to>
      <xdr:col>13</xdr:col>
      <xdr:colOff>47625</xdr:colOff>
      <xdr:row>7</xdr:row>
      <xdr:rowOff>1733550</xdr:rowOff>
    </xdr:to>
    <xdr:sp macro="" textlink="">
      <xdr:nvSpPr>
        <xdr:cNvPr id="2159" name="Line 111">
          <a:extLst>
            <a:ext uri="{FF2B5EF4-FFF2-40B4-BE49-F238E27FC236}">
              <a16:creationId xmlns:a16="http://schemas.microsoft.com/office/drawing/2014/main" id="{0538DB54-0B2A-495C-8A27-5E51DAE92229}"/>
            </a:ext>
          </a:extLst>
        </xdr:cNvPr>
        <xdr:cNvSpPr>
          <a:spLocks noChangeShapeType="1"/>
        </xdr:cNvSpPr>
      </xdr:nvSpPr>
      <xdr:spPr bwMode="auto">
        <a:xfrm rot="-5400000">
          <a:off x="2709863" y="2328862"/>
          <a:ext cx="1924050" cy="16192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28575</xdr:colOff>
      <xdr:row>7</xdr:row>
      <xdr:rowOff>323850</xdr:rowOff>
    </xdr:from>
    <xdr:to>
      <xdr:col>14</xdr:col>
      <xdr:colOff>38100</xdr:colOff>
      <xdr:row>7</xdr:row>
      <xdr:rowOff>466725</xdr:rowOff>
    </xdr:to>
    <xdr:sp macro="" textlink="">
      <xdr:nvSpPr>
        <xdr:cNvPr id="2160" name="Text Box 112">
          <a:extLst>
            <a:ext uri="{FF2B5EF4-FFF2-40B4-BE49-F238E27FC236}">
              <a16:creationId xmlns:a16="http://schemas.microsoft.com/office/drawing/2014/main" id="{E6E595D9-13CC-43DF-8111-D2FDDAE0294B}"/>
            </a:ext>
          </a:extLst>
        </xdr:cNvPr>
        <xdr:cNvSpPr txBox="1">
          <a:spLocks noChangeArrowheads="1"/>
        </xdr:cNvSpPr>
      </xdr:nvSpPr>
      <xdr:spPr bwMode="auto">
        <a:xfrm>
          <a:off x="3733800" y="1962150"/>
          <a:ext cx="3238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30.4m</a:t>
          </a:r>
        </a:p>
      </xdr:txBody>
    </xdr:sp>
    <xdr:clientData/>
  </xdr:twoCellAnchor>
  <xdr:twoCellAnchor>
    <xdr:from>
      <xdr:col>13</xdr:col>
      <xdr:colOff>304800</xdr:colOff>
      <xdr:row>2</xdr:row>
      <xdr:rowOff>28575</xdr:rowOff>
    </xdr:from>
    <xdr:to>
      <xdr:col>14</xdr:col>
      <xdr:colOff>209550</xdr:colOff>
      <xdr:row>3</xdr:row>
      <xdr:rowOff>19050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4E5913FD-17EC-42FD-8D7B-FF93FA228C64}"/>
            </a:ext>
          </a:extLst>
        </xdr:cNvPr>
        <xdr:cNvSpPr>
          <a:spLocks noChangeArrowheads="1"/>
        </xdr:cNvSpPr>
      </xdr:nvSpPr>
      <xdr:spPr bwMode="auto">
        <a:xfrm>
          <a:off x="4010025" y="523875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</a:t>
          </a:r>
        </a:p>
      </xdr:txBody>
    </xdr:sp>
    <xdr:clientData/>
  </xdr:twoCellAnchor>
  <xdr:twoCellAnchor>
    <xdr:from>
      <xdr:col>15</xdr:col>
      <xdr:colOff>171450</xdr:colOff>
      <xdr:row>7</xdr:row>
      <xdr:rowOff>371475</xdr:rowOff>
    </xdr:from>
    <xdr:to>
      <xdr:col>16</xdr:col>
      <xdr:colOff>76200</xdr:colOff>
      <xdr:row>7</xdr:row>
      <xdr:rowOff>514350</xdr:rowOff>
    </xdr:to>
    <xdr:sp macro="" textlink="">
      <xdr:nvSpPr>
        <xdr:cNvPr id="2163" name="Text Box 115">
          <a:extLst>
            <a:ext uri="{FF2B5EF4-FFF2-40B4-BE49-F238E27FC236}">
              <a16:creationId xmlns:a16="http://schemas.microsoft.com/office/drawing/2014/main" id="{C60AD224-563A-4C7A-8809-B0E3B493CD46}"/>
            </a:ext>
          </a:extLst>
        </xdr:cNvPr>
        <xdr:cNvSpPr txBox="1">
          <a:spLocks noChangeArrowheads="1"/>
        </xdr:cNvSpPr>
      </xdr:nvSpPr>
      <xdr:spPr bwMode="auto">
        <a:xfrm>
          <a:off x="4505325" y="200977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13</xdr:col>
      <xdr:colOff>85725</xdr:colOff>
      <xdr:row>7</xdr:row>
      <xdr:rowOff>1495425</xdr:rowOff>
    </xdr:from>
    <xdr:to>
      <xdr:col>13</xdr:col>
      <xdr:colOff>304800</xdr:colOff>
      <xdr:row>7</xdr:row>
      <xdr:rowOff>1638300</xdr:rowOff>
    </xdr:to>
    <xdr:sp macro="" textlink="">
      <xdr:nvSpPr>
        <xdr:cNvPr id="2164" name="Text Box 116">
          <a:extLst>
            <a:ext uri="{FF2B5EF4-FFF2-40B4-BE49-F238E27FC236}">
              <a16:creationId xmlns:a16="http://schemas.microsoft.com/office/drawing/2014/main" id="{D8A79F30-1B5B-4B82-9ABF-F2F7913CEBA2}"/>
            </a:ext>
          </a:extLst>
        </xdr:cNvPr>
        <xdr:cNvSpPr txBox="1">
          <a:spLocks noChangeArrowheads="1"/>
        </xdr:cNvSpPr>
      </xdr:nvSpPr>
      <xdr:spPr bwMode="auto">
        <a:xfrm>
          <a:off x="3790950" y="313372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11</xdr:col>
      <xdr:colOff>257175</xdr:colOff>
      <xdr:row>7</xdr:row>
      <xdr:rowOff>323850</xdr:rowOff>
    </xdr:from>
    <xdr:to>
      <xdr:col>12</xdr:col>
      <xdr:colOff>161925</xdr:colOff>
      <xdr:row>7</xdr:row>
      <xdr:rowOff>466725</xdr:rowOff>
    </xdr:to>
    <xdr:sp macro="" textlink="">
      <xdr:nvSpPr>
        <xdr:cNvPr id="2165" name="Text Box 117">
          <a:extLst>
            <a:ext uri="{FF2B5EF4-FFF2-40B4-BE49-F238E27FC236}">
              <a16:creationId xmlns:a16="http://schemas.microsoft.com/office/drawing/2014/main" id="{5CC54E56-254E-42E6-BB0D-713C26FEE3EE}"/>
            </a:ext>
          </a:extLst>
        </xdr:cNvPr>
        <xdr:cNvSpPr txBox="1">
          <a:spLocks noChangeArrowheads="1"/>
        </xdr:cNvSpPr>
      </xdr:nvSpPr>
      <xdr:spPr bwMode="auto">
        <a:xfrm>
          <a:off x="3333750" y="1962150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11</xdr:col>
      <xdr:colOff>266700</xdr:colOff>
      <xdr:row>7</xdr:row>
      <xdr:rowOff>133350</xdr:rowOff>
    </xdr:from>
    <xdr:to>
      <xdr:col>12</xdr:col>
      <xdr:colOff>171450</xdr:colOff>
      <xdr:row>7</xdr:row>
      <xdr:rowOff>276225</xdr:rowOff>
    </xdr:to>
    <xdr:sp macro="" textlink="">
      <xdr:nvSpPr>
        <xdr:cNvPr id="2166" name="Text Box 118">
          <a:extLst>
            <a:ext uri="{FF2B5EF4-FFF2-40B4-BE49-F238E27FC236}">
              <a16:creationId xmlns:a16="http://schemas.microsoft.com/office/drawing/2014/main" id="{D8FF0AFE-5098-4690-81EC-61A52F2FE8F8}"/>
            </a:ext>
          </a:extLst>
        </xdr:cNvPr>
        <xdr:cNvSpPr txBox="1">
          <a:spLocks noChangeArrowheads="1"/>
        </xdr:cNvSpPr>
      </xdr:nvSpPr>
      <xdr:spPr bwMode="auto">
        <a:xfrm>
          <a:off x="3343275" y="1771650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15</xdr:col>
      <xdr:colOff>295275</xdr:colOff>
      <xdr:row>7</xdr:row>
      <xdr:rowOff>66675</xdr:rowOff>
    </xdr:from>
    <xdr:to>
      <xdr:col>16</xdr:col>
      <xdr:colOff>200025</xdr:colOff>
      <xdr:row>7</xdr:row>
      <xdr:rowOff>209550</xdr:rowOff>
    </xdr:to>
    <xdr:sp macro="" textlink="">
      <xdr:nvSpPr>
        <xdr:cNvPr id="2167" name="Text Box 119">
          <a:extLst>
            <a:ext uri="{FF2B5EF4-FFF2-40B4-BE49-F238E27FC236}">
              <a16:creationId xmlns:a16="http://schemas.microsoft.com/office/drawing/2014/main" id="{59DC8314-1998-41D8-88AD-26EE1DAC9CE3}"/>
            </a:ext>
          </a:extLst>
        </xdr:cNvPr>
        <xdr:cNvSpPr txBox="1">
          <a:spLocks noChangeArrowheads="1"/>
        </xdr:cNvSpPr>
      </xdr:nvSpPr>
      <xdr:spPr bwMode="auto">
        <a:xfrm>
          <a:off x="4629150" y="170497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10</xdr:col>
      <xdr:colOff>161925</xdr:colOff>
      <xdr:row>7</xdr:row>
      <xdr:rowOff>1133475</xdr:rowOff>
    </xdr:from>
    <xdr:to>
      <xdr:col>11</xdr:col>
      <xdr:colOff>66675</xdr:colOff>
      <xdr:row>7</xdr:row>
      <xdr:rowOff>1276350</xdr:rowOff>
    </xdr:to>
    <xdr:sp macro="" textlink="">
      <xdr:nvSpPr>
        <xdr:cNvPr id="2168" name="Text Box 120">
          <a:extLst>
            <a:ext uri="{FF2B5EF4-FFF2-40B4-BE49-F238E27FC236}">
              <a16:creationId xmlns:a16="http://schemas.microsoft.com/office/drawing/2014/main" id="{4E8146EF-A842-44F7-B5BF-5C616BC3E88D}"/>
            </a:ext>
          </a:extLst>
        </xdr:cNvPr>
        <xdr:cNvSpPr txBox="1">
          <a:spLocks noChangeArrowheads="1"/>
        </xdr:cNvSpPr>
      </xdr:nvSpPr>
      <xdr:spPr bwMode="auto">
        <a:xfrm>
          <a:off x="2924175" y="2771775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10</xdr:col>
      <xdr:colOff>295275</xdr:colOff>
      <xdr:row>7</xdr:row>
      <xdr:rowOff>152400</xdr:rowOff>
    </xdr:from>
    <xdr:to>
      <xdr:col>11</xdr:col>
      <xdr:colOff>200025</xdr:colOff>
      <xdr:row>7</xdr:row>
      <xdr:rowOff>295275</xdr:rowOff>
    </xdr:to>
    <xdr:sp macro="" textlink="">
      <xdr:nvSpPr>
        <xdr:cNvPr id="2169" name="Text Box 121">
          <a:extLst>
            <a:ext uri="{FF2B5EF4-FFF2-40B4-BE49-F238E27FC236}">
              <a16:creationId xmlns:a16="http://schemas.microsoft.com/office/drawing/2014/main" id="{0B2FFDB4-B85B-4503-9E6C-653A0654A8D2}"/>
            </a:ext>
          </a:extLst>
        </xdr:cNvPr>
        <xdr:cNvSpPr txBox="1">
          <a:spLocks noChangeArrowheads="1"/>
        </xdr:cNvSpPr>
      </xdr:nvSpPr>
      <xdr:spPr bwMode="auto">
        <a:xfrm>
          <a:off x="3057525" y="1790700"/>
          <a:ext cx="219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9</xdr:col>
      <xdr:colOff>219075</xdr:colOff>
      <xdr:row>15</xdr:row>
      <xdr:rowOff>1181100</xdr:rowOff>
    </xdr:from>
    <xdr:to>
      <xdr:col>10</xdr:col>
      <xdr:colOff>257175</xdr:colOff>
      <xdr:row>15</xdr:row>
      <xdr:rowOff>1343025</xdr:rowOff>
    </xdr:to>
    <xdr:sp macro="" textlink="">
      <xdr:nvSpPr>
        <xdr:cNvPr id="2170" name="Text Box 122">
          <a:extLst>
            <a:ext uri="{FF2B5EF4-FFF2-40B4-BE49-F238E27FC236}">
              <a16:creationId xmlns:a16="http://schemas.microsoft.com/office/drawing/2014/main" id="{4D47B539-1718-4470-9E85-AEA95F0ED690}"/>
            </a:ext>
          </a:extLst>
        </xdr:cNvPr>
        <xdr:cNvSpPr txBox="1">
          <a:spLocks noChangeArrowheads="1"/>
        </xdr:cNvSpPr>
      </xdr:nvSpPr>
      <xdr:spPr bwMode="auto">
        <a:xfrm>
          <a:off x="2667000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9.1m</a:t>
          </a:r>
        </a:p>
      </xdr:txBody>
    </xdr:sp>
    <xdr:clientData/>
  </xdr:twoCellAnchor>
  <xdr:twoCellAnchor>
    <xdr:from>
      <xdr:col>6</xdr:col>
      <xdr:colOff>19050</xdr:colOff>
      <xdr:row>15</xdr:row>
      <xdr:rowOff>1304925</xdr:rowOff>
    </xdr:from>
    <xdr:to>
      <xdr:col>7</xdr:col>
      <xdr:colOff>57150</xdr:colOff>
      <xdr:row>15</xdr:row>
      <xdr:rowOff>1466850</xdr:rowOff>
    </xdr:to>
    <xdr:sp macro="" textlink="">
      <xdr:nvSpPr>
        <xdr:cNvPr id="2171" name="Text Box 123">
          <a:extLst>
            <a:ext uri="{FF2B5EF4-FFF2-40B4-BE49-F238E27FC236}">
              <a16:creationId xmlns:a16="http://schemas.microsoft.com/office/drawing/2014/main" id="{A606A5BE-F535-4B32-AABB-AD328DCAB79C}"/>
            </a:ext>
          </a:extLst>
        </xdr:cNvPr>
        <xdr:cNvSpPr txBox="1">
          <a:spLocks noChangeArrowheads="1"/>
        </xdr:cNvSpPr>
      </xdr:nvSpPr>
      <xdr:spPr bwMode="auto">
        <a:xfrm>
          <a:off x="1524000" y="6419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9.5m</a:t>
          </a:r>
        </a:p>
      </xdr:txBody>
    </xdr:sp>
    <xdr:clientData/>
  </xdr:twoCellAnchor>
  <xdr:twoCellAnchor>
    <xdr:from>
      <xdr:col>7</xdr:col>
      <xdr:colOff>304800</xdr:colOff>
      <xdr:row>15</xdr:row>
      <xdr:rowOff>1209675</xdr:rowOff>
    </xdr:from>
    <xdr:to>
      <xdr:col>9</xdr:col>
      <xdr:colOff>95250</xdr:colOff>
      <xdr:row>15</xdr:row>
      <xdr:rowOff>1362075</xdr:rowOff>
    </xdr:to>
    <xdr:sp macro="" textlink="">
      <xdr:nvSpPr>
        <xdr:cNvPr id="2172" name="Text Box 124">
          <a:extLst>
            <a:ext uri="{FF2B5EF4-FFF2-40B4-BE49-F238E27FC236}">
              <a16:creationId xmlns:a16="http://schemas.microsoft.com/office/drawing/2014/main" id="{33FBD938-60A8-41A2-A826-11505552171F}"/>
            </a:ext>
          </a:extLst>
        </xdr:cNvPr>
        <xdr:cNvSpPr txBox="1">
          <a:spLocks noChangeArrowheads="1"/>
        </xdr:cNvSpPr>
      </xdr:nvSpPr>
      <xdr:spPr bwMode="auto">
        <a:xfrm>
          <a:off x="2124075" y="6324600"/>
          <a:ext cx="4191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7</xdr:col>
      <xdr:colOff>304800</xdr:colOff>
      <xdr:row>15</xdr:row>
      <xdr:rowOff>285750</xdr:rowOff>
    </xdr:from>
    <xdr:to>
      <xdr:col>9</xdr:col>
      <xdr:colOff>95250</xdr:colOff>
      <xdr:row>15</xdr:row>
      <xdr:rowOff>438150</xdr:rowOff>
    </xdr:to>
    <xdr:sp macro="" textlink="">
      <xdr:nvSpPr>
        <xdr:cNvPr id="2173" name="Text Box 125">
          <a:extLst>
            <a:ext uri="{FF2B5EF4-FFF2-40B4-BE49-F238E27FC236}">
              <a16:creationId xmlns:a16="http://schemas.microsoft.com/office/drawing/2014/main" id="{869436C9-7276-4E45-A897-1D6F6A401BD1}"/>
            </a:ext>
          </a:extLst>
        </xdr:cNvPr>
        <xdr:cNvSpPr txBox="1">
          <a:spLocks noChangeArrowheads="1"/>
        </xdr:cNvSpPr>
      </xdr:nvSpPr>
      <xdr:spPr bwMode="auto">
        <a:xfrm>
          <a:off x="2124075" y="5400675"/>
          <a:ext cx="4191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12</xdr:col>
      <xdr:colOff>190500</xdr:colOff>
      <xdr:row>15</xdr:row>
      <xdr:rowOff>257175</xdr:rowOff>
    </xdr:from>
    <xdr:to>
      <xdr:col>13</xdr:col>
      <xdr:colOff>228600</xdr:colOff>
      <xdr:row>15</xdr:row>
      <xdr:rowOff>419100</xdr:rowOff>
    </xdr:to>
    <xdr:sp macro="" textlink="">
      <xdr:nvSpPr>
        <xdr:cNvPr id="2174" name="Text Box 126">
          <a:extLst>
            <a:ext uri="{FF2B5EF4-FFF2-40B4-BE49-F238E27FC236}">
              <a16:creationId xmlns:a16="http://schemas.microsoft.com/office/drawing/2014/main" id="{913BB0FF-ACD5-44EA-9B7B-9330E1B7719B}"/>
            </a:ext>
          </a:extLst>
        </xdr:cNvPr>
        <xdr:cNvSpPr txBox="1">
          <a:spLocks noChangeArrowheads="1"/>
        </xdr:cNvSpPr>
      </xdr:nvSpPr>
      <xdr:spPr bwMode="auto">
        <a:xfrm>
          <a:off x="3581400" y="53721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15</xdr:row>
      <xdr:rowOff>257175</xdr:rowOff>
    </xdr:from>
    <xdr:to>
      <xdr:col>10</xdr:col>
      <xdr:colOff>228600</xdr:colOff>
      <xdr:row>15</xdr:row>
      <xdr:rowOff>419100</xdr:rowOff>
    </xdr:to>
    <xdr:sp macro="" textlink="">
      <xdr:nvSpPr>
        <xdr:cNvPr id="2175" name="Text Box 127">
          <a:extLst>
            <a:ext uri="{FF2B5EF4-FFF2-40B4-BE49-F238E27FC236}">
              <a16:creationId xmlns:a16="http://schemas.microsoft.com/office/drawing/2014/main" id="{8C678D86-4039-45A4-ABE4-AB89A6CC19DC}"/>
            </a:ext>
          </a:extLst>
        </xdr:cNvPr>
        <xdr:cNvSpPr txBox="1">
          <a:spLocks noChangeArrowheads="1"/>
        </xdr:cNvSpPr>
      </xdr:nvSpPr>
      <xdr:spPr bwMode="auto">
        <a:xfrm>
          <a:off x="2638425" y="53721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10</xdr:col>
      <xdr:colOff>257175</xdr:colOff>
      <xdr:row>7</xdr:row>
      <xdr:rowOff>66675</xdr:rowOff>
    </xdr:from>
    <xdr:to>
      <xdr:col>15</xdr:col>
      <xdr:colOff>257175</xdr:colOff>
      <xdr:row>7</xdr:row>
      <xdr:rowOff>1381125</xdr:rowOff>
    </xdr:to>
    <xdr:pic>
      <xdr:nvPicPr>
        <xdr:cNvPr id="2176" name="Picture 128">
          <a:extLst>
            <a:ext uri="{FF2B5EF4-FFF2-40B4-BE49-F238E27FC236}">
              <a16:creationId xmlns:a16="http://schemas.microsoft.com/office/drawing/2014/main" id="{CEB4BCA7-A29B-4B4C-A2AE-0B9ABE24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704975"/>
          <a:ext cx="157162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1ED8E00F-F0B3-4344-8B27-736E39BCE82E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14</xdr:col>
      <xdr:colOff>9525</xdr:colOff>
      <xdr:row>16</xdr:row>
      <xdr:rowOff>152400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52E0254C-CD8B-487A-B567-ED477276F7A5}"/>
            </a:ext>
          </a:extLst>
        </xdr:cNvPr>
        <xdr:cNvGrpSpPr>
          <a:grpSpLocks/>
        </xdr:cNvGrpSpPr>
      </xdr:nvGrpSpPr>
      <xdr:grpSpPr bwMode="auto">
        <a:xfrm>
          <a:off x="1514475" y="6800850"/>
          <a:ext cx="2514600" cy="47625"/>
          <a:chOff x="158" y="715"/>
          <a:chExt cx="33" cy="5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05C29591-ABF4-4774-8B65-C4752AC3FFC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8C78DB0E-8E3E-417D-8A59-F79E09A178A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29" name="Group 5">
          <a:extLst>
            <a:ext uri="{FF2B5EF4-FFF2-40B4-BE49-F238E27FC236}">
              <a16:creationId xmlns:a16="http://schemas.microsoft.com/office/drawing/2014/main" id="{0501E291-893B-402D-9AD3-4E675B5C8927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4C58E7F2-AD8E-4455-B935-EC1C0F7A307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E066B9DD-0B54-4CB2-89CD-E63E28FD306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32" name="Freeform 8">
          <a:extLst>
            <a:ext uri="{FF2B5EF4-FFF2-40B4-BE49-F238E27FC236}">
              <a16:creationId xmlns:a16="http://schemas.microsoft.com/office/drawing/2014/main" id="{912645CF-49E7-4B96-9561-EF16A6F19B76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38100</xdr:rowOff>
    </xdr:from>
    <xdr:to>
      <xdr:col>10</xdr:col>
      <xdr:colOff>266700</xdr:colOff>
      <xdr:row>18</xdr:row>
      <xdr:rowOff>190500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C4FD87DF-020C-4E9A-9812-ABB930C1FA65}"/>
            </a:ext>
          </a:extLst>
        </xdr:cNvPr>
        <xdr:cNvGrpSpPr>
          <a:grpSpLocks/>
        </xdr:cNvGrpSpPr>
      </xdr:nvGrpSpPr>
      <xdr:grpSpPr bwMode="auto">
        <a:xfrm>
          <a:off x="2809875" y="7191375"/>
          <a:ext cx="219075" cy="152400"/>
          <a:chOff x="132" y="708"/>
          <a:chExt cx="20" cy="14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76F7D2AF-298C-49BE-9AA1-F66D591102E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B163950D-7F96-4B59-80ED-A3C10383628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BE49E946-8464-49B0-B3E3-C4756B18E5B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192D0070-1D1A-4D9E-A2CA-D988852AC2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38" name="Group 14">
          <a:extLst>
            <a:ext uri="{FF2B5EF4-FFF2-40B4-BE49-F238E27FC236}">
              <a16:creationId xmlns:a16="http://schemas.microsoft.com/office/drawing/2014/main" id="{861F5109-5B8A-4732-BC19-6DDD747D4C79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306ABE69-F27F-4AC0-A907-255F521247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D6D5DCA1-F595-44D2-B32B-5B559E0A12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D63B8153-55C5-4183-9E9C-56807D57D242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7FFA7E5D-B131-4C04-AC74-5438C1F297F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F725443C-3F29-4F4D-8AB8-F3D7B620722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114300</xdr:rowOff>
    </xdr:from>
    <xdr:to>
      <xdr:col>10</xdr:col>
      <xdr:colOff>0</xdr:colOff>
      <xdr:row>18</xdr:row>
      <xdr:rowOff>114300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871FAB41-082F-44C4-B9BF-7A45E4CCCC5F}"/>
            </a:ext>
          </a:extLst>
        </xdr:cNvPr>
        <xdr:cNvSpPr>
          <a:spLocks noChangeShapeType="1"/>
        </xdr:cNvSpPr>
      </xdr:nvSpPr>
      <xdr:spPr bwMode="auto">
        <a:xfrm>
          <a:off x="244792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46BF9312-A5B0-435B-99DB-EF9A21239AE2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4952413B-E592-4629-B8A9-BCC38BCC775E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7D20FB85-615B-45D5-BBAD-676EB9508AD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E3780BFF-8912-4581-81C0-D0244B7F02C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AC987641-CA0B-4318-BC4F-3573B8126C77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6261FADF-AAE1-412C-B11E-901D6954A15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924C666A-8626-46A0-A8AC-1CFA99DC3D2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52" name="Group 28">
          <a:extLst>
            <a:ext uri="{FF2B5EF4-FFF2-40B4-BE49-F238E27FC236}">
              <a16:creationId xmlns:a16="http://schemas.microsoft.com/office/drawing/2014/main" id="{703A056F-AB74-4A4E-90E1-DEAE92719621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D02AFC60-FBB0-4326-9753-8FE6B12A45F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1883C106-2260-4E70-80F2-ADDDFA18A69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Line 31">
            <a:extLst>
              <a:ext uri="{FF2B5EF4-FFF2-40B4-BE49-F238E27FC236}">
                <a16:creationId xmlns:a16="http://schemas.microsoft.com/office/drawing/2014/main" id="{D4188786-9C39-4F9B-8EB7-EAF0B33DE4A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6" name="Line 32">
            <a:extLst>
              <a:ext uri="{FF2B5EF4-FFF2-40B4-BE49-F238E27FC236}">
                <a16:creationId xmlns:a16="http://schemas.microsoft.com/office/drawing/2014/main" id="{4549EB29-252F-476D-972D-7ACDCF0460E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2E958D69-B171-4D2E-AA99-1B59C0FDAA8D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58" name="Freeform 34">
          <a:extLst>
            <a:ext uri="{FF2B5EF4-FFF2-40B4-BE49-F238E27FC236}">
              <a16:creationId xmlns:a16="http://schemas.microsoft.com/office/drawing/2014/main" id="{4D2183F3-44EC-41E2-95C4-B59026F464D7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FE735467-098B-414F-BC91-912A796B4CCD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295275</xdr:colOff>
      <xdr:row>15</xdr:row>
      <xdr:rowOff>495300</xdr:rowOff>
    </xdr:from>
    <xdr:to>
      <xdr:col>8</xdr:col>
      <xdr:colOff>38100</xdr:colOff>
      <xdr:row>15</xdr:row>
      <xdr:rowOff>800100</xdr:rowOff>
    </xdr:to>
    <xdr:grpSp>
      <xdr:nvGrpSpPr>
        <xdr:cNvPr id="1060" name="Group 36">
          <a:extLst>
            <a:ext uri="{FF2B5EF4-FFF2-40B4-BE49-F238E27FC236}">
              <a16:creationId xmlns:a16="http://schemas.microsoft.com/office/drawing/2014/main" id="{3FC607CF-FAFB-4BE8-B523-053DFCB290B8}"/>
            </a:ext>
          </a:extLst>
        </xdr:cNvPr>
        <xdr:cNvGrpSpPr>
          <a:grpSpLocks/>
        </xdr:cNvGrpSpPr>
      </xdr:nvGrpSpPr>
      <xdr:grpSpPr bwMode="auto">
        <a:xfrm>
          <a:off x="1171575" y="5610225"/>
          <a:ext cx="1000125" cy="304800"/>
          <a:chOff x="110" y="567"/>
          <a:chExt cx="105" cy="32"/>
        </a:xfrm>
      </xdr:grpSpPr>
      <xdr:sp macro="" textlink="">
        <xdr:nvSpPr>
          <xdr:cNvPr id="1061" name="Line 37">
            <a:extLst>
              <a:ext uri="{FF2B5EF4-FFF2-40B4-BE49-F238E27FC236}">
                <a16:creationId xmlns:a16="http://schemas.microsoft.com/office/drawing/2014/main" id="{3075E597-61F7-48EA-B4A1-3E5C38721BDD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Freeform 38">
            <a:extLst>
              <a:ext uri="{FF2B5EF4-FFF2-40B4-BE49-F238E27FC236}">
                <a16:creationId xmlns:a16="http://schemas.microsoft.com/office/drawing/2014/main" id="{F92260ED-2101-4840-93EF-93EE5069E32B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3" name="Freeform 39">
            <a:extLst>
              <a:ext uri="{FF2B5EF4-FFF2-40B4-BE49-F238E27FC236}">
                <a16:creationId xmlns:a16="http://schemas.microsoft.com/office/drawing/2014/main" id="{C7E73ACF-BCDA-4CAE-9F8B-4EC59766E7A0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4" name="Line 40">
            <a:extLst>
              <a:ext uri="{FF2B5EF4-FFF2-40B4-BE49-F238E27FC236}">
                <a16:creationId xmlns:a16="http://schemas.microsoft.com/office/drawing/2014/main" id="{5FADE64F-131A-42A0-B70B-15968F405028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ED7A16CF-885B-4F1E-A9C6-09BFFA28E7A0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6" name="Freeform 42">
            <a:extLst>
              <a:ext uri="{FF2B5EF4-FFF2-40B4-BE49-F238E27FC236}">
                <a16:creationId xmlns:a16="http://schemas.microsoft.com/office/drawing/2014/main" id="{712731DB-792A-4A22-837D-1C884878990A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C8719D38-2937-459E-86C4-E1C7316F4D2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5F95D69A-5BAE-44EE-BD46-F911A6E47FDC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15</xdr:row>
      <xdr:rowOff>323850</xdr:rowOff>
    </xdr:from>
    <xdr:to>
      <xdr:col>7</xdr:col>
      <xdr:colOff>209550</xdr:colOff>
      <xdr:row>15</xdr:row>
      <xdr:rowOff>381000</xdr:rowOff>
    </xdr:to>
    <xdr:grpSp>
      <xdr:nvGrpSpPr>
        <xdr:cNvPr id="1069" name="Group 45">
          <a:extLst>
            <a:ext uri="{FF2B5EF4-FFF2-40B4-BE49-F238E27FC236}">
              <a16:creationId xmlns:a16="http://schemas.microsoft.com/office/drawing/2014/main" id="{4E4C1221-E7F7-4894-949F-AAB574123628}"/>
            </a:ext>
          </a:extLst>
        </xdr:cNvPr>
        <xdr:cNvGrpSpPr>
          <a:grpSpLocks/>
        </xdr:cNvGrpSpPr>
      </xdr:nvGrpSpPr>
      <xdr:grpSpPr bwMode="auto">
        <a:xfrm>
          <a:off x="1295400" y="5438775"/>
          <a:ext cx="733425" cy="57150"/>
          <a:chOff x="123" y="549"/>
          <a:chExt cx="77" cy="6"/>
        </a:xfrm>
      </xdr:grpSpPr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F0F60DB8-D56F-42E4-9545-FFC253C5B96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50D36502-BE3C-4878-B2FE-7B16AA3E6AF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D1C5A77F-5D86-4F6A-99F9-0A50E3A77FE7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15</xdr:row>
      <xdr:rowOff>857250</xdr:rowOff>
    </xdr:from>
    <xdr:to>
      <xdr:col>8</xdr:col>
      <xdr:colOff>38100</xdr:colOff>
      <xdr:row>15</xdr:row>
      <xdr:rowOff>1162050</xdr:rowOff>
    </xdr:to>
    <xdr:grpSp>
      <xdr:nvGrpSpPr>
        <xdr:cNvPr id="1073" name="Group 49">
          <a:extLst>
            <a:ext uri="{FF2B5EF4-FFF2-40B4-BE49-F238E27FC236}">
              <a16:creationId xmlns:a16="http://schemas.microsoft.com/office/drawing/2014/main" id="{6C535158-BA58-403E-94D2-9062E753F4A0}"/>
            </a:ext>
          </a:extLst>
        </xdr:cNvPr>
        <xdr:cNvGrpSpPr>
          <a:grpSpLocks/>
        </xdr:cNvGrpSpPr>
      </xdr:nvGrpSpPr>
      <xdr:grpSpPr bwMode="auto">
        <a:xfrm>
          <a:off x="1162050" y="5972175"/>
          <a:ext cx="1009650" cy="304800"/>
          <a:chOff x="105" y="627"/>
          <a:chExt cx="106" cy="32"/>
        </a:xfrm>
      </xdr:grpSpPr>
      <xdr:sp macro="" textlink="">
        <xdr:nvSpPr>
          <xdr:cNvPr id="1074" name="Line 50">
            <a:extLst>
              <a:ext uri="{FF2B5EF4-FFF2-40B4-BE49-F238E27FC236}">
                <a16:creationId xmlns:a16="http://schemas.microsoft.com/office/drawing/2014/main" id="{F41AC39C-8EA2-455A-94E3-C51D043022E7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5" name="Freeform 51">
            <a:extLst>
              <a:ext uri="{FF2B5EF4-FFF2-40B4-BE49-F238E27FC236}">
                <a16:creationId xmlns:a16="http://schemas.microsoft.com/office/drawing/2014/main" id="{0D4BE28E-7C63-47E9-86B7-36702870915A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6" name="Freeform 52">
            <a:extLst>
              <a:ext uri="{FF2B5EF4-FFF2-40B4-BE49-F238E27FC236}">
                <a16:creationId xmlns:a16="http://schemas.microsoft.com/office/drawing/2014/main" id="{C0D204C7-95DE-4392-9C89-4CE9E167E919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7" name="Line 53">
            <a:extLst>
              <a:ext uri="{FF2B5EF4-FFF2-40B4-BE49-F238E27FC236}">
                <a16:creationId xmlns:a16="http://schemas.microsoft.com/office/drawing/2014/main" id="{8C19C474-0F80-49F5-9221-9BF8B2F75DA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" name="Freeform 54">
            <a:extLst>
              <a:ext uri="{FF2B5EF4-FFF2-40B4-BE49-F238E27FC236}">
                <a16:creationId xmlns:a16="http://schemas.microsoft.com/office/drawing/2014/main" id="{44A2BBA2-3D7E-4987-9683-29253AA65100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9" name="Freeform 55">
            <a:extLst>
              <a:ext uri="{FF2B5EF4-FFF2-40B4-BE49-F238E27FC236}">
                <a16:creationId xmlns:a16="http://schemas.microsoft.com/office/drawing/2014/main" id="{AB314877-4813-4244-8C99-3C48D9D86BCE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6295B536-AD22-4BFF-ABA6-7DA4233C8CC2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FDC90319-4428-4074-8792-C8E1EDFA944F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15</xdr:row>
      <xdr:rowOff>1247775</xdr:rowOff>
    </xdr:from>
    <xdr:to>
      <xdr:col>7</xdr:col>
      <xdr:colOff>209550</xdr:colOff>
      <xdr:row>15</xdr:row>
      <xdr:rowOff>1304925</xdr:rowOff>
    </xdr:to>
    <xdr:grpSp>
      <xdr:nvGrpSpPr>
        <xdr:cNvPr id="1082" name="Group 58">
          <a:extLst>
            <a:ext uri="{FF2B5EF4-FFF2-40B4-BE49-F238E27FC236}">
              <a16:creationId xmlns:a16="http://schemas.microsoft.com/office/drawing/2014/main" id="{CDA75201-E164-442F-AD42-5FF0FA82E641}"/>
            </a:ext>
          </a:extLst>
        </xdr:cNvPr>
        <xdr:cNvGrpSpPr>
          <a:grpSpLocks/>
        </xdr:cNvGrpSpPr>
      </xdr:nvGrpSpPr>
      <xdr:grpSpPr bwMode="auto">
        <a:xfrm>
          <a:off x="1295400" y="6362700"/>
          <a:ext cx="733425" cy="57150"/>
          <a:chOff x="123" y="549"/>
          <a:chExt cx="77" cy="6"/>
        </a:xfrm>
      </xdr:grpSpPr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5F9CA945-4223-46C7-9BD4-4D1D8587A87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Freeform 60">
            <a:extLst>
              <a:ext uri="{FF2B5EF4-FFF2-40B4-BE49-F238E27FC236}">
                <a16:creationId xmlns:a16="http://schemas.microsoft.com/office/drawing/2014/main" id="{4C9D0041-5687-4B17-8B6A-4E1451EEEFE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D2862276-65AA-4940-A4D5-FA69A0B97F8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266700</xdr:rowOff>
    </xdr:from>
    <xdr:to>
      <xdr:col>11</xdr:col>
      <xdr:colOff>114300</xdr:colOff>
      <xdr:row>15</xdr:row>
      <xdr:rowOff>1276350</xdr:rowOff>
    </xdr:to>
    <xdr:grpSp>
      <xdr:nvGrpSpPr>
        <xdr:cNvPr id="1086" name="Group 62">
          <a:extLst>
            <a:ext uri="{FF2B5EF4-FFF2-40B4-BE49-F238E27FC236}">
              <a16:creationId xmlns:a16="http://schemas.microsoft.com/office/drawing/2014/main" id="{3C35A4DE-6DA5-46DD-8D92-5E9D51777251}"/>
            </a:ext>
          </a:extLst>
        </xdr:cNvPr>
        <xdr:cNvGrpSpPr>
          <a:grpSpLocks/>
        </xdr:cNvGrpSpPr>
      </xdr:nvGrpSpPr>
      <xdr:grpSpPr bwMode="auto">
        <a:xfrm>
          <a:off x="2886075" y="5381625"/>
          <a:ext cx="304800" cy="1009650"/>
          <a:chOff x="369" y="565"/>
          <a:chExt cx="32" cy="106"/>
        </a:xfrm>
      </xdr:grpSpPr>
      <xdr:sp macro="" textlink="">
        <xdr:nvSpPr>
          <xdr:cNvPr id="1087" name="Line 63">
            <a:extLst>
              <a:ext uri="{FF2B5EF4-FFF2-40B4-BE49-F238E27FC236}">
                <a16:creationId xmlns:a16="http://schemas.microsoft.com/office/drawing/2014/main" id="{A7FE4CD4-7490-4F4E-A6F7-9E870542A2C7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" name="Freeform 64">
            <a:extLst>
              <a:ext uri="{FF2B5EF4-FFF2-40B4-BE49-F238E27FC236}">
                <a16:creationId xmlns:a16="http://schemas.microsoft.com/office/drawing/2014/main" id="{86B97347-6BF6-4B6F-81F4-C7CE3D19DE8B}"/>
              </a:ext>
            </a:extLst>
          </xdr:cNvPr>
          <xdr:cNvSpPr>
            <a:spLocks/>
          </xdr:cNvSpPr>
        </xdr:nvSpPr>
        <xdr:spPr bwMode="auto">
          <a:xfrm rot="-5400000">
            <a:off x="381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9" name="Freeform 65">
            <a:extLst>
              <a:ext uri="{FF2B5EF4-FFF2-40B4-BE49-F238E27FC236}">
                <a16:creationId xmlns:a16="http://schemas.microsoft.com/office/drawing/2014/main" id="{306FF05E-0C2D-4851-87C6-E6388996F5B8}"/>
              </a:ext>
            </a:extLst>
          </xdr:cNvPr>
          <xdr:cNvSpPr>
            <a:spLocks/>
          </xdr:cNvSpPr>
        </xdr:nvSpPr>
        <xdr:spPr bwMode="auto">
          <a:xfrm rot="-5400000">
            <a:off x="377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9B85E5B1-DC87-4D93-92E4-298333388BD2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3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Freeform 67">
            <a:extLst>
              <a:ext uri="{FF2B5EF4-FFF2-40B4-BE49-F238E27FC236}">
                <a16:creationId xmlns:a16="http://schemas.microsoft.com/office/drawing/2014/main" id="{51208A58-31C7-48BA-B95E-9C93C67F48A0}"/>
              </a:ext>
            </a:extLst>
          </xdr:cNvPr>
          <xdr:cNvSpPr>
            <a:spLocks/>
          </xdr:cNvSpPr>
        </xdr:nvSpPr>
        <xdr:spPr bwMode="auto">
          <a:xfrm rot="-5400000">
            <a:off x="369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2" name="Freeform 68">
            <a:extLst>
              <a:ext uri="{FF2B5EF4-FFF2-40B4-BE49-F238E27FC236}">
                <a16:creationId xmlns:a16="http://schemas.microsoft.com/office/drawing/2014/main" id="{11C46DC1-10A9-4D11-A356-D7C5F4491C3D}"/>
              </a:ext>
            </a:extLst>
          </xdr:cNvPr>
          <xdr:cNvSpPr>
            <a:spLocks/>
          </xdr:cNvSpPr>
        </xdr:nvSpPr>
        <xdr:spPr bwMode="auto">
          <a:xfrm rot="-5400000">
            <a:off x="385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F5552C69-906C-4A9B-A894-7031D4FA1F35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6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" name="Freeform 70">
            <a:extLst>
              <a:ext uri="{FF2B5EF4-FFF2-40B4-BE49-F238E27FC236}">
                <a16:creationId xmlns:a16="http://schemas.microsoft.com/office/drawing/2014/main" id="{EACDD06A-5327-47A7-879A-B450ECA69FEA}"/>
              </a:ext>
            </a:extLst>
          </xdr:cNvPr>
          <xdr:cNvSpPr>
            <a:spLocks/>
          </xdr:cNvSpPr>
        </xdr:nvSpPr>
        <xdr:spPr bwMode="auto">
          <a:xfrm rot="-5400000">
            <a:off x="394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200025</xdr:colOff>
      <xdr:row>15</xdr:row>
      <xdr:rowOff>276225</xdr:rowOff>
    </xdr:from>
    <xdr:to>
      <xdr:col>12</xdr:col>
      <xdr:colOff>190500</xdr:colOff>
      <xdr:row>15</xdr:row>
      <xdr:rowOff>1276350</xdr:rowOff>
    </xdr:to>
    <xdr:grpSp>
      <xdr:nvGrpSpPr>
        <xdr:cNvPr id="1095" name="Group 71">
          <a:extLst>
            <a:ext uri="{FF2B5EF4-FFF2-40B4-BE49-F238E27FC236}">
              <a16:creationId xmlns:a16="http://schemas.microsoft.com/office/drawing/2014/main" id="{E71951B6-B1B1-4DB5-B885-029F143141E3}"/>
            </a:ext>
          </a:extLst>
        </xdr:cNvPr>
        <xdr:cNvGrpSpPr>
          <a:grpSpLocks/>
        </xdr:cNvGrpSpPr>
      </xdr:nvGrpSpPr>
      <xdr:grpSpPr bwMode="auto">
        <a:xfrm>
          <a:off x="3276600" y="5391150"/>
          <a:ext cx="304800" cy="1000125"/>
          <a:chOff x="410" y="566"/>
          <a:chExt cx="32" cy="105"/>
        </a:xfrm>
      </xdr:grpSpPr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8F9378B8-7E0D-47A6-B9AA-865F09D44EC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4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B8D88B5F-7FD0-43D8-988D-071381BC59FE}"/>
              </a:ext>
            </a:extLst>
          </xdr:cNvPr>
          <xdr:cNvSpPr>
            <a:spLocks/>
          </xdr:cNvSpPr>
        </xdr:nvSpPr>
        <xdr:spPr bwMode="auto">
          <a:xfrm rot="5400000">
            <a:off x="422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8" name="Freeform 74">
            <a:extLst>
              <a:ext uri="{FF2B5EF4-FFF2-40B4-BE49-F238E27FC236}">
                <a16:creationId xmlns:a16="http://schemas.microsoft.com/office/drawing/2014/main" id="{3CFDF71E-C76B-4FB1-979D-04725D6152FE}"/>
              </a:ext>
            </a:extLst>
          </xdr:cNvPr>
          <xdr:cNvSpPr>
            <a:spLocks/>
          </xdr:cNvSpPr>
        </xdr:nvSpPr>
        <xdr:spPr bwMode="auto">
          <a:xfrm rot="5400000">
            <a:off x="426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E52DD753-B962-461E-8329-C7F0E40422B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8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" name="Freeform 76">
            <a:extLst>
              <a:ext uri="{FF2B5EF4-FFF2-40B4-BE49-F238E27FC236}">
                <a16:creationId xmlns:a16="http://schemas.microsoft.com/office/drawing/2014/main" id="{7859A0FC-37CC-42AA-B0FC-4516BE53AD3F}"/>
              </a:ext>
            </a:extLst>
          </xdr:cNvPr>
          <xdr:cNvSpPr>
            <a:spLocks/>
          </xdr:cNvSpPr>
        </xdr:nvSpPr>
        <xdr:spPr bwMode="auto">
          <a:xfrm rot="5400000">
            <a:off x="435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1" name="Freeform 77">
            <a:extLst>
              <a:ext uri="{FF2B5EF4-FFF2-40B4-BE49-F238E27FC236}">
                <a16:creationId xmlns:a16="http://schemas.microsoft.com/office/drawing/2014/main" id="{DB645151-1522-4C24-B216-BC083878E317}"/>
              </a:ext>
            </a:extLst>
          </xdr:cNvPr>
          <xdr:cNvSpPr>
            <a:spLocks/>
          </xdr:cNvSpPr>
        </xdr:nvSpPr>
        <xdr:spPr bwMode="auto">
          <a:xfrm rot="5400000">
            <a:off x="419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14E2D9C3-D7BB-4ECC-905F-BF082552B7E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" name="Freeform 79">
            <a:extLst>
              <a:ext uri="{FF2B5EF4-FFF2-40B4-BE49-F238E27FC236}">
                <a16:creationId xmlns:a16="http://schemas.microsoft.com/office/drawing/2014/main" id="{167D92C6-ED7C-4631-A0E4-AD0DF6171264}"/>
              </a:ext>
            </a:extLst>
          </xdr:cNvPr>
          <xdr:cNvSpPr>
            <a:spLocks/>
          </xdr:cNvSpPr>
        </xdr:nvSpPr>
        <xdr:spPr bwMode="auto">
          <a:xfrm rot="5400000">
            <a:off x="410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428625</xdr:rowOff>
    </xdr:from>
    <xdr:to>
      <xdr:col>13</xdr:col>
      <xdr:colOff>38100</xdr:colOff>
      <xdr:row>15</xdr:row>
      <xdr:rowOff>1162050</xdr:rowOff>
    </xdr:to>
    <xdr:grpSp>
      <xdr:nvGrpSpPr>
        <xdr:cNvPr id="1104" name="Group 80">
          <a:extLst>
            <a:ext uri="{FF2B5EF4-FFF2-40B4-BE49-F238E27FC236}">
              <a16:creationId xmlns:a16="http://schemas.microsoft.com/office/drawing/2014/main" id="{D89CB48C-D716-4758-92C5-DC81080B6EFE}"/>
            </a:ext>
          </a:extLst>
        </xdr:cNvPr>
        <xdr:cNvGrpSpPr>
          <a:grpSpLocks/>
        </xdr:cNvGrpSpPr>
      </xdr:nvGrpSpPr>
      <xdr:grpSpPr bwMode="auto">
        <a:xfrm rot="5400000">
          <a:off x="3348037" y="5881688"/>
          <a:ext cx="733425" cy="57150"/>
          <a:chOff x="123" y="549"/>
          <a:chExt cx="77" cy="6"/>
        </a:xfrm>
      </xdr:grpSpPr>
      <xdr:sp macro="" textlink="">
        <xdr:nvSpPr>
          <xdr:cNvPr id="1105" name="Line 81">
            <a:extLst>
              <a:ext uri="{FF2B5EF4-FFF2-40B4-BE49-F238E27FC236}">
                <a16:creationId xmlns:a16="http://schemas.microsoft.com/office/drawing/2014/main" id="{7429889C-77E0-40E1-891D-191BC75B413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" name="Freeform 82">
            <a:extLst>
              <a:ext uri="{FF2B5EF4-FFF2-40B4-BE49-F238E27FC236}">
                <a16:creationId xmlns:a16="http://schemas.microsoft.com/office/drawing/2014/main" id="{F1E278A1-43C1-40D8-A9BB-87693CB8783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7" name="Freeform 83">
            <a:extLst>
              <a:ext uri="{FF2B5EF4-FFF2-40B4-BE49-F238E27FC236}">
                <a16:creationId xmlns:a16="http://schemas.microsoft.com/office/drawing/2014/main" id="{A8B7C98C-C445-4680-A747-925839E2F9E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428625</xdr:rowOff>
    </xdr:from>
    <xdr:to>
      <xdr:col>10</xdr:col>
      <xdr:colOff>38100</xdr:colOff>
      <xdr:row>15</xdr:row>
      <xdr:rowOff>1162050</xdr:rowOff>
    </xdr:to>
    <xdr:grpSp>
      <xdr:nvGrpSpPr>
        <xdr:cNvPr id="1108" name="Group 84">
          <a:extLst>
            <a:ext uri="{FF2B5EF4-FFF2-40B4-BE49-F238E27FC236}">
              <a16:creationId xmlns:a16="http://schemas.microsoft.com/office/drawing/2014/main" id="{3305B3B3-54E0-4728-890F-7EDE6FE21926}"/>
            </a:ext>
          </a:extLst>
        </xdr:cNvPr>
        <xdr:cNvGrpSpPr>
          <a:grpSpLocks/>
        </xdr:cNvGrpSpPr>
      </xdr:nvGrpSpPr>
      <xdr:grpSpPr bwMode="auto">
        <a:xfrm rot="5400000">
          <a:off x="2405062" y="5881688"/>
          <a:ext cx="733425" cy="57150"/>
          <a:chOff x="123" y="549"/>
          <a:chExt cx="77" cy="6"/>
        </a:xfrm>
      </xdr:grpSpPr>
      <xdr:sp macro="" textlink="">
        <xdr:nvSpPr>
          <xdr:cNvPr id="1109" name="Line 85">
            <a:extLst>
              <a:ext uri="{FF2B5EF4-FFF2-40B4-BE49-F238E27FC236}">
                <a16:creationId xmlns:a16="http://schemas.microsoft.com/office/drawing/2014/main" id="{9C7F6761-DC62-4EF4-838A-18CD708AFFF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0" name="Freeform 86">
            <a:extLst>
              <a:ext uri="{FF2B5EF4-FFF2-40B4-BE49-F238E27FC236}">
                <a16:creationId xmlns:a16="http://schemas.microsoft.com/office/drawing/2014/main" id="{856DA710-8C2C-4F0D-8853-A7708C156FE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4070DC7B-BAF9-4D61-9965-5E7060453CE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1112" name="Text Box 88">
          <a:extLst>
            <a:ext uri="{FF2B5EF4-FFF2-40B4-BE49-F238E27FC236}">
              <a16:creationId xmlns:a16="http://schemas.microsoft.com/office/drawing/2014/main" id="{3A268A92-07C9-4C74-A3CE-206CA1B5F03A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15</xdr:row>
      <xdr:rowOff>1190625</xdr:rowOff>
    </xdr:from>
    <xdr:to>
      <xdr:col>9</xdr:col>
      <xdr:colOff>9525</xdr:colOff>
      <xdr:row>15</xdr:row>
      <xdr:rowOff>1381125</xdr:rowOff>
    </xdr:to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DEE06C49-69CC-4D0D-920B-9E4E1B1157AA}"/>
            </a:ext>
          </a:extLst>
        </xdr:cNvPr>
        <xdr:cNvSpPr txBox="1">
          <a:spLocks noChangeArrowheads="1"/>
        </xdr:cNvSpPr>
      </xdr:nvSpPr>
      <xdr:spPr bwMode="auto">
        <a:xfrm>
          <a:off x="904875" y="6305550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4</xdr:col>
      <xdr:colOff>28575</xdr:colOff>
      <xdr:row>15</xdr:row>
      <xdr:rowOff>247650</xdr:rowOff>
    </xdr:from>
    <xdr:to>
      <xdr:col>9</xdr:col>
      <xdr:colOff>9525</xdr:colOff>
      <xdr:row>15</xdr:row>
      <xdr:rowOff>438150</xdr:rowOff>
    </xdr:to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A96725E6-20C1-4BA6-88E9-76F06C642078}"/>
            </a:ext>
          </a:extLst>
        </xdr:cNvPr>
        <xdr:cNvSpPr txBox="1">
          <a:spLocks noChangeArrowheads="1"/>
        </xdr:cNvSpPr>
      </xdr:nvSpPr>
      <xdr:spPr bwMode="auto">
        <a:xfrm>
          <a:off x="904875" y="536257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 editAs="oneCell">
    <xdr:from>
      <xdr:col>6</xdr:col>
      <xdr:colOff>209550</xdr:colOff>
      <xdr:row>3</xdr:row>
      <xdr:rowOff>9525</xdr:rowOff>
    </xdr:from>
    <xdr:to>
      <xdr:col>19</xdr:col>
      <xdr:colOff>200025</xdr:colOff>
      <xdr:row>11</xdr:row>
      <xdr:rowOff>0</xdr:rowOff>
    </xdr:to>
    <xdr:pic>
      <xdr:nvPicPr>
        <xdr:cNvPr id="1115" name="Picture 91">
          <a:extLst>
            <a:ext uri="{FF2B5EF4-FFF2-40B4-BE49-F238E27FC236}">
              <a16:creationId xmlns:a16="http://schemas.microsoft.com/office/drawing/2014/main" id="{3B772A2F-5E37-447A-A305-A51E2F8C9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733425"/>
          <a:ext cx="407670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</xdr:colOff>
      <xdr:row>15</xdr:row>
      <xdr:rowOff>161925</xdr:rowOff>
    </xdr:from>
    <xdr:to>
      <xdr:col>7</xdr:col>
      <xdr:colOff>57150</xdr:colOff>
      <xdr:row>15</xdr:row>
      <xdr:rowOff>323850</xdr:rowOff>
    </xdr:to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CB81B2EC-6AAF-4A7A-BDE8-9DCE625BE21D}"/>
            </a:ext>
          </a:extLst>
        </xdr:cNvPr>
        <xdr:cNvSpPr txBox="1">
          <a:spLocks noChangeArrowheads="1"/>
        </xdr:cNvSpPr>
      </xdr:nvSpPr>
      <xdr:spPr bwMode="auto">
        <a:xfrm>
          <a:off x="1524000" y="5276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9.9m</a:t>
          </a:r>
        </a:p>
      </xdr:txBody>
    </xdr:sp>
    <xdr:clientData/>
  </xdr:twoCellAnchor>
  <xdr:twoCellAnchor>
    <xdr:from>
      <xdr:col>12</xdr:col>
      <xdr:colOff>161925</xdr:colOff>
      <xdr:row>15</xdr:row>
      <xdr:rowOff>1181100</xdr:rowOff>
    </xdr:from>
    <xdr:to>
      <xdr:col>13</xdr:col>
      <xdr:colOff>200025</xdr:colOff>
      <xdr:row>15</xdr:row>
      <xdr:rowOff>1343025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D01C24B0-0AD2-4DA6-952E-0980B9C18E09}"/>
            </a:ext>
          </a:extLst>
        </xdr:cNvPr>
        <xdr:cNvSpPr txBox="1">
          <a:spLocks noChangeArrowheads="1"/>
        </xdr:cNvSpPr>
      </xdr:nvSpPr>
      <xdr:spPr bwMode="auto">
        <a:xfrm>
          <a:off x="35528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12.1m</a:t>
          </a:r>
        </a:p>
      </xdr:txBody>
    </xdr:sp>
    <xdr:clientData/>
  </xdr:twoCellAnchor>
  <xdr:twoCellAnchor>
    <xdr:from>
      <xdr:col>5</xdr:col>
      <xdr:colOff>238125</xdr:colOff>
      <xdr:row>6</xdr:row>
      <xdr:rowOff>161925</xdr:rowOff>
    </xdr:from>
    <xdr:to>
      <xdr:col>6</xdr:col>
      <xdr:colOff>171450</xdr:colOff>
      <xdr:row>7</xdr:row>
      <xdr:rowOff>1524000</xdr:rowOff>
    </xdr:to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8D9E2734-D26D-4310-9EFD-39FC83AC10BC}"/>
            </a:ext>
          </a:extLst>
        </xdr:cNvPr>
        <xdr:cNvSpPr txBox="1">
          <a:spLocks noChangeArrowheads="1"/>
        </xdr:cNvSpPr>
      </xdr:nvSpPr>
      <xdr:spPr bwMode="auto">
        <a:xfrm>
          <a:off x="1428750" y="15716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海岸１丁目</a:t>
          </a:r>
        </a:p>
      </xdr:txBody>
    </xdr:sp>
    <xdr:clientData/>
  </xdr:twoCellAnchor>
  <xdr:twoCellAnchor>
    <xdr:from>
      <xdr:col>19</xdr:col>
      <xdr:colOff>238125</xdr:colOff>
      <xdr:row>6</xdr:row>
      <xdr:rowOff>85725</xdr:rowOff>
    </xdr:from>
    <xdr:to>
      <xdr:col>20</xdr:col>
      <xdr:colOff>171450</xdr:colOff>
      <xdr:row>7</xdr:row>
      <xdr:rowOff>1447800</xdr:rowOff>
    </xdr:to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604B3465-73CE-4491-95A7-91AC95EF0106}"/>
            </a:ext>
          </a:extLst>
        </xdr:cNvPr>
        <xdr:cNvSpPr txBox="1">
          <a:spLocks noChangeArrowheads="1"/>
        </xdr:cNvSpPr>
      </xdr:nvSpPr>
      <xdr:spPr bwMode="auto">
        <a:xfrm>
          <a:off x="5829300" y="14954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マリンビル前</a:t>
          </a:r>
        </a:p>
      </xdr:txBody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209550</xdr:colOff>
      <xdr:row>6</xdr:row>
      <xdr:rowOff>9525</xdr:rowOff>
    </xdr:to>
    <xdr:pic>
      <xdr:nvPicPr>
        <xdr:cNvPr id="1120" name="Picture 96">
          <a:extLst>
            <a:ext uri="{FF2B5EF4-FFF2-40B4-BE49-F238E27FC236}">
              <a16:creationId xmlns:a16="http://schemas.microsoft.com/office/drawing/2014/main" id="{BB6313A3-CE40-4E9D-A159-7D78C2CF8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238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285750</xdr:colOff>
      <xdr:row>3</xdr:row>
      <xdr:rowOff>28575</xdr:rowOff>
    </xdr:from>
    <xdr:to>
      <xdr:col>14</xdr:col>
      <xdr:colOff>47625</xdr:colOff>
      <xdr:row>3</xdr:row>
      <xdr:rowOff>171450</xdr:rowOff>
    </xdr:to>
    <xdr:sp macro="" textlink="">
      <xdr:nvSpPr>
        <xdr:cNvPr id="1121" name="Text Box 97">
          <a:extLst>
            <a:ext uri="{FF2B5EF4-FFF2-40B4-BE49-F238E27FC236}">
              <a16:creationId xmlns:a16="http://schemas.microsoft.com/office/drawing/2014/main" id="{E918DCE6-300A-4F8D-838D-F7B99F6BF0CF}"/>
            </a:ext>
          </a:extLst>
        </xdr:cNvPr>
        <xdr:cNvSpPr txBox="1">
          <a:spLocks noChangeArrowheads="1"/>
        </xdr:cNvSpPr>
      </xdr:nvSpPr>
      <xdr:spPr bwMode="auto">
        <a:xfrm>
          <a:off x="3676650" y="7524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18</xdr:col>
      <xdr:colOff>114300</xdr:colOff>
      <xdr:row>7</xdr:row>
      <xdr:rowOff>590550</xdr:rowOff>
    </xdr:from>
    <xdr:to>
      <xdr:col>19</xdr:col>
      <xdr:colOff>190500</xdr:colOff>
      <xdr:row>7</xdr:row>
      <xdr:rowOff>733425</xdr:rowOff>
    </xdr:to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4CB77550-99B0-49C8-A94A-4BDC93D9AD29}"/>
            </a:ext>
          </a:extLst>
        </xdr:cNvPr>
        <xdr:cNvSpPr txBox="1">
          <a:spLocks noChangeArrowheads="1"/>
        </xdr:cNvSpPr>
      </xdr:nvSpPr>
      <xdr:spPr bwMode="auto">
        <a:xfrm>
          <a:off x="5391150" y="22288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workbookViewId="0">
      <selection activeCell="Q18" sqref="Q18"/>
    </sheetView>
  </sheetViews>
  <sheetFormatPr defaultRowHeight="12" x14ac:dyDescent="0.15"/>
  <cols>
    <col min="1" max="1" width="7.5" style="38" bestFit="1" customWidth="1"/>
    <col min="2" max="2" width="2.25" style="55" bestFit="1" customWidth="1"/>
    <col min="3" max="3" width="4.5" style="51" bestFit="1" customWidth="1"/>
    <col min="4" max="4" width="2.25" style="37" bestFit="1" customWidth="1"/>
    <col min="5" max="24" width="4.125" style="29" customWidth="1"/>
    <col min="25" max="16384" width="9" style="29"/>
  </cols>
  <sheetData>
    <row r="1" spans="1:30" ht="15" customHeight="1" x14ac:dyDescent="0.15">
      <c r="A1" s="75" t="s">
        <v>0</v>
      </c>
      <c r="B1" s="76"/>
      <c r="C1" s="76"/>
      <c r="D1" s="76"/>
      <c r="E1" s="77"/>
      <c r="F1" s="81" t="s">
        <v>69</v>
      </c>
      <c r="G1" s="76"/>
      <c r="H1" s="82" t="s">
        <v>68</v>
      </c>
      <c r="I1" s="82"/>
      <c r="J1" s="82"/>
      <c r="K1" s="82"/>
      <c r="L1" s="76" t="s">
        <v>63</v>
      </c>
      <c r="M1" s="77"/>
      <c r="N1" s="109" t="s">
        <v>64</v>
      </c>
      <c r="O1" s="77"/>
      <c r="P1" s="111">
        <v>46071</v>
      </c>
      <c r="Q1" s="112"/>
      <c r="R1" s="112"/>
      <c r="S1" s="113"/>
      <c r="T1" s="110" t="s">
        <v>5</v>
      </c>
      <c r="U1" s="110"/>
      <c r="V1" s="110" t="s">
        <v>73</v>
      </c>
      <c r="W1" s="110"/>
      <c r="X1" s="110"/>
    </row>
    <row r="2" spans="1:30" ht="7.5" customHeight="1" x14ac:dyDescent="0.15">
      <c r="A2" s="78"/>
      <c r="B2" s="79"/>
      <c r="C2" s="79"/>
      <c r="D2" s="79"/>
      <c r="E2" s="80"/>
      <c r="F2" s="78"/>
      <c r="G2" s="79"/>
      <c r="H2" s="83"/>
      <c r="I2" s="83"/>
      <c r="J2" s="83"/>
      <c r="K2" s="83"/>
      <c r="L2" s="79"/>
      <c r="M2" s="80"/>
      <c r="N2" s="92"/>
      <c r="O2" s="94"/>
      <c r="P2" s="114"/>
      <c r="Q2" s="115"/>
      <c r="R2" s="115"/>
      <c r="S2" s="116"/>
      <c r="T2" s="75" t="s">
        <v>12</v>
      </c>
      <c r="U2" s="77"/>
      <c r="V2" s="86">
        <v>45992</v>
      </c>
      <c r="W2" s="87"/>
      <c r="X2" s="88"/>
    </row>
    <row r="3" spans="1:30" ht="7.5" customHeight="1" x14ac:dyDescent="0.15">
      <c r="A3" s="92" t="s">
        <v>7</v>
      </c>
      <c r="B3" s="93"/>
      <c r="C3" s="93"/>
      <c r="D3" s="93"/>
      <c r="E3" s="94"/>
      <c r="F3" s="96" t="s">
        <v>59</v>
      </c>
      <c r="G3" s="97"/>
      <c r="H3" s="98" t="s">
        <v>68</v>
      </c>
      <c r="I3" s="98"/>
      <c r="J3" s="98"/>
      <c r="K3" s="98"/>
      <c r="L3" s="100" t="s">
        <v>65</v>
      </c>
      <c r="M3" s="101"/>
      <c r="N3" s="92"/>
      <c r="O3" s="94"/>
      <c r="P3" s="104">
        <v>0.15416666666666667</v>
      </c>
      <c r="Q3" s="105"/>
      <c r="R3" s="105"/>
      <c r="S3" s="108" t="s">
        <v>11</v>
      </c>
      <c r="T3" s="84"/>
      <c r="U3" s="85"/>
      <c r="V3" s="89"/>
      <c r="W3" s="90"/>
      <c r="X3" s="91"/>
    </row>
    <row r="4" spans="1:30" ht="15" customHeight="1" x14ac:dyDescent="0.15">
      <c r="A4" s="84"/>
      <c r="B4" s="95"/>
      <c r="C4" s="95"/>
      <c r="D4" s="95"/>
      <c r="E4" s="85"/>
      <c r="F4" s="84"/>
      <c r="G4" s="95"/>
      <c r="H4" s="99"/>
      <c r="I4" s="99"/>
      <c r="J4" s="99"/>
      <c r="K4" s="99"/>
      <c r="L4" s="102"/>
      <c r="M4" s="103"/>
      <c r="N4" s="84"/>
      <c r="O4" s="85"/>
      <c r="P4" s="106"/>
      <c r="Q4" s="107"/>
      <c r="R4" s="107"/>
      <c r="S4" s="85"/>
      <c r="T4" s="110" t="s">
        <v>66</v>
      </c>
      <c r="U4" s="110"/>
      <c r="V4" s="110" t="s">
        <v>72</v>
      </c>
      <c r="W4" s="110"/>
      <c r="X4" s="110"/>
      <c r="Z4" s="30" t="s">
        <v>67</v>
      </c>
      <c r="AA4" s="31">
        <v>2242</v>
      </c>
    </row>
    <row r="5" spans="1:30" ht="18" customHeight="1" x14ac:dyDescent="0.15">
      <c r="A5" s="58"/>
      <c r="B5" s="59"/>
      <c r="C5" s="59"/>
      <c r="D5" s="59"/>
      <c r="E5" s="33"/>
      <c r="F5" s="33"/>
      <c r="G5" s="33"/>
      <c r="H5" s="33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30" ht="18" customHeight="1" x14ac:dyDescent="0.15">
      <c r="A6" s="60"/>
      <c r="B6" s="61"/>
      <c r="C6" s="61"/>
      <c r="D6" s="61"/>
      <c r="X6" s="36"/>
    </row>
    <row r="7" spans="1:30" ht="18" customHeight="1" x14ac:dyDescent="0.15">
      <c r="A7" s="60"/>
      <c r="B7" s="61"/>
      <c r="C7" s="61"/>
      <c r="D7" s="61"/>
      <c r="X7" s="36"/>
    </row>
    <row r="8" spans="1:30" ht="18" customHeight="1" x14ac:dyDescent="0.15">
      <c r="A8" s="60"/>
      <c r="B8" s="61"/>
      <c r="C8" s="61"/>
      <c r="D8" s="61"/>
      <c r="X8" s="36"/>
    </row>
    <row r="9" spans="1:30" ht="18" customHeight="1" x14ac:dyDescent="0.15">
      <c r="A9" s="60"/>
      <c r="B9" s="61"/>
      <c r="C9" s="61"/>
      <c r="D9" s="61"/>
      <c r="X9" s="36"/>
    </row>
    <row r="10" spans="1:30" ht="147.75" customHeight="1" x14ac:dyDescent="0.15">
      <c r="A10" s="60"/>
      <c r="B10" s="61"/>
      <c r="C10" s="61"/>
      <c r="D10" s="61"/>
      <c r="X10" s="36"/>
    </row>
    <row r="11" spans="1:30" ht="18" customHeight="1" x14ac:dyDescent="0.15">
      <c r="A11" s="60"/>
      <c r="B11" s="61"/>
      <c r="C11" s="61"/>
      <c r="D11" s="61"/>
      <c r="X11" s="36"/>
    </row>
    <row r="12" spans="1:30" ht="18" customHeight="1" x14ac:dyDescent="0.15">
      <c r="A12" s="62"/>
      <c r="B12" s="63"/>
      <c r="C12" s="61"/>
      <c r="D12" s="61"/>
      <c r="X12" s="36"/>
    </row>
    <row r="13" spans="1:30" ht="18" customHeight="1" x14ac:dyDescent="0.15">
      <c r="A13" s="62"/>
      <c r="B13" s="63"/>
      <c r="C13" s="61"/>
      <c r="D13" s="61"/>
      <c r="X13" s="36"/>
    </row>
    <row r="14" spans="1:30" ht="18" customHeight="1" x14ac:dyDescent="0.15">
      <c r="A14" s="62"/>
      <c r="B14" s="63"/>
      <c r="C14" s="67"/>
      <c r="D14" s="67"/>
      <c r="E14" s="37"/>
      <c r="F14" s="38"/>
      <c r="G14" s="38"/>
      <c r="H14" s="38"/>
      <c r="X14" s="36"/>
      <c r="Z14" s="29">
        <v>40</v>
      </c>
      <c r="AA14" s="29">
        <f>Z14/3.6</f>
        <v>11.111111111111111</v>
      </c>
      <c r="AC14" s="57">
        <v>34.799999999999997</v>
      </c>
      <c r="AD14" s="57">
        <f>AC14/AA14</f>
        <v>3.1319999999999997</v>
      </c>
    </row>
    <row r="15" spans="1:30" ht="18" customHeight="1" x14ac:dyDescent="0.15">
      <c r="A15" s="68"/>
      <c r="B15" s="69"/>
      <c r="C15" s="70"/>
      <c r="D15" s="70"/>
      <c r="E15" s="39"/>
      <c r="F15" s="39"/>
      <c r="G15" s="39"/>
      <c r="H15" s="39"/>
      <c r="I15" s="39"/>
      <c r="J15" s="39"/>
      <c r="K15" s="3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1"/>
      <c r="Z15" s="29">
        <v>30</v>
      </c>
      <c r="AA15" s="29">
        <f>Z15/3.6</f>
        <v>8.3333333333333339</v>
      </c>
      <c r="AC15" s="57">
        <v>30.2</v>
      </c>
      <c r="AD15" s="57">
        <f>AC15/AA15</f>
        <v>3.6239999999999997</v>
      </c>
    </row>
    <row r="16" spans="1:30" s="44" customFormat="1" ht="18" customHeight="1" x14ac:dyDescent="0.15">
      <c r="A16" s="71" t="s">
        <v>14</v>
      </c>
      <c r="B16" s="71"/>
      <c r="C16" s="71"/>
      <c r="D16" s="71"/>
      <c r="E16" s="42">
        <v>1</v>
      </c>
      <c r="F16" s="42">
        <v>2</v>
      </c>
      <c r="G16" s="42">
        <v>3</v>
      </c>
      <c r="H16" s="42">
        <v>4</v>
      </c>
      <c r="I16" s="42">
        <v>5</v>
      </c>
      <c r="J16" s="42">
        <v>6</v>
      </c>
      <c r="K16" s="42">
        <v>7</v>
      </c>
      <c r="L16" s="42">
        <v>8</v>
      </c>
      <c r="M16" s="42">
        <v>9</v>
      </c>
      <c r="N16" s="42">
        <v>10</v>
      </c>
      <c r="O16" s="42">
        <v>11</v>
      </c>
      <c r="P16" s="42">
        <v>12</v>
      </c>
      <c r="Q16" s="42">
        <v>13</v>
      </c>
      <c r="R16" s="43">
        <v>14</v>
      </c>
      <c r="S16" s="42">
        <v>15</v>
      </c>
      <c r="T16" s="42">
        <v>16</v>
      </c>
      <c r="U16" s="42">
        <v>17</v>
      </c>
      <c r="V16" s="42">
        <v>18</v>
      </c>
      <c r="W16" s="42">
        <v>19</v>
      </c>
      <c r="X16" s="42">
        <v>20</v>
      </c>
    </row>
    <row r="17" spans="1:25" s="38" customFormat="1" ht="18" customHeight="1" x14ac:dyDescent="0.15">
      <c r="A17" s="71" t="s">
        <v>15</v>
      </c>
      <c r="B17" s="71"/>
      <c r="C17" s="71"/>
      <c r="D17" s="71"/>
      <c r="E17" s="45" t="s">
        <v>16</v>
      </c>
      <c r="F17" s="45" t="s">
        <v>17</v>
      </c>
      <c r="G17" s="45" t="s">
        <v>18</v>
      </c>
      <c r="H17" s="45" t="s">
        <v>19</v>
      </c>
      <c r="I17" s="45" t="s">
        <v>20</v>
      </c>
      <c r="J17" s="45" t="s">
        <v>21</v>
      </c>
      <c r="K17" s="45" t="s">
        <v>22</v>
      </c>
      <c r="L17" s="45" t="s">
        <v>23</v>
      </c>
      <c r="M17" s="45" t="s">
        <v>24</v>
      </c>
      <c r="N17" s="45" t="s">
        <v>25</v>
      </c>
      <c r="O17" s="45"/>
      <c r="P17" s="45"/>
      <c r="Q17" s="45"/>
      <c r="R17" s="46"/>
      <c r="T17" s="45"/>
      <c r="U17" s="45"/>
      <c r="V17" s="45"/>
      <c r="W17" s="45"/>
      <c r="X17" s="45"/>
    </row>
    <row r="18" spans="1:25" s="38" customFormat="1" ht="125.1" customHeight="1" x14ac:dyDescent="0.15">
      <c r="A18" s="64"/>
      <c r="B18" s="65"/>
      <c r="C18" s="65"/>
      <c r="D18" s="66"/>
      <c r="E18" s="47"/>
      <c r="F18" s="48"/>
      <c r="G18" s="48"/>
      <c r="H18" s="48"/>
      <c r="I18" s="48"/>
      <c r="J18" s="47"/>
      <c r="K18" s="48"/>
      <c r="L18" s="48"/>
      <c r="M18" s="48"/>
      <c r="N18" s="48"/>
      <c r="O18" s="47"/>
      <c r="P18" s="48"/>
      <c r="Q18" s="48"/>
      <c r="R18" s="48"/>
      <c r="S18" s="48"/>
      <c r="T18" s="48"/>
      <c r="U18" s="48"/>
      <c r="V18" s="48"/>
      <c r="W18" s="48"/>
      <c r="X18" s="46"/>
      <c r="Y18" s="49"/>
    </row>
    <row r="19" spans="1:25" ht="18" customHeight="1" x14ac:dyDescent="0.15">
      <c r="A19" s="64" t="s">
        <v>70</v>
      </c>
      <c r="B19" s="65"/>
      <c r="C19" s="65" t="s">
        <v>27</v>
      </c>
      <c r="D19" s="66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 spans="1:25" ht="18" customHeight="1" x14ac:dyDescent="0.15">
      <c r="A20" s="64" t="s">
        <v>28</v>
      </c>
      <c r="B20" s="65"/>
      <c r="C20" s="65" t="s">
        <v>29</v>
      </c>
      <c r="D20" s="66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 spans="1:25" ht="18" customHeight="1" x14ac:dyDescent="0.15">
      <c r="A21" s="64" t="s">
        <v>71</v>
      </c>
      <c r="B21" s="65"/>
      <c r="C21" s="65" t="s">
        <v>31</v>
      </c>
      <c r="D21" s="66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spans="1:25" ht="18" customHeight="1" x14ac:dyDescent="0.15">
      <c r="A22" s="64" t="s">
        <v>32</v>
      </c>
      <c r="B22" s="65"/>
      <c r="C22" s="65" t="s">
        <v>33</v>
      </c>
      <c r="D22" s="66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spans="1:25" ht="18" customHeight="1" x14ac:dyDescent="0.15">
      <c r="A23" s="64"/>
      <c r="B23" s="65"/>
      <c r="C23" s="72"/>
      <c r="D23" s="73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spans="1:25" ht="18" customHeight="1" x14ac:dyDescent="0.15">
      <c r="A24" s="64"/>
      <c r="B24" s="65"/>
      <c r="C24" s="72"/>
      <c r="D24" s="73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25" ht="18" customHeight="1" x14ac:dyDescent="0.15">
      <c r="A25" s="64"/>
      <c r="B25" s="65"/>
      <c r="C25" s="72"/>
      <c r="D25" s="7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1:25" ht="18" customHeight="1" x14ac:dyDescent="0.15">
      <c r="A26" s="74"/>
      <c r="B26" s="72"/>
      <c r="C26" s="72"/>
      <c r="D26" s="7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spans="1:25" ht="18" customHeight="1" x14ac:dyDescent="0.15">
      <c r="A27" s="74"/>
      <c r="B27" s="72"/>
      <c r="C27" s="72"/>
      <c r="D27" s="73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spans="1:25" ht="18" customHeight="1" x14ac:dyDescent="0.15">
      <c r="A28" s="74"/>
      <c r="B28" s="72"/>
      <c r="C28" s="72"/>
      <c r="D28" s="73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 spans="1:25" ht="18" customHeight="1" x14ac:dyDescent="0.15">
      <c r="A29" s="74"/>
      <c r="B29" s="72"/>
      <c r="C29" s="72"/>
      <c r="D29" s="73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 spans="1:25" ht="18" customHeight="1" x14ac:dyDescent="0.15">
      <c r="A30" s="74"/>
      <c r="B30" s="72"/>
      <c r="C30" s="72"/>
      <c r="D30" s="73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</row>
    <row r="31" spans="1:25" ht="18" customHeight="1" x14ac:dyDescent="0.15">
      <c r="A31" s="74"/>
      <c r="B31" s="72"/>
      <c r="C31" s="72"/>
      <c r="D31" s="7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spans="1:25" ht="18" customHeight="1" x14ac:dyDescent="0.15">
      <c r="A32" s="74"/>
      <c r="B32" s="72"/>
      <c r="C32" s="72"/>
      <c r="D32" s="73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spans="1:27" ht="18" customHeight="1" x14ac:dyDescent="0.15">
      <c r="A33" s="52" t="s">
        <v>55</v>
      </c>
      <c r="B33" s="53"/>
      <c r="C33" s="32"/>
      <c r="D33" s="54"/>
      <c r="E33" s="42">
        <v>109</v>
      </c>
      <c r="F33" s="42"/>
      <c r="G33" s="42"/>
      <c r="H33" s="42"/>
      <c r="I33" s="42"/>
      <c r="J33" s="42">
        <v>109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7" ht="18" customHeight="1" x14ac:dyDescent="0.15">
      <c r="A34" s="52" t="s">
        <v>56</v>
      </c>
      <c r="B34" s="53" t="s">
        <v>40</v>
      </c>
      <c r="C34" s="32">
        <f>SUM(E34:X34)</f>
        <v>48</v>
      </c>
      <c r="D34" s="54" t="s">
        <v>41</v>
      </c>
      <c r="E34" s="42">
        <v>10</v>
      </c>
      <c r="F34" s="42">
        <v>5</v>
      </c>
      <c r="G34" s="42">
        <v>2</v>
      </c>
      <c r="H34" s="42">
        <v>3</v>
      </c>
      <c r="I34" s="42">
        <v>3</v>
      </c>
      <c r="J34" s="42">
        <v>11</v>
      </c>
      <c r="K34" s="42">
        <v>5</v>
      </c>
      <c r="L34" s="42">
        <v>2</v>
      </c>
      <c r="M34" s="42">
        <v>3</v>
      </c>
      <c r="N34" s="42">
        <v>4</v>
      </c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56"/>
      <c r="Z34" s="29">
        <v>160</v>
      </c>
      <c r="AA34" s="29">
        <f>Z34-INT(Z34/8)-3</f>
        <v>137</v>
      </c>
    </row>
    <row r="35" spans="1:27" ht="18" customHeight="1" x14ac:dyDescent="0.15">
      <c r="A35" s="52" t="s">
        <v>39</v>
      </c>
      <c r="B35" s="53" t="s">
        <v>40</v>
      </c>
      <c r="C35" s="32">
        <f>SUM(E35:X35)</f>
        <v>80</v>
      </c>
      <c r="D35" s="54" t="s">
        <v>41</v>
      </c>
      <c r="E35" s="42">
        <v>37</v>
      </c>
      <c r="F35" s="42">
        <v>5</v>
      </c>
      <c r="G35" s="42">
        <v>2</v>
      </c>
      <c r="H35" s="42">
        <v>3</v>
      </c>
      <c r="I35" s="42">
        <v>3</v>
      </c>
      <c r="J35" s="42">
        <v>16</v>
      </c>
      <c r="K35" s="42">
        <v>5</v>
      </c>
      <c r="L35" s="42">
        <v>2</v>
      </c>
      <c r="M35" s="42">
        <v>3</v>
      </c>
      <c r="N35" s="42">
        <v>4</v>
      </c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56"/>
      <c r="Z35" s="29">
        <v>160</v>
      </c>
      <c r="AA35" s="29">
        <f>Z35-INT(Z35/8)-3</f>
        <v>137</v>
      </c>
    </row>
    <row r="36" spans="1:27" ht="18" customHeight="1" x14ac:dyDescent="0.15">
      <c r="A36" s="64" t="s">
        <v>42</v>
      </c>
      <c r="B36" s="65"/>
      <c r="C36" s="65"/>
      <c r="D36" s="66"/>
      <c r="E36" s="42">
        <v>110</v>
      </c>
      <c r="F36" s="42">
        <v>110</v>
      </c>
      <c r="G36" s="42">
        <v>110</v>
      </c>
      <c r="H36" s="42">
        <v>10</v>
      </c>
      <c r="I36" s="42">
        <v>10</v>
      </c>
      <c r="J36" s="42">
        <v>110</v>
      </c>
      <c r="K36" s="42">
        <v>110</v>
      </c>
      <c r="L36" s="42">
        <v>110</v>
      </c>
      <c r="M36" s="42">
        <v>10</v>
      </c>
      <c r="N36" s="42">
        <v>10</v>
      </c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spans="1:27" ht="18" customHeight="1" x14ac:dyDescent="0.15">
      <c r="A37" s="64" t="s">
        <v>43</v>
      </c>
      <c r="B37" s="65"/>
      <c r="C37" s="65"/>
      <c r="D37" s="66"/>
      <c r="E37" s="42">
        <v>6</v>
      </c>
      <c r="F37" s="42">
        <v>0.95</v>
      </c>
      <c r="G37" s="42">
        <v>0.95</v>
      </c>
      <c r="H37" s="42">
        <v>0.95</v>
      </c>
      <c r="I37" s="42">
        <v>0.95</v>
      </c>
      <c r="J37" s="42">
        <v>6</v>
      </c>
      <c r="K37" s="42">
        <v>0.95</v>
      </c>
      <c r="L37" s="42">
        <v>0.95</v>
      </c>
      <c r="M37" s="42">
        <v>0.95</v>
      </c>
      <c r="N37" s="42">
        <v>0.95</v>
      </c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7" ht="18" customHeight="1" x14ac:dyDescent="0.15">
      <c r="A38" s="64" t="s">
        <v>44</v>
      </c>
      <c r="B38" s="65"/>
      <c r="C38" s="65"/>
      <c r="D38" s="66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</sheetData>
  <mergeCells count="74">
    <mergeCell ref="T2:U3"/>
    <mergeCell ref="V2:X3"/>
    <mergeCell ref="A3:E4"/>
    <mergeCell ref="F3:G4"/>
    <mergeCell ref="H3:K4"/>
    <mergeCell ref="L3:M4"/>
    <mergeCell ref="P3:R4"/>
    <mergeCell ref="S3:S4"/>
    <mergeCell ref="N1:O4"/>
    <mergeCell ref="V1:X1"/>
    <mergeCell ref="T4:U4"/>
    <mergeCell ref="V4:X4"/>
    <mergeCell ref="P1:S2"/>
    <mergeCell ref="T1:U1"/>
    <mergeCell ref="A38:D38"/>
    <mergeCell ref="A1:E2"/>
    <mergeCell ref="F1:G2"/>
    <mergeCell ref="H1:K2"/>
    <mergeCell ref="L1:M2"/>
    <mergeCell ref="A28:B28"/>
    <mergeCell ref="C28:D28"/>
    <mergeCell ref="A29:B29"/>
    <mergeCell ref="C29:D29"/>
    <mergeCell ref="A36:D36"/>
    <mergeCell ref="A37:D37"/>
    <mergeCell ref="A30:B30"/>
    <mergeCell ref="C30:D30"/>
    <mergeCell ref="A31:B31"/>
    <mergeCell ref="C31:D31"/>
    <mergeCell ref="A32:B32"/>
    <mergeCell ref="C32:D32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10"/>
  <pageMargins left="0.78740157480314965" right="0" top="0.39370078740157483" bottom="0" header="0.23622047244094491" footer="0.31496062992125984"/>
  <pageSetup paperSize="9" scale="94" firstPageNumber="38" orientation="portrait" useFirstPageNumber="1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zoomScaleNormal="100" workbookViewId="0">
      <selection sqref="A1:E1"/>
    </sheetView>
  </sheetViews>
  <sheetFormatPr defaultRowHeight="11.25" x14ac:dyDescent="0.15"/>
  <cols>
    <col min="1" max="1" width="5.125" style="28" customWidth="1"/>
    <col min="2" max="2" width="0.875" style="28" customWidth="1"/>
    <col min="3" max="3" width="4.625" style="28" customWidth="1"/>
    <col min="4" max="4" width="0.875" style="28" customWidth="1"/>
    <col min="5" max="24" width="4.125" style="2" customWidth="1"/>
    <col min="25" max="16384" width="9" style="2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39" t="s">
        <v>59</v>
      </c>
      <c r="G1" s="140"/>
      <c r="H1" s="133" t="s">
        <v>2</v>
      </c>
      <c r="I1" s="134"/>
      <c r="J1" s="134"/>
      <c r="K1" s="134"/>
      <c r="L1" s="134"/>
      <c r="M1" s="134"/>
      <c r="N1" s="146" t="s">
        <v>3</v>
      </c>
      <c r="O1" s="146"/>
      <c r="P1" s="135" t="s">
        <v>62</v>
      </c>
      <c r="Q1" s="135"/>
      <c r="R1" s="135"/>
      <c r="S1" s="135"/>
      <c r="T1" s="150" t="s">
        <v>5</v>
      </c>
      <c r="U1" s="150"/>
      <c r="V1" s="144" t="s">
        <v>6</v>
      </c>
      <c r="W1" s="144"/>
      <c r="X1" s="144"/>
    </row>
    <row r="2" spans="1:25" ht="20.100000000000001" customHeight="1" x14ac:dyDescent="0.15">
      <c r="A2" s="136" t="s">
        <v>7</v>
      </c>
      <c r="B2" s="136"/>
      <c r="C2" s="136"/>
      <c r="D2" s="136"/>
      <c r="E2" s="136"/>
      <c r="F2" s="137" t="s">
        <v>59</v>
      </c>
      <c r="G2" s="138"/>
      <c r="H2" s="143" t="s">
        <v>2</v>
      </c>
      <c r="I2" s="143"/>
      <c r="J2" s="143"/>
      <c r="K2" s="143"/>
      <c r="L2" s="141" t="s">
        <v>9</v>
      </c>
      <c r="M2" s="142"/>
      <c r="N2" s="136" t="s">
        <v>10</v>
      </c>
      <c r="O2" s="136"/>
      <c r="P2" s="147">
        <v>0.69027777777777777</v>
      </c>
      <c r="Q2" s="148"/>
      <c r="R2" s="149"/>
      <c r="S2" s="3" t="s">
        <v>11</v>
      </c>
      <c r="T2" s="150" t="s">
        <v>12</v>
      </c>
      <c r="U2" s="150"/>
      <c r="V2" s="145" t="s">
        <v>13</v>
      </c>
      <c r="W2" s="145"/>
      <c r="X2" s="145"/>
    </row>
    <row r="3" spans="1:25" ht="18" customHeight="1" x14ac:dyDescent="0.15">
      <c r="A3" s="152"/>
      <c r="B3" s="153"/>
      <c r="C3" s="153"/>
      <c r="D3" s="153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5"/>
      <c r="B4" s="156"/>
      <c r="C4" s="156"/>
      <c r="D4" s="156"/>
      <c r="X4" s="8"/>
    </row>
    <row r="5" spans="1:25" ht="18" customHeight="1" x14ac:dyDescent="0.15">
      <c r="A5" s="155"/>
      <c r="B5" s="156"/>
      <c r="C5" s="156"/>
      <c r="D5" s="156"/>
      <c r="X5" s="8"/>
    </row>
    <row r="6" spans="1:25" ht="18" customHeight="1" x14ac:dyDescent="0.15">
      <c r="A6" s="155"/>
      <c r="B6" s="156"/>
      <c r="C6" s="156"/>
      <c r="D6" s="156"/>
      <c r="X6" s="8"/>
    </row>
    <row r="7" spans="1:25" ht="18" customHeight="1" x14ac:dyDescent="0.15">
      <c r="A7" s="155"/>
      <c r="B7" s="156"/>
      <c r="C7" s="156"/>
      <c r="D7" s="156"/>
      <c r="X7" s="8"/>
    </row>
    <row r="8" spans="1:25" ht="147.75" customHeight="1" x14ac:dyDescent="0.15">
      <c r="A8" s="155"/>
      <c r="B8" s="156"/>
      <c r="C8" s="156"/>
      <c r="D8" s="156"/>
      <c r="X8" s="8"/>
    </row>
    <row r="9" spans="1:25" ht="18" customHeight="1" x14ac:dyDescent="0.15">
      <c r="A9" s="155"/>
      <c r="B9" s="156"/>
      <c r="C9" s="156"/>
      <c r="D9" s="156"/>
      <c r="X9" s="8"/>
    </row>
    <row r="10" spans="1:25" ht="18" customHeight="1" x14ac:dyDescent="0.15">
      <c r="A10" s="158"/>
      <c r="B10" s="159"/>
      <c r="C10" s="156"/>
      <c r="D10" s="156"/>
      <c r="X10" s="8"/>
    </row>
    <row r="11" spans="1:25" ht="18" customHeight="1" x14ac:dyDescent="0.15">
      <c r="A11" s="158"/>
      <c r="B11" s="159"/>
      <c r="C11" s="156"/>
      <c r="D11" s="156"/>
      <c r="X11" s="8"/>
    </row>
    <row r="12" spans="1:25" ht="18" customHeight="1" x14ac:dyDescent="0.15">
      <c r="A12" s="158"/>
      <c r="B12" s="159"/>
      <c r="C12" s="157"/>
      <c r="D12" s="157"/>
      <c r="E12" s="9"/>
      <c r="F12" s="10"/>
      <c r="G12" s="10"/>
      <c r="H12" s="10"/>
      <c r="X12" s="8"/>
    </row>
    <row r="13" spans="1:25" ht="18" customHeight="1" x14ac:dyDescent="0.15">
      <c r="A13" s="138"/>
      <c r="B13" s="154"/>
      <c r="C13" s="126"/>
      <c r="D13" s="126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3"/>
    </row>
    <row r="14" spans="1:25" s="14" customFormat="1" ht="18" customHeight="1" x14ac:dyDescent="0.15">
      <c r="A14" s="132" t="s">
        <v>14</v>
      </c>
      <c r="B14" s="132"/>
      <c r="C14" s="132"/>
      <c r="D14" s="132"/>
      <c r="E14" s="1">
        <v>1</v>
      </c>
      <c r="F14" s="1">
        <v>2</v>
      </c>
      <c r="G14" s="1">
        <v>3</v>
      </c>
      <c r="H14" s="1">
        <v>4</v>
      </c>
      <c r="I14" s="1" t="s">
        <v>60</v>
      </c>
      <c r="J14" s="1">
        <v>6</v>
      </c>
      <c r="K14" s="1">
        <v>7</v>
      </c>
      <c r="L14" s="1">
        <v>8</v>
      </c>
      <c r="M14" s="1">
        <v>9</v>
      </c>
      <c r="N14" s="1" t="s">
        <v>61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0" customFormat="1" ht="18" customHeight="1" x14ac:dyDescent="0.15">
      <c r="A15" s="132" t="s">
        <v>15</v>
      </c>
      <c r="B15" s="132"/>
      <c r="C15" s="132"/>
      <c r="D15" s="132"/>
      <c r="E15" s="15" t="s">
        <v>16</v>
      </c>
      <c r="F15" s="15" t="s">
        <v>17</v>
      </c>
      <c r="G15" s="15" t="s">
        <v>18</v>
      </c>
      <c r="H15" s="15" t="s">
        <v>19</v>
      </c>
      <c r="I15" s="15" t="s">
        <v>20</v>
      </c>
      <c r="J15" s="15" t="s">
        <v>21</v>
      </c>
      <c r="K15" s="15" t="s">
        <v>22</v>
      </c>
      <c r="L15" s="15" t="s">
        <v>23</v>
      </c>
      <c r="M15" s="15" t="s">
        <v>24</v>
      </c>
      <c r="N15" s="15" t="s">
        <v>25</v>
      </c>
      <c r="O15" s="15"/>
      <c r="P15" s="15"/>
      <c r="Q15" s="15"/>
      <c r="R15" s="16"/>
      <c r="T15" s="15"/>
      <c r="U15" s="15"/>
      <c r="V15" s="15"/>
      <c r="W15" s="15"/>
      <c r="X15" s="15"/>
    </row>
    <row r="16" spans="1:25" s="10" customFormat="1" ht="125.1" customHeight="1" x14ac:dyDescent="0.15">
      <c r="A16" s="127"/>
      <c r="B16" s="128"/>
      <c r="C16" s="128"/>
      <c r="D16" s="151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6"/>
      <c r="Y16" s="19"/>
    </row>
    <row r="17" spans="1:24" ht="18" customHeight="1" x14ac:dyDescent="0.15">
      <c r="A17" s="127" t="s">
        <v>47</v>
      </c>
      <c r="B17" s="128"/>
      <c r="C17" s="128" t="s">
        <v>48</v>
      </c>
      <c r="D17" s="151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27" t="s">
        <v>49</v>
      </c>
      <c r="B18" s="128"/>
      <c r="C18" s="128" t="s">
        <v>50</v>
      </c>
      <c r="D18" s="151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27" t="s">
        <v>51</v>
      </c>
      <c r="B19" s="128"/>
      <c r="C19" s="128" t="s">
        <v>52</v>
      </c>
      <c r="D19" s="15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27" t="s">
        <v>53</v>
      </c>
      <c r="B20" s="128"/>
      <c r="C20" s="128" t="s">
        <v>54</v>
      </c>
      <c r="D20" s="15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27"/>
      <c r="B21" s="128"/>
      <c r="C21" s="129"/>
      <c r="D21" s="13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27"/>
      <c r="B22" s="128"/>
      <c r="C22" s="129"/>
      <c r="D22" s="13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27"/>
      <c r="B23" s="128"/>
      <c r="C23" s="129"/>
      <c r="D23" s="13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1"/>
      <c r="B24" s="129"/>
      <c r="C24" s="129"/>
      <c r="D24" s="13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31"/>
      <c r="B25" s="129"/>
      <c r="C25" s="129"/>
      <c r="D25" s="13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31"/>
      <c r="B26" s="129"/>
      <c r="C26" s="129"/>
      <c r="D26" s="13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31"/>
      <c r="B27" s="129"/>
      <c r="C27" s="129"/>
      <c r="D27" s="13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31"/>
      <c r="B28" s="129"/>
      <c r="C28" s="129"/>
      <c r="D28" s="13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23" t="s">
        <v>55</v>
      </c>
      <c r="B29" s="25"/>
      <c r="C29" s="26"/>
      <c r="D29" s="27"/>
      <c r="E29" s="1">
        <v>109</v>
      </c>
      <c r="F29" s="1"/>
      <c r="G29" s="1"/>
      <c r="H29" s="1"/>
      <c r="I29" s="1"/>
      <c r="J29" s="1">
        <v>109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15">
      <c r="A30" s="23" t="s">
        <v>56</v>
      </c>
      <c r="B30" s="25" t="s">
        <v>57</v>
      </c>
      <c r="C30" s="26">
        <f>SUM(E30:X30)</f>
        <v>51</v>
      </c>
      <c r="D30" s="27" t="s">
        <v>58</v>
      </c>
      <c r="E30" s="1">
        <v>12</v>
      </c>
      <c r="F30" s="1">
        <v>5</v>
      </c>
      <c r="G30" s="1">
        <v>2</v>
      </c>
      <c r="H30" s="1">
        <v>3</v>
      </c>
      <c r="I30" s="1">
        <v>3</v>
      </c>
      <c r="J30" s="1">
        <v>12</v>
      </c>
      <c r="K30" s="1">
        <v>5</v>
      </c>
      <c r="L30" s="1">
        <v>2</v>
      </c>
      <c r="M30" s="1">
        <v>3</v>
      </c>
      <c r="N30" s="1">
        <v>4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15">
      <c r="A31" s="123" t="s">
        <v>34</v>
      </c>
      <c r="B31" s="124"/>
      <c r="C31" s="124"/>
      <c r="D31" s="125"/>
      <c r="E31" s="20"/>
      <c r="F31" s="20"/>
      <c r="G31" s="20"/>
      <c r="H31" s="20"/>
      <c r="I31" s="1" t="s">
        <v>35</v>
      </c>
      <c r="J31" s="20"/>
      <c r="K31" s="20"/>
      <c r="L31" s="20"/>
      <c r="M31" s="20"/>
      <c r="N31" s="1" t="s">
        <v>35</v>
      </c>
      <c r="O31" s="117" t="s">
        <v>36</v>
      </c>
      <c r="P31" s="118"/>
      <c r="Q31" s="121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23" t="s">
        <v>37</v>
      </c>
      <c r="B32" s="124"/>
      <c r="C32" s="124"/>
      <c r="D32" s="125"/>
      <c r="E32" s="1" t="s">
        <v>38</v>
      </c>
      <c r="F32" s="20"/>
      <c r="G32" s="20"/>
      <c r="H32" s="20"/>
      <c r="I32" s="20"/>
      <c r="J32" s="1" t="s">
        <v>38</v>
      </c>
      <c r="K32" s="20"/>
      <c r="L32" s="20"/>
      <c r="M32" s="20"/>
      <c r="N32" s="20"/>
      <c r="O32" s="119"/>
      <c r="P32" s="120"/>
      <c r="Q32" s="122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4" t="s">
        <v>39</v>
      </c>
      <c r="B33" s="25" t="s">
        <v>40</v>
      </c>
      <c r="C33" s="26">
        <f>SUM(E33:X33)</f>
        <v>80</v>
      </c>
      <c r="D33" s="27" t="s">
        <v>41</v>
      </c>
      <c r="E33" s="1">
        <v>41</v>
      </c>
      <c r="F33" s="1">
        <v>5</v>
      </c>
      <c r="G33" s="1">
        <v>2</v>
      </c>
      <c r="H33" s="1">
        <v>3</v>
      </c>
      <c r="I33" s="1">
        <v>3</v>
      </c>
      <c r="J33" s="1">
        <v>13</v>
      </c>
      <c r="K33" s="1">
        <v>5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42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3" t="s">
        <v>43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3" t="s">
        <v>44</v>
      </c>
      <c r="B36" s="124"/>
      <c r="C36" s="124"/>
      <c r="D36" s="125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1">
    <mergeCell ref="C12:D12"/>
    <mergeCell ref="A11:B11"/>
    <mergeCell ref="C11:D11"/>
    <mergeCell ref="A10:B10"/>
    <mergeCell ref="C10:D10"/>
    <mergeCell ref="A12:B12"/>
    <mergeCell ref="A4:B4"/>
    <mergeCell ref="C4:D4"/>
    <mergeCell ref="A9:B9"/>
    <mergeCell ref="C9:D9"/>
    <mergeCell ref="A6:B6"/>
    <mergeCell ref="C6:D6"/>
    <mergeCell ref="A8:B8"/>
    <mergeCell ref="C8:D8"/>
    <mergeCell ref="A7:B7"/>
    <mergeCell ref="A5:B5"/>
    <mergeCell ref="C5:D5"/>
    <mergeCell ref="C7:D7"/>
    <mergeCell ref="A3:B3"/>
    <mergeCell ref="C3:D3"/>
    <mergeCell ref="A36:D36"/>
    <mergeCell ref="A35:D35"/>
    <mergeCell ref="A31:D31"/>
    <mergeCell ref="A19:B19"/>
    <mergeCell ref="C19:D19"/>
    <mergeCell ref="A20:B20"/>
    <mergeCell ref="C20:D20"/>
    <mergeCell ref="C23:D23"/>
    <mergeCell ref="A24:B24"/>
    <mergeCell ref="C24:D24"/>
    <mergeCell ref="A13:B13"/>
    <mergeCell ref="A16:D16"/>
    <mergeCell ref="A25:B25"/>
    <mergeCell ref="C25:D25"/>
    <mergeCell ref="A34:D34"/>
    <mergeCell ref="A28:B28"/>
    <mergeCell ref="C28:D28"/>
    <mergeCell ref="A17:B17"/>
    <mergeCell ref="C17:D17"/>
    <mergeCell ref="A18:B18"/>
    <mergeCell ref="C18:D18"/>
    <mergeCell ref="A23:B23"/>
    <mergeCell ref="A22:B22"/>
    <mergeCell ref="C22:D22"/>
    <mergeCell ref="V1:X1"/>
    <mergeCell ref="V2:X2"/>
    <mergeCell ref="N1:O1"/>
    <mergeCell ref="N2:O2"/>
    <mergeCell ref="P1:S1"/>
    <mergeCell ref="P2:R2"/>
    <mergeCell ref="T1:U1"/>
    <mergeCell ref="T2:U2"/>
    <mergeCell ref="H1:M1"/>
    <mergeCell ref="A1:E1"/>
    <mergeCell ref="A2:E2"/>
    <mergeCell ref="F2:G2"/>
    <mergeCell ref="F1:G1"/>
    <mergeCell ref="L2:M2"/>
    <mergeCell ref="H2:K2"/>
    <mergeCell ref="O31:P32"/>
    <mergeCell ref="Q31:Q32"/>
    <mergeCell ref="A32:D32"/>
    <mergeCell ref="C13:D13"/>
    <mergeCell ref="A21:B21"/>
    <mergeCell ref="C21:D21"/>
    <mergeCell ref="A27:B27"/>
    <mergeCell ref="C27:D27"/>
    <mergeCell ref="A26:B26"/>
    <mergeCell ref="C26:D26"/>
    <mergeCell ref="A14:D14"/>
    <mergeCell ref="A15:D15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38" orientation="portrait" useFirstPageNumber="1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zoomScaleNormal="100" workbookViewId="0">
      <selection activeCell="C3" sqref="C3:D3"/>
    </sheetView>
  </sheetViews>
  <sheetFormatPr defaultRowHeight="11.25" x14ac:dyDescent="0.15"/>
  <cols>
    <col min="1" max="1" width="5.125" style="28" customWidth="1"/>
    <col min="2" max="2" width="0.875" style="28" customWidth="1"/>
    <col min="3" max="3" width="4.625" style="28" customWidth="1"/>
    <col min="4" max="4" width="0.875" style="28" customWidth="1"/>
    <col min="5" max="24" width="4.125" style="2" customWidth="1"/>
    <col min="25" max="16384" width="9" style="2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39" t="s">
        <v>1</v>
      </c>
      <c r="G1" s="140"/>
      <c r="H1" s="133" t="s">
        <v>2</v>
      </c>
      <c r="I1" s="134"/>
      <c r="J1" s="134"/>
      <c r="K1" s="134"/>
      <c r="L1" s="134"/>
      <c r="M1" s="134"/>
      <c r="N1" s="146" t="s">
        <v>3</v>
      </c>
      <c r="O1" s="146"/>
      <c r="P1" s="135" t="s">
        <v>4</v>
      </c>
      <c r="Q1" s="135"/>
      <c r="R1" s="135"/>
      <c r="S1" s="135"/>
      <c r="T1" s="150" t="s">
        <v>5</v>
      </c>
      <c r="U1" s="150"/>
      <c r="V1" s="144" t="s">
        <v>6</v>
      </c>
      <c r="W1" s="144"/>
      <c r="X1" s="144"/>
    </row>
    <row r="2" spans="1:25" ht="20.100000000000001" customHeight="1" x14ac:dyDescent="0.15">
      <c r="A2" s="136" t="s">
        <v>7</v>
      </c>
      <c r="B2" s="136"/>
      <c r="C2" s="136"/>
      <c r="D2" s="136"/>
      <c r="E2" s="136"/>
      <c r="F2" s="137" t="s">
        <v>8</v>
      </c>
      <c r="G2" s="138"/>
      <c r="H2" s="143" t="s">
        <v>2</v>
      </c>
      <c r="I2" s="143"/>
      <c r="J2" s="143"/>
      <c r="K2" s="143"/>
      <c r="L2" s="141" t="s">
        <v>9</v>
      </c>
      <c r="M2" s="142"/>
      <c r="N2" s="136" t="s">
        <v>10</v>
      </c>
      <c r="O2" s="136"/>
      <c r="P2" s="147">
        <v>0.44930555555555557</v>
      </c>
      <c r="Q2" s="148"/>
      <c r="R2" s="149"/>
      <c r="S2" s="3" t="s">
        <v>11</v>
      </c>
      <c r="T2" s="150" t="s">
        <v>12</v>
      </c>
      <c r="U2" s="150"/>
      <c r="V2" s="145" t="s">
        <v>13</v>
      </c>
      <c r="W2" s="145"/>
      <c r="X2" s="145"/>
    </row>
    <row r="3" spans="1:25" ht="18" customHeight="1" x14ac:dyDescent="0.15">
      <c r="A3" s="152"/>
      <c r="B3" s="153"/>
      <c r="C3" s="153"/>
      <c r="D3" s="153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5"/>
      <c r="B4" s="156"/>
      <c r="C4" s="156"/>
      <c r="D4" s="156"/>
      <c r="X4" s="8"/>
    </row>
    <row r="5" spans="1:25" ht="18" customHeight="1" x14ac:dyDescent="0.15">
      <c r="A5" s="155"/>
      <c r="B5" s="156"/>
      <c r="C5" s="156"/>
      <c r="D5" s="156"/>
      <c r="X5" s="8"/>
    </row>
    <row r="6" spans="1:25" ht="18" customHeight="1" x14ac:dyDescent="0.15">
      <c r="A6" s="155"/>
      <c r="B6" s="156"/>
      <c r="C6" s="156"/>
      <c r="D6" s="156"/>
      <c r="X6" s="8"/>
    </row>
    <row r="7" spans="1:25" ht="18" customHeight="1" x14ac:dyDescent="0.15">
      <c r="A7" s="155"/>
      <c r="B7" s="156"/>
      <c r="C7" s="156"/>
      <c r="D7" s="156"/>
      <c r="X7" s="8"/>
    </row>
    <row r="8" spans="1:25" ht="147.75" customHeight="1" x14ac:dyDescent="0.15">
      <c r="A8" s="155"/>
      <c r="B8" s="156"/>
      <c r="C8" s="156"/>
      <c r="D8" s="156"/>
      <c r="X8" s="8"/>
    </row>
    <row r="9" spans="1:25" ht="18" customHeight="1" x14ac:dyDescent="0.15">
      <c r="A9" s="155"/>
      <c r="B9" s="156"/>
      <c r="C9" s="156"/>
      <c r="D9" s="156"/>
      <c r="X9" s="8"/>
    </row>
    <row r="10" spans="1:25" ht="18" customHeight="1" x14ac:dyDescent="0.15">
      <c r="A10" s="158"/>
      <c r="B10" s="159"/>
      <c r="C10" s="156"/>
      <c r="D10" s="156"/>
      <c r="X10" s="8"/>
    </row>
    <row r="11" spans="1:25" ht="18" customHeight="1" x14ac:dyDescent="0.15">
      <c r="A11" s="158"/>
      <c r="B11" s="159"/>
      <c r="C11" s="156"/>
      <c r="D11" s="156"/>
      <c r="X11" s="8"/>
    </row>
    <row r="12" spans="1:25" ht="18" customHeight="1" x14ac:dyDescent="0.15">
      <c r="A12" s="158"/>
      <c r="B12" s="159"/>
      <c r="C12" s="157"/>
      <c r="D12" s="157"/>
      <c r="E12" s="9"/>
      <c r="F12" s="10"/>
      <c r="G12" s="10"/>
      <c r="H12" s="10"/>
      <c r="X12" s="8"/>
    </row>
    <row r="13" spans="1:25" ht="18" customHeight="1" x14ac:dyDescent="0.15">
      <c r="A13" s="138"/>
      <c r="B13" s="154"/>
      <c r="C13" s="126"/>
      <c r="D13" s="126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3"/>
    </row>
    <row r="14" spans="1:25" s="14" customFormat="1" ht="18" customHeight="1" x14ac:dyDescent="0.15">
      <c r="A14" s="132" t="s">
        <v>14</v>
      </c>
      <c r="B14" s="132"/>
      <c r="C14" s="132"/>
      <c r="D14" s="132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0" customFormat="1" ht="18" customHeight="1" x14ac:dyDescent="0.15">
      <c r="A15" s="132" t="s">
        <v>15</v>
      </c>
      <c r="B15" s="132"/>
      <c r="C15" s="132"/>
      <c r="D15" s="132"/>
      <c r="E15" s="15" t="s">
        <v>16</v>
      </c>
      <c r="F15" s="15" t="s">
        <v>17</v>
      </c>
      <c r="G15" s="15" t="s">
        <v>18</v>
      </c>
      <c r="H15" s="15" t="s">
        <v>19</v>
      </c>
      <c r="I15" s="15" t="s">
        <v>20</v>
      </c>
      <c r="J15" s="15" t="s">
        <v>21</v>
      </c>
      <c r="K15" s="15" t="s">
        <v>22</v>
      </c>
      <c r="L15" s="15" t="s">
        <v>23</v>
      </c>
      <c r="M15" s="15" t="s">
        <v>24</v>
      </c>
      <c r="N15" s="15" t="s">
        <v>25</v>
      </c>
      <c r="O15" s="15"/>
      <c r="P15" s="15"/>
      <c r="Q15" s="15"/>
      <c r="R15" s="16"/>
      <c r="T15" s="15"/>
      <c r="U15" s="15"/>
      <c r="V15" s="15"/>
      <c r="W15" s="15"/>
      <c r="X15" s="15"/>
    </row>
    <row r="16" spans="1:25" s="10" customFormat="1" ht="125.1" customHeight="1" x14ac:dyDescent="0.15">
      <c r="A16" s="127"/>
      <c r="B16" s="128"/>
      <c r="C16" s="128"/>
      <c r="D16" s="151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6"/>
      <c r="Y16" s="19"/>
    </row>
    <row r="17" spans="1:24" ht="18" customHeight="1" x14ac:dyDescent="0.15">
      <c r="A17" s="127" t="s">
        <v>26</v>
      </c>
      <c r="B17" s="128"/>
      <c r="C17" s="128" t="s">
        <v>27</v>
      </c>
      <c r="D17" s="151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27" t="s">
        <v>28</v>
      </c>
      <c r="B18" s="128"/>
      <c r="C18" s="128" t="s">
        <v>29</v>
      </c>
      <c r="D18" s="151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27" t="s">
        <v>30</v>
      </c>
      <c r="B19" s="128"/>
      <c r="C19" s="128" t="s">
        <v>31</v>
      </c>
      <c r="D19" s="15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27" t="s">
        <v>32</v>
      </c>
      <c r="B20" s="128"/>
      <c r="C20" s="128" t="s">
        <v>33</v>
      </c>
      <c r="D20" s="15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27"/>
      <c r="B21" s="128"/>
      <c r="C21" s="129"/>
      <c r="D21" s="13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27"/>
      <c r="B22" s="128"/>
      <c r="C22" s="129"/>
      <c r="D22" s="13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27"/>
      <c r="B23" s="128"/>
      <c r="C23" s="129"/>
      <c r="D23" s="13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1"/>
      <c r="B24" s="129"/>
      <c r="C24" s="129"/>
      <c r="D24" s="13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31"/>
      <c r="B25" s="129"/>
      <c r="C25" s="129"/>
      <c r="D25" s="13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31"/>
      <c r="B26" s="129"/>
      <c r="C26" s="129"/>
      <c r="D26" s="13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31"/>
      <c r="B27" s="129"/>
      <c r="C27" s="129"/>
      <c r="D27" s="13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31"/>
      <c r="B28" s="129"/>
      <c r="C28" s="129"/>
      <c r="D28" s="13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31"/>
      <c r="B29" s="129"/>
      <c r="C29" s="129"/>
      <c r="D29" s="130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60"/>
      <c r="B30" s="161"/>
      <c r="C30" s="129"/>
      <c r="D30" s="130"/>
      <c r="E30" s="20"/>
      <c r="F30" s="22"/>
      <c r="G30" s="20"/>
      <c r="H30" s="20"/>
      <c r="I30" s="20"/>
      <c r="J30" s="20"/>
      <c r="K30" s="22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3" t="s">
        <v>34</v>
      </c>
      <c r="B31" s="124"/>
      <c r="C31" s="124"/>
      <c r="D31" s="125"/>
      <c r="E31" s="20"/>
      <c r="F31" s="20"/>
      <c r="G31" s="20"/>
      <c r="H31" s="20"/>
      <c r="I31" s="1" t="s">
        <v>35</v>
      </c>
      <c r="J31" s="20"/>
      <c r="K31" s="20"/>
      <c r="L31" s="20"/>
      <c r="M31" s="20"/>
      <c r="N31" s="1" t="s">
        <v>35</v>
      </c>
      <c r="O31" s="117" t="s">
        <v>36</v>
      </c>
      <c r="P31" s="118"/>
      <c r="Q31" s="121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23" t="s">
        <v>37</v>
      </c>
      <c r="B32" s="124"/>
      <c r="C32" s="124"/>
      <c r="D32" s="125"/>
      <c r="E32" s="1" t="s">
        <v>38</v>
      </c>
      <c r="F32" s="20"/>
      <c r="G32" s="20"/>
      <c r="H32" s="20"/>
      <c r="I32" s="20"/>
      <c r="J32" s="1" t="s">
        <v>38</v>
      </c>
      <c r="K32" s="20"/>
      <c r="L32" s="20"/>
      <c r="M32" s="20"/>
      <c r="N32" s="20"/>
      <c r="O32" s="119"/>
      <c r="P32" s="120"/>
      <c r="Q32" s="122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4" t="s">
        <v>39</v>
      </c>
      <c r="B33" s="25" t="s">
        <v>40</v>
      </c>
      <c r="C33" s="26">
        <f>SUM(E33:X33)</f>
        <v>80</v>
      </c>
      <c r="D33" s="27" t="s">
        <v>41</v>
      </c>
      <c r="E33" s="1">
        <v>41</v>
      </c>
      <c r="F33" s="1">
        <v>5</v>
      </c>
      <c r="G33" s="1">
        <v>2</v>
      </c>
      <c r="H33" s="1">
        <v>3</v>
      </c>
      <c r="I33" s="1">
        <v>3</v>
      </c>
      <c r="J33" s="1">
        <v>13</v>
      </c>
      <c r="K33" s="1">
        <v>5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42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3" t="s">
        <v>43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3" t="s">
        <v>44</v>
      </c>
      <c r="B36" s="124"/>
      <c r="C36" s="124"/>
      <c r="D36" s="125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O31:P32"/>
    <mergeCell ref="Q31:Q32"/>
    <mergeCell ref="A32:D32"/>
    <mergeCell ref="C13:D13"/>
    <mergeCell ref="A30:B30"/>
    <mergeCell ref="C30:D30"/>
    <mergeCell ref="A29:B29"/>
    <mergeCell ref="C29:D29"/>
    <mergeCell ref="A21:B21"/>
    <mergeCell ref="C21:D21"/>
    <mergeCell ref="C18:D18"/>
    <mergeCell ref="C20:D20"/>
    <mergeCell ref="C23:D23"/>
    <mergeCell ref="A24:B24"/>
    <mergeCell ref="C24:D24"/>
    <mergeCell ref="A14:D14"/>
    <mergeCell ref="A2:E2"/>
    <mergeCell ref="F2:G2"/>
    <mergeCell ref="F1:G1"/>
    <mergeCell ref="L2:M2"/>
    <mergeCell ref="H2:K2"/>
    <mergeCell ref="A27:B27"/>
    <mergeCell ref="C27:D27"/>
    <mergeCell ref="A26:B26"/>
    <mergeCell ref="C26:D26"/>
    <mergeCell ref="V1:X1"/>
    <mergeCell ref="V2:X2"/>
    <mergeCell ref="N1:O1"/>
    <mergeCell ref="N2:O2"/>
    <mergeCell ref="P1:S1"/>
    <mergeCell ref="P2:R2"/>
    <mergeCell ref="A3:B3"/>
    <mergeCell ref="C3:D3"/>
    <mergeCell ref="T1:U1"/>
    <mergeCell ref="T2:U2"/>
    <mergeCell ref="H1:M1"/>
    <mergeCell ref="A1:E1"/>
    <mergeCell ref="A36:D36"/>
    <mergeCell ref="A35:D35"/>
    <mergeCell ref="A31:D31"/>
    <mergeCell ref="A34:D34"/>
    <mergeCell ref="A28:B28"/>
    <mergeCell ref="C28:D28"/>
    <mergeCell ref="A13:B13"/>
    <mergeCell ref="A16:D16"/>
    <mergeCell ref="A25:B25"/>
    <mergeCell ref="C25:D25"/>
    <mergeCell ref="A23:B23"/>
    <mergeCell ref="A22:B22"/>
    <mergeCell ref="C22:D22"/>
    <mergeCell ref="A19:B19"/>
    <mergeCell ref="C19:D19"/>
    <mergeCell ref="A20:B20"/>
    <mergeCell ref="A15:D15"/>
    <mergeCell ref="A17:B17"/>
    <mergeCell ref="C17:D17"/>
    <mergeCell ref="A18:B18"/>
    <mergeCell ref="A4:B4"/>
    <mergeCell ref="C4:D4"/>
    <mergeCell ref="A9:B9"/>
    <mergeCell ref="C9:D9"/>
    <mergeCell ref="A6:B6"/>
    <mergeCell ref="C6:D6"/>
    <mergeCell ref="A8:B8"/>
    <mergeCell ref="C8:D8"/>
    <mergeCell ref="A7:B7"/>
    <mergeCell ref="A5:B5"/>
    <mergeCell ref="C5:D5"/>
    <mergeCell ref="C7:D7"/>
    <mergeCell ref="C12:D12"/>
    <mergeCell ref="A11:B11"/>
    <mergeCell ref="C11:D11"/>
    <mergeCell ref="A10:B10"/>
    <mergeCell ref="C10:D10"/>
    <mergeCell ref="A12:B1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38" orientation="portrait" useFirstPageNumber="1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2026-02-18</vt:lpstr>
      <vt:lpstr>250219</vt:lpstr>
      <vt:lpstr>旧250219</vt:lpstr>
      <vt:lpstr>'2026-02-18'!Print_Area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2026-02-26T09:30:56Z</cp:lastPrinted>
  <dcterms:created xsi:type="dcterms:W3CDTF">2003-01-27T00:55:52Z</dcterms:created>
  <dcterms:modified xsi:type="dcterms:W3CDTF">2026-02-26T09:31:18Z</dcterms:modified>
</cp:coreProperties>
</file>